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\Downloads\"/>
    </mc:Choice>
  </mc:AlternateContent>
  <xr:revisionPtr revIDLastSave="0" documentId="13_ncr:1_{0DC0D934-83C4-41EB-A10A-B1A02E8AC760}" xr6:coauthVersionLast="47" xr6:coauthVersionMax="47" xr10:uidLastSave="{00000000-0000-0000-0000-000000000000}"/>
  <bookViews>
    <workbookView xWindow="-108" yWindow="-108" windowWidth="23256" windowHeight="12456" xr2:uid="{9EDEB741-9AC6-4AEA-B3EA-51DF5913057D}"/>
  </bookViews>
  <sheets>
    <sheet name="Calendario Valorizado" sheetId="2" r:id="rId1"/>
    <sheet name="materiales y equipos" sheetId="1" r:id="rId2"/>
    <sheet name="Hoja2" sheetId="3" r:id="rId3"/>
  </sheets>
  <definedNames>
    <definedName name="_xlnm.Print_Area" localSheetId="0">'Calendario Valorizado'!$A$1:$K$415</definedName>
    <definedName name="_xlnm.Print_Area" localSheetId="1">'materiales y equipos'!$A$1:$K$408</definedName>
    <definedName name="_xlnm.Print_Titles" localSheetId="0">'Calendario Valorizado'!$1:$9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14" i="2" l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11" i="1"/>
  <c r="G198" i="1"/>
  <c r="K198" i="1" s="1"/>
  <c r="K34" i="1"/>
  <c r="N400" i="1"/>
  <c r="N399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11" i="1"/>
  <c r="L20" i="2"/>
  <c r="L19" i="2"/>
  <c r="L12" i="2"/>
  <c r="L407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12" i="3"/>
  <c r="F407" i="3"/>
  <c r="F408" i="3" s="1"/>
  <c r="K407" i="3"/>
  <c r="J407" i="3"/>
  <c r="I407" i="3"/>
  <c r="H407" i="3"/>
  <c r="G407" i="3"/>
  <c r="K409" i="3"/>
  <c r="K408" i="3"/>
  <c r="K410" i="3" s="1"/>
  <c r="K411" i="3" s="1"/>
  <c r="J409" i="3"/>
  <c r="J408" i="3"/>
  <c r="J410" i="3" s="1"/>
  <c r="J411" i="3" s="1"/>
  <c r="I409" i="3"/>
  <c r="I408" i="3"/>
  <c r="I410" i="3" s="1"/>
  <c r="I411" i="3" s="1"/>
  <c r="H409" i="3"/>
  <c r="H408" i="3"/>
  <c r="G409" i="3"/>
  <c r="G408" i="3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11" i="1"/>
  <c r="H398" i="1"/>
  <c r="H399" i="1" s="1"/>
  <c r="I398" i="1"/>
  <c r="J398" i="1"/>
  <c r="G398" i="1" l="1"/>
  <c r="G399" i="1" s="1"/>
  <c r="N401" i="1"/>
  <c r="N402" i="1" s="1"/>
  <c r="N403" i="1" s="1"/>
  <c r="F398" i="1"/>
  <c r="F400" i="1" s="1"/>
  <c r="F409" i="3"/>
  <c r="F410" i="3" s="1"/>
  <c r="F411" i="3" s="1"/>
  <c r="H410" i="3"/>
  <c r="H411" i="3" s="1"/>
  <c r="G410" i="3"/>
  <c r="G411" i="3" s="1"/>
  <c r="K398" i="1"/>
  <c r="K400" i="1" s="1"/>
  <c r="I400" i="1"/>
  <c r="J400" i="1"/>
  <c r="H400" i="1"/>
  <c r="I399" i="1"/>
  <c r="J399" i="1"/>
  <c r="G400" i="1" l="1"/>
  <c r="G401" i="1" s="1"/>
  <c r="G402" i="1" s="1"/>
  <c r="G403" i="1" s="1"/>
  <c r="L398" i="1"/>
  <c r="I401" i="1"/>
  <c r="I402" i="1" s="1"/>
  <c r="I403" i="1" s="1"/>
  <c r="L399" i="1"/>
  <c r="H401" i="1"/>
  <c r="H402" i="1" s="1"/>
  <c r="F399" i="1"/>
  <c r="F401" i="1" s="1"/>
  <c r="F402" i="1" s="1"/>
  <c r="F403" i="1" s="1"/>
  <c r="J412" i="3"/>
  <c r="I412" i="3"/>
  <c r="G412" i="3"/>
  <c r="F412" i="3"/>
  <c r="H412" i="3"/>
  <c r="K412" i="3"/>
  <c r="K399" i="1"/>
  <c r="K401" i="1" s="1"/>
  <c r="K402" i="1" s="1"/>
  <c r="K403" i="1" s="1"/>
  <c r="J401" i="1"/>
  <c r="J402" i="1" s="1"/>
  <c r="J403" i="1" s="1"/>
  <c r="J405" i="1" s="1"/>
  <c r="L400" i="1" l="1"/>
  <c r="L401" i="1"/>
  <c r="H403" i="1"/>
  <c r="L403" i="1" s="1"/>
  <c r="L402" i="1"/>
  <c r="H414" i="3"/>
  <c r="G413" i="3"/>
  <c r="H413" i="3" s="1"/>
  <c r="I413" i="3" s="1"/>
  <c r="J413" i="3" s="1"/>
  <c r="G414" i="3"/>
  <c r="G415" i="3" s="1"/>
  <c r="I414" i="3"/>
  <c r="J414" i="3"/>
  <c r="I405" i="1"/>
  <c r="G404" i="1"/>
  <c r="G405" i="1"/>
  <c r="G406" i="1" s="1"/>
  <c r="H404" i="1" l="1"/>
  <c r="I404" i="1" s="1"/>
  <c r="J404" i="1" s="1"/>
  <c r="H405" i="1"/>
  <c r="H406" i="1" s="1"/>
  <c r="I406" i="1" s="1"/>
  <c r="J406" i="1" s="1"/>
  <c r="H415" i="3"/>
  <c r="I415" i="3"/>
  <c r="J415" i="3" s="1"/>
</calcChain>
</file>

<file path=xl/sharedStrings.xml><?xml version="1.0" encoding="utf-8"?>
<sst xmlns="http://schemas.openxmlformats.org/spreadsheetml/2006/main" count="3633" uniqueCount="856">
  <si>
    <t>Calendario de Utilizacion de Recursos</t>
  </si>
  <si>
    <t>Obra</t>
  </si>
  <si>
    <t>Ubicacion</t>
  </si>
  <si>
    <t>Costo A</t>
  </si>
  <si>
    <t>Cliente</t>
  </si>
  <si>
    <t>: SANTIAGO DE SURCO - LIMA - LIMA</t>
  </si>
  <si>
    <t>: Jul - 2025</t>
  </si>
  <si>
    <t>: MUNICIPALIDAD DE SANTIAGO DE SURCO</t>
  </si>
  <si>
    <t>PLAZO DE EJECUCION</t>
  </si>
  <si>
    <t>Cod</t>
  </si>
  <si>
    <t>Descripcion</t>
  </si>
  <si>
    <t>Unid</t>
  </si>
  <si>
    <t>Cantidad</t>
  </si>
  <si>
    <t>Precio</t>
  </si>
  <si>
    <t>Parcial</t>
  </si>
  <si>
    <t xml:space="preserve">01-Oct-25
31-Oct-25
31 Días </t>
  </si>
  <si>
    <t xml:space="preserve">01-Nov-25
30-Nov-25
30 Días </t>
  </si>
  <si>
    <t xml:space="preserve">01-Dic-25
31-Dic-25
31 Días </t>
  </si>
  <si>
    <t xml:space="preserve">01-Ene-26
28-Ene-26
28 Días </t>
  </si>
  <si>
    <t>TOTAL
120 Dias</t>
  </si>
  <si>
    <t>MANO DE OBRA</t>
  </si>
  <si>
    <t>47 00006</t>
  </si>
  <si>
    <t>CAPATAZ</t>
  </si>
  <si>
    <t>hh</t>
  </si>
  <si>
    <t>47 00007</t>
  </si>
  <si>
    <t>OPERARIO</t>
  </si>
  <si>
    <t>47 00008</t>
  </si>
  <si>
    <t>OFICIAL</t>
  </si>
  <si>
    <t>47 00009</t>
  </si>
  <si>
    <t>PEON</t>
  </si>
  <si>
    <t>47 07464</t>
  </si>
  <si>
    <t>DESMONTAJE DE APARATOS SANITARIOS EXISTENTE</t>
  </si>
  <si>
    <t>GLB</t>
  </si>
  <si>
    <t>47 00112</t>
  </si>
  <si>
    <t>OPERADOR DE EQUIPO LIVIANO</t>
  </si>
  <si>
    <t>HH</t>
  </si>
  <si>
    <t>MATERIALES</t>
  </si>
  <si>
    <t>00 07044</t>
  </si>
  <si>
    <t>GASOLINA</t>
  </si>
  <si>
    <t>gln</t>
  </si>
  <si>
    <t>00 07449</t>
  </si>
  <si>
    <t>PIEDRA CHANCADA 1/2"</t>
  </si>
  <si>
    <t>M3</t>
  </si>
  <si>
    <t>00 07776</t>
  </si>
  <si>
    <t>PLACA DE ANCLAJE 350x250x16mm ASTM A36</t>
  </si>
  <si>
    <t>UND</t>
  </si>
  <si>
    <t>00 07759</t>
  </si>
  <si>
    <t>TORNILLOS AUTOROSCANTES TIPO GYPLAC/SPB P.FINA 6x32mm</t>
  </si>
  <si>
    <t>mll</t>
  </si>
  <si>
    <t>02 07638</t>
  </si>
  <si>
    <t>ALAMBRE NEGRO #16</t>
  </si>
  <si>
    <t>KG</t>
  </si>
  <si>
    <t>02 07561</t>
  </si>
  <si>
    <t>ALAMBRE NEGRO #8</t>
  </si>
  <si>
    <t>02 00093</t>
  </si>
  <si>
    <t>ALAMBRE NEGRO N°16</t>
  </si>
  <si>
    <t>kg</t>
  </si>
  <si>
    <t>02 00018</t>
  </si>
  <si>
    <t>ALAMBRE NEGRO N°8</t>
  </si>
  <si>
    <t>02 07671</t>
  </si>
  <si>
    <t>CANALETA INC.REJILLA Y TRAMPA</t>
  </si>
  <si>
    <t>02 07792</t>
  </si>
  <si>
    <t>CLAVOS C/CABEZA P/CONSTRUCCION D/PROMEDIO</t>
  </si>
  <si>
    <t>02 00022</t>
  </si>
  <si>
    <t>CLAVOS CON CABEZA DE 2 1/2", 3", 4"</t>
  </si>
  <si>
    <t>02 07639</t>
  </si>
  <si>
    <t>CLAVOS DE 2" A 4"</t>
  </si>
  <si>
    <t>02 00118</t>
  </si>
  <si>
    <t>CLAVOS PARA MADERA C/C 3"</t>
  </si>
  <si>
    <t>02 07522</t>
  </si>
  <si>
    <t>PERNOS C/HEXAG. C/ANILLOS Y TUERCAS DE 2 1/2" x  1/2"</t>
  </si>
  <si>
    <t>02 07516</t>
  </si>
  <si>
    <t>PUERTA BATIENTE MADERA CONTRAPLACADA CON BURLETE DE ESPUMA DE CAUCHO</t>
  </si>
  <si>
    <t>02 07515</t>
  </si>
  <si>
    <t>PUERTA DE MADERA CONTRAPLACADAC/BLANCO C/MARCO</t>
  </si>
  <si>
    <t>02 07517</t>
  </si>
  <si>
    <t>PUERTA DE MADERA DOBLE HOJA CONTRAPLACADA CON BURLETE DE ESPUMA DE CAUCHO</t>
  </si>
  <si>
    <t>02 07540</t>
  </si>
  <si>
    <t>PUERTA P-01</t>
  </si>
  <si>
    <t>02 07541</t>
  </si>
  <si>
    <t>PUERTA P-02</t>
  </si>
  <si>
    <t>02 07521</t>
  </si>
  <si>
    <t>TUBO REDONDO DE ACERO INOX DE  1 1/2",  E=2.0mm, L=6.00m</t>
  </si>
  <si>
    <t>02 07771</t>
  </si>
  <si>
    <t>TUBO REDONDO DE F°G° DE 1 1/2", E=2.5mm, L=6.00m</t>
  </si>
  <si>
    <t>02 07772</t>
  </si>
  <si>
    <t>TUBO REDONDO DE F°G° DE 1", E=2mm, L=6.00m</t>
  </si>
  <si>
    <t>03 06206</t>
  </si>
  <si>
    <t>ACERO CORRUGADO fy=4200 kg/cm2 GRADO 60</t>
  </si>
  <si>
    <t>03 07503</t>
  </si>
  <si>
    <t>ACERO CORRUGADO fy=4200kg/cm2</t>
  </si>
  <si>
    <t>04 00033</t>
  </si>
  <si>
    <t>ARENA FINA</t>
  </si>
  <si>
    <t>m3</t>
  </si>
  <si>
    <t>04 00029</t>
  </si>
  <si>
    <t>ARENA GRUESA</t>
  </si>
  <si>
    <t>04 00074</t>
  </si>
  <si>
    <t>TIERRA DE CHACRA</t>
  </si>
  <si>
    <t>05 07615</t>
  </si>
  <si>
    <t>ADOQUIN DE 20x10x6 cm</t>
  </si>
  <si>
    <t>05 07514</t>
  </si>
  <si>
    <t>ADOQUIN DE 20x10x6 cm GRIS</t>
  </si>
  <si>
    <t>M2</t>
  </si>
  <si>
    <t>05 07559</t>
  </si>
  <si>
    <t>ADOQUINES DE CONCRETO DE 0.10 x 0.20 x 0.04m</t>
  </si>
  <si>
    <t>05 00337</t>
  </si>
  <si>
    <t>AFIRMADO</t>
  </si>
  <si>
    <t>05 00002</t>
  </si>
  <si>
    <t>AGUA</t>
  </si>
  <si>
    <t>05 07557</t>
  </si>
  <si>
    <t>MATERIAL GRANULAR</t>
  </si>
  <si>
    <t>05 07049</t>
  </si>
  <si>
    <t>PIEDRA CHANCADA DE 1 1/2"</t>
  </si>
  <si>
    <t>05 00099</t>
  </si>
  <si>
    <t>PIEDRA CHANCADA DE 1/2"</t>
  </si>
  <si>
    <t>05 00120</t>
  </si>
  <si>
    <t>PIEDRA GRANDE DE 8"</t>
  </si>
  <si>
    <t>05 04927</t>
  </si>
  <si>
    <t>PIEDRA MEDIANA DE 3"</t>
  </si>
  <si>
    <t>06 07748</t>
  </si>
  <si>
    <t>ATERRAMIENTO DE ENERGIA EN B.T.</t>
  </si>
  <si>
    <t>06 07710</t>
  </si>
  <si>
    <t>CABLE DE CU AISLAMIENTO LSOH x4mm</t>
  </si>
  <si>
    <t>M</t>
  </si>
  <si>
    <t>06 07688</t>
  </si>
  <si>
    <t>CABLE THW 12 AWG VERDE</t>
  </si>
  <si>
    <t>06 07711</t>
  </si>
  <si>
    <t>CONECTOR 90 A PRUEBA DE LIQUIDOS TIPO "LTB" x20mm</t>
  </si>
  <si>
    <t>PZA</t>
  </si>
  <si>
    <t>06 07712</t>
  </si>
  <si>
    <t>CONECTORES RECTO A PRUEBA DE LIQUIDOS TIPO "LBT" x20mm</t>
  </si>
  <si>
    <t>07 07697</t>
  </si>
  <si>
    <t>CABLE ELECTRICO N2XOH 1X 25mm2 (VERDE CON FRANJA AMARILLA)</t>
  </si>
  <si>
    <t>07 07726</t>
  </si>
  <si>
    <t>CABLE ELECTRICO N2XOH 1X4mm2</t>
  </si>
  <si>
    <t>07 07728</t>
  </si>
  <si>
    <t>CABLE ELECTRICO N2XOH 1X6mm2</t>
  </si>
  <si>
    <t>07 07725</t>
  </si>
  <si>
    <t>CABLE ELECTRICO N2XOH 1X6mm2(N)</t>
  </si>
  <si>
    <t>07 07696</t>
  </si>
  <si>
    <t>CABLE ELECTRICO N2XOH 2-1X 2.5mm2</t>
  </si>
  <si>
    <t>07 07727</t>
  </si>
  <si>
    <t>CABLE ELECTRICO N2XOH 3X4mm2</t>
  </si>
  <si>
    <t>07 07724</t>
  </si>
  <si>
    <t>CABLE ELECTRICO N2XOH 3X6mm2</t>
  </si>
  <si>
    <t>07 07701</t>
  </si>
  <si>
    <t>CABLE ELECTRICO NHX-90 1-1x2.5mm2(T) VERDE CON FRANJA AMARILLO</t>
  </si>
  <si>
    <t>07 07700</t>
  </si>
  <si>
    <t>CABLE ELECTRICO NHX-90 2-1x2.5mm2</t>
  </si>
  <si>
    <t>07 07720</t>
  </si>
  <si>
    <t>CABLE ELECTRICO TW 1x 2.5mm2 (AMARILLO)</t>
  </si>
  <si>
    <t>07 07723</t>
  </si>
  <si>
    <t>CABLE ELECTRICO TW 1x 4mm2 (AMARILLO)</t>
  </si>
  <si>
    <t>07 07721</t>
  </si>
  <si>
    <t>CABLE ELECTRICO TW 2x 2.5mm2</t>
  </si>
  <si>
    <t>07 07722</t>
  </si>
  <si>
    <t>CABLE ELECTRICO TW 2x 4mm2</t>
  </si>
  <si>
    <t>10 07664</t>
  </si>
  <si>
    <t>DISPENSADOR DE PAPEL TOALLA DE PLASTICO</t>
  </si>
  <si>
    <t>10 07655</t>
  </si>
  <si>
    <t>INODORO LOZA BLANCA</t>
  </si>
  <si>
    <t>10 07663</t>
  </si>
  <si>
    <t>JABONERA CROMADA TIPO BOLA PARA JABON LIQUIDO</t>
  </si>
  <si>
    <t>10 07669</t>
  </si>
  <si>
    <t>JABONERA DE ACERO INOXIDABLE</t>
  </si>
  <si>
    <t>10 07657</t>
  </si>
  <si>
    <t>LAVATORIO LOSA BLANCA DE 23"X18" C/ACCESORIOS</t>
  </si>
  <si>
    <t>10 07668</t>
  </si>
  <si>
    <t>LAVATORIO OVALIN D/EMPOTRAR  INCL. MEZCLADORA</t>
  </si>
  <si>
    <t>10 07660</t>
  </si>
  <si>
    <t>LLAVE DE URINARIO TEMPORIZADA CROMADO</t>
  </si>
  <si>
    <t>10 07662</t>
  </si>
  <si>
    <t>PAPELERA DE LOZA BLANCA 15 x 15 cm BLANCA PARA EMPOTRAR</t>
  </si>
  <si>
    <t>10 07661</t>
  </si>
  <si>
    <t>PAPELERA DE PLASTICO CON TAPA Y VENTANA ABATIBLE</t>
  </si>
  <si>
    <t>10 00190</t>
  </si>
  <si>
    <t>SUMIDERO CROMADO DE 2"</t>
  </si>
  <si>
    <t>10 07672</t>
  </si>
  <si>
    <t>TAPAS DE SUMIDERO DE 4"</t>
  </si>
  <si>
    <t>10 07623</t>
  </si>
  <si>
    <t>TRAMPA "P" PVC DESAGUE 2"</t>
  </si>
  <si>
    <t>10 07658</t>
  </si>
  <si>
    <t>URINARIO LOSA BLANCA C/ACCESORIOS</t>
  </si>
  <si>
    <t>11 07678</t>
  </si>
  <si>
    <t>CONTINUIDAD, MEGADO, MEDICION PARA RPAT Y PROTOCOLOS (06TAB+02PAT)</t>
  </si>
  <si>
    <t>11 07730</t>
  </si>
  <si>
    <t>EQ. TIPO BRAQUET C/FOCO LED 1X20W</t>
  </si>
  <si>
    <t>11 07555</t>
  </si>
  <si>
    <t>LAMPARA DE EMERGENCIA SCHNEIDER</t>
  </si>
  <si>
    <t>11 07689</t>
  </si>
  <si>
    <t>LUMINARIA  TIPO I</t>
  </si>
  <si>
    <t>11 07690</t>
  </si>
  <si>
    <t>LUMINARIA  TIPO II</t>
  </si>
  <si>
    <t>11 07691</t>
  </si>
  <si>
    <t>LUMINARIA  TIPO III</t>
  </si>
  <si>
    <t>11 07729</t>
  </si>
  <si>
    <t>LUMINARIA DICROICO18W TIPO LED</t>
  </si>
  <si>
    <t>12 07692</t>
  </si>
  <si>
    <t>CAJA DE PASE PLANCHA GALVANIZADA 10CM x10CM (SELLADO HERMETICO)</t>
  </si>
  <si>
    <t>12 07693</t>
  </si>
  <si>
    <t>CAJA DE PASE PLANCHA GALVANIZADA 15CM x15CM (SELLADO HERMETICO)</t>
  </si>
  <si>
    <t>12 07694</t>
  </si>
  <si>
    <t>CAJA DE PASE PLANCHA GALVANIZADA 30CM x30CM (SELLADO HERMETICO)</t>
  </si>
  <si>
    <t>12 07707</t>
  </si>
  <si>
    <t>CAJA DE PASE RECTANGULAR PVC 4" x 2 1/2"</t>
  </si>
  <si>
    <t>12 07713</t>
  </si>
  <si>
    <t>CAJA DE PASO OVALADA TIPO LL SERIE X20mm</t>
  </si>
  <si>
    <t>12 00532</t>
  </si>
  <si>
    <t>CAJA OCTOGONAL GALV. 4" X 2 1/8 "</t>
  </si>
  <si>
    <t>12 07702</t>
  </si>
  <si>
    <t>CAJA RECTANGULAR GALVANIZADA LIVIANA DE 4"X2 1/8"</t>
  </si>
  <si>
    <t>12 07716</t>
  </si>
  <si>
    <t>CAJA RECTANGULAR GALVANIZADA LIVIANA DE 4"X4"</t>
  </si>
  <si>
    <t>12 07749</t>
  </si>
  <si>
    <t>ELECTROBOMBA DE EJE VERTICAL2HP</t>
  </si>
  <si>
    <t>12 07751</t>
  </si>
  <si>
    <t>EQUIPO  LUZ DE EMERGENCIA LED A  BATERIA RECARGABLE</t>
  </si>
  <si>
    <t>und</t>
  </si>
  <si>
    <t>12 07750</t>
  </si>
  <si>
    <t>INSTALACION PARA ELECTROBOMBA</t>
  </si>
  <si>
    <t>12 07739</t>
  </si>
  <si>
    <t>INTERRUPTOR DIFERENCIAL 2X25A-30mA SENSIBILIDAD</t>
  </si>
  <si>
    <t>12 07733</t>
  </si>
  <si>
    <t>INTERRUPTOR TERMOMAGNETICO DE 2X10A</t>
  </si>
  <si>
    <t>12 07746</t>
  </si>
  <si>
    <t>INTERRUPTOR TERMOMAGNETICO DE 2X10A 10KA RIEL DIN</t>
  </si>
  <si>
    <t>12 07738</t>
  </si>
  <si>
    <t>INTERRUPTOR TERMOMAGNETICO DE 2X16A-10KA RIEL DIN</t>
  </si>
  <si>
    <t>12 07736</t>
  </si>
  <si>
    <t>INTERRUPTOR TERMOMAGNETICO DE 2X20A 10KA RIEL DIN</t>
  </si>
  <si>
    <t>12 07734</t>
  </si>
  <si>
    <t>INTERRUPTOR TERMOMAGNETICO DE 3X20A 10KA RIEL DIN</t>
  </si>
  <si>
    <t>12 07745</t>
  </si>
  <si>
    <t>INTERRUPTOR TERMOMAGNETICO DE 3X32A 10KA RIEL DIN</t>
  </si>
  <si>
    <t>12 07741</t>
  </si>
  <si>
    <t>INTERRUPTOR TERMOMAGNETICO DE 3X40A 10KA RIEL DIN</t>
  </si>
  <si>
    <t>12 07742</t>
  </si>
  <si>
    <t>INTERRUPTOR TERMOMAGNETICO DE 3X50A 10KA RIEL DIN</t>
  </si>
  <si>
    <t>12 07735</t>
  </si>
  <si>
    <t>INTERRUPTOR TERMOMAGNETICO DE 3X80A</t>
  </si>
  <si>
    <t>12 07737</t>
  </si>
  <si>
    <t>INTERRUPTOR TERMOMAGNETICO REGULABLE  DE 3X100A</t>
  </si>
  <si>
    <t>12 07743</t>
  </si>
  <si>
    <t>INTERRUPTOR TERMOMAGNETICO REGULABLE  DE 3X63A-20KA RIEL DIN</t>
  </si>
  <si>
    <t>12 07683</t>
  </si>
  <si>
    <t>INTERRUPTOR TERMOPLASTICO DOBLE 10A-250V</t>
  </si>
  <si>
    <t>12 07732</t>
  </si>
  <si>
    <t>INTERRUPTOR TERMOPLASTICO SIMPLE10A-250V</t>
  </si>
  <si>
    <t>12 07744</t>
  </si>
  <si>
    <t>TABLERO GABINETE METAL BARRA COBRE 12 POLOS 3Ø</t>
  </si>
  <si>
    <t>12 07747</t>
  </si>
  <si>
    <t>TABLERO GABINETE METAL BARRA COBRE 20 POLOS 3Ø</t>
  </si>
  <si>
    <t>12 07740</t>
  </si>
  <si>
    <t>TABLERO GABINETE METAL BARRA COBRE 22 POLOS 3Ø</t>
  </si>
  <si>
    <t>12 07682</t>
  </si>
  <si>
    <t>TAPA CIEGA</t>
  </si>
  <si>
    <t>12 07685</t>
  </si>
  <si>
    <t>TAPA CIEGA PARA TOMACORRIENTE EN PARED</t>
  </si>
  <si>
    <t>12 07715</t>
  </si>
  <si>
    <t>TOMA PARA RED DATA (DADO) TICINO</t>
  </si>
  <si>
    <t>12 07684</t>
  </si>
  <si>
    <t>TOMACORRIENTE BIPOLAR DOBLE C/P A TIERRA</t>
  </si>
  <si>
    <t>12 07731</t>
  </si>
  <si>
    <t>TOMACORRIENTE TRIFASICO INDUSTRIAL CON PUESTA A TIERRA</t>
  </si>
  <si>
    <t>12 07539</t>
  </si>
  <si>
    <t>VENTANA VA-2</t>
  </si>
  <si>
    <t>13 07537</t>
  </si>
  <si>
    <t>IMPRIMANTE FINO</t>
  </si>
  <si>
    <t>BLS</t>
  </si>
  <si>
    <t>13 07570</t>
  </si>
  <si>
    <t>GL</t>
  </si>
  <si>
    <t>17 07577</t>
  </si>
  <si>
    <t>LADRILLO ARCILLA KING KONG 18 HUECOS (TIPO IV) 9X12.5X23 cm</t>
  </si>
  <si>
    <t>17 07580</t>
  </si>
  <si>
    <t>LADRILLO KK 18 HUECOS</t>
  </si>
  <si>
    <t>MLL</t>
  </si>
  <si>
    <t>17 00434</t>
  </si>
  <si>
    <t>LADRILLO P/TECHO DE 15x30x30 CM 8 HCOS.</t>
  </si>
  <si>
    <t>18 07714</t>
  </si>
  <si>
    <t>CABLE UTP CAT 6</t>
  </si>
  <si>
    <t>21 07585</t>
  </si>
  <si>
    <t>BUZON INC. SALIDA DE AGUA</t>
  </si>
  <si>
    <t>21 07667</t>
  </si>
  <si>
    <t>CAJA DE REBOSE 0.40x0.40 INCL. ACCESORIOS E INST.</t>
  </si>
  <si>
    <t>21 00100</t>
  </si>
  <si>
    <t>CEMENTO PORTLAND TIPO I (42.5KG)</t>
  </si>
  <si>
    <t>bol</t>
  </si>
  <si>
    <t>21 07584</t>
  </si>
  <si>
    <t>DADO DE CONCRETO</t>
  </si>
  <si>
    <t>21 07777</t>
  </si>
  <si>
    <t>GROUTING 30KG</t>
  </si>
  <si>
    <t>BOL</t>
  </si>
  <si>
    <t>24 07510</t>
  </si>
  <si>
    <t>PORCELANATO ANTIDESLIZANTE 60X60cm</t>
  </si>
  <si>
    <t>24 07513</t>
  </si>
  <si>
    <t>PORCELANATO ANTIDESLIZANTE BLANCO 60X60cm</t>
  </si>
  <si>
    <t>24 07579</t>
  </si>
  <si>
    <t>PORCELANATO ANTIDESLIZANTE COLOR ARENA 60X60cm</t>
  </si>
  <si>
    <t>26 07543</t>
  </si>
  <si>
    <t>BISAGRA CAPUCHINA 3"</t>
  </si>
  <si>
    <t>26 07544</t>
  </si>
  <si>
    <t>CERRADURA DE PUERTA TRAVEX-55</t>
  </si>
  <si>
    <t>26 07545</t>
  </si>
  <si>
    <t>CERRADURA DE PUERTA TRAVEX-65</t>
  </si>
  <si>
    <t>29 07796</t>
  </si>
  <si>
    <t>ACABADO DE CEMENTO PULIDO</t>
  </si>
  <si>
    <t>29 07462</t>
  </si>
  <si>
    <t>AGUA PROVISIONAL</t>
  </si>
  <si>
    <t>29 07797</t>
  </si>
  <si>
    <t>ARNES DE SEGURIDAD</t>
  </si>
  <si>
    <t>29 07470</t>
  </si>
  <si>
    <t>CALZADO DE SEGURIDAD</t>
  </si>
  <si>
    <t>PAR</t>
  </si>
  <si>
    <t>29 06958</t>
  </si>
  <si>
    <t>CARTELES DE PROMOCION DE CONSERVACION DE MEDIO AMBIENTE</t>
  </si>
  <si>
    <t>29 06957</t>
  </si>
  <si>
    <t>CARTELES DE PROMOCION DE SEGURIDAD</t>
  </si>
  <si>
    <t>29 07755</t>
  </si>
  <si>
    <t>CINTA DE SEÑALIZACION</t>
  </si>
  <si>
    <t>RLL</t>
  </si>
  <si>
    <t>29 06880</t>
  </si>
  <si>
    <t>CLAVOS PARA MADERA CON CABEZA</t>
  </si>
  <si>
    <t>29 06956</t>
  </si>
  <si>
    <t>CONO DE SEÑALIZACION NARANJA  DE 28" DE ALTURA</t>
  </si>
  <si>
    <t>29 07795</t>
  </si>
  <si>
    <t>DESMOLDANTE PARA ENCOFRADO</t>
  </si>
  <si>
    <t>GAL</t>
  </si>
  <si>
    <t>29 07463</t>
  </si>
  <si>
    <t>ENERGIA PROVISIONAL</t>
  </si>
  <si>
    <t>29 07554</t>
  </si>
  <si>
    <t>EXTINTOR CONTRAINCENDIOS C/POLVO QUIMICO SECO 6KG</t>
  </si>
  <si>
    <t>29 07490</t>
  </si>
  <si>
    <t>LISTONES DE ALUMINIO TACTO MADERA</t>
  </si>
  <si>
    <t>29 07474</t>
  </si>
  <si>
    <t>MALLA DE SEÑALIZACION</t>
  </si>
  <si>
    <t>29 07754</t>
  </si>
  <si>
    <t>MALLA NARANJA DE SEGURIDAD</t>
  </si>
  <si>
    <t>29 07458</t>
  </si>
  <si>
    <t>MALLA RASCHELL AL 90%</t>
  </si>
  <si>
    <t>29 07768</t>
  </si>
  <si>
    <t>MARMOLINA (BLS. 40KG)</t>
  </si>
  <si>
    <t>29 07762</t>
  </si>
  <si>
    <t>MASILLA</t>
  </si>
  <si>
    <t>29 07472</t>
  </si>
  <si>
    <t>PANTALON DE TRABAJO</t>
  </si>
  <si>
    <t>29 07471</t>
  </si>
  <si>
    <t>POLO DE TRABAJO</t>
  </si>
  <si>
    <t>29 07461</t>
  </si>
  <si>
    <t>PUNTO DE ENERGIA</t>
  </si>
  <si>
    <t>29 07798</t>
  </si>
  <si>
    <t>RECURSO PARA RESPUESTA ANTE EMERGENCIA</t>
  </si>
  <si>
    <t>29 07459</t>
  </si>
  <si>
    <t>SC ALQUILER DE BAÑOS QUIMICOS</t>
  </si>
  <si>
    <t>29 07466</t>
  </si>
  <si>
    <t>SC DESMONTAJE DE SISTEMA DE COMUNICACIONES Y REDES</t>
  </si>
  <si>
    <t>29 07465</t>
  </si>
  <si>
    <t>SC DESMONTAJE DE SISTEMA ELECTRICO</t>
  </si>
  <si>
    <t>29 06939</t>
  </si>
  <si>
    <t>SC ELABORACION DEL PLAN DE SEGURIDAD Y SALUD EN EL TRABAJO</t>
  </si>
  <si>
    <t>glb</t>
  </si>
  <si>
    <t>29 06959</t>
  </si>
  <si>
    <t>SC SERVICIO DE CAPACITACION DE SEGURIDAD, SALUD y MEDIO AMBIENTE</t>
  </si>
  <si>
    <t>29 07756</t>
  </si>
  <si>
    <t>SC TRANSPORTE DE MATERIALES</t>
  </si>
  <si>
    <t>29 07499</t>
  </si>
  <si>
    <t>SELLADOR DE TERRAZO</t>
  </si>
  <si>
    <t>GLN</t>
  </si>
  <si>
    <t>29 07473</t>
  </si>
  <si>
    <t>SOGA DE NYLON</t>
  </si>
  <si>
    <t>29 07491</t>
  </si>
  <si>
    <t>SOL Y SOMBRA</t>
  </si>
  <si>
    <t>29 00862</t>
  </si>
  <si>
    <t>SOLDADURA CELLOCORD 1/8"</t>
  </si>
  <si>
    <t>29 07520</t>
  </si>
  <si>
    <t>SOLDADURA P/ACERO INOX</t>
  </si>
  <si>
    <t>29 07460</t>
  </si>
  <si>
    <t>SUM.E INST. PARA PUNTO DE AGUA EN OBRA</t>
  </si>
  <si>
    <t>29 07469</t>
  </si>
  <si>
    <t>TAPONES DE OIDOS</t>
  </si>
  <si>
    <t>29 07502</t>
  </si>
  <si>
    <t>TRIPLAY FENOLICO DE 18MM</t>
  </si>
  <si>
    <t>29 07652</t>
  </si>
  <si>
    <t>UNIONES UNIVERSAL CON ROSCA PVC SAP 1 1/4"</t>
  </si>
  <si>
    <t>29 07767</t>
  </si>
  <si>
    <t>WOODPANEL DE OVC CON ACABADO DE MADERA</t>
  </si>
  <si>
    <t>30 07565</t>
  </si>
  <si>
    <t>ADITIVO CURADOR</t>
  </si>
  <si>
    <t>30 07775</t>
  </si>
  <si>
    <t>ADITIVO EPOXICO PARA ANCLAJE</t>
  </si>
  <si>
    <t>30 07752</t>
  </si>
  <si>
    <t>AIRE ACONDICIONADO</t>
  </si>
  <si>
    <t>30 07551</t>
  </si>
  <si>
    <t>AMBIENTADOR ANTIBACTERIAL PARA PISOS</t>
  </si>
  <si>
    <t>30 07779</t>
  </si>
  <si>
    <t>BARRA ROSCADA DE 16mmx370mm ASTM A325</t>
  </si>
  <si>
    <t>30 04477</t>
  </si>
  <si>
    <t>BASE PARA PINTURA</t>
  </si>
  <si>
    <t>30 07560</t>
  </si>
  <si>
    <t>BOTADERO AUTORIZADO</t>
  </si>
  <si>
    <t>30 01403</t>
  </si>
  <si>
    <t>CAL HIDRATADA DE 30 Kg</t>
  </si>
  <si>
    <t>30 05732</t>
  </si>
  <si>
    <t>CAL HIDRAULICA</t>
  </si>
  <si>
    <t>30 07494</t>
  </si>
  <si>
    <t>CAMARA MORTUARIA FRIGORIFICO</t>
  </si>
  <si>
    <t>30 07493</t>
  </si>
  <si>
    <t>CARRITO DE ELEVACION</t>
  </si>
  <si>
    <t>30 07778</t>
  </si>
  <si>
    <t>CARTELERA METALICA 120x75x10mm ASTM A36</t>
  </si>
  <si>
    <t>30 07575</t>
  </si>
  <si>
    <t>CELOSIA DIVISORIA</t>
  </si>
  <si>
    <t>30 07769</t>
  </si>
  <si>
    <t>CEMENTO BLANCO BOLSA 1KG</t>
  </si>
  <si>
    <t>30 07549</t>
  </si>
  <si>
    <t>CERA LIQUIDA NEUTRO</t>
  </si>
  <si>
    <t>30 07698</t>
  </si>
  <si>
    <t>CINTA AISLANTE ELECTRICA ASA PLAST 19 x 10m</t>
  </si>
  <si>
    <t>30 00266</t>
  </si>
  <si>
    <t>CORDEL</t>
  </si>
  <si>
    <t>30 07791</t>
  </si>
  <si>
    <t>CURADOR ANTISOL</t>
  </si>
  <si>
    <t>30 07607</t>
  </si>
  <si>
    <t>EXTINTOR CONTRAINCENDIO C/GAS CARBONICO CO2 6KG</t>
  </si>
  <si>
    <t>30 07606</t>
  </si>
  <si>
    <t>EXTINTOR DE ESPUMA</t>
  </si>
  <si>
    <t>30 07605</t>
  </si>
  <si>
    <t>EXTINTOR PQS 6KG(POLVO QUIMICO SECO)</t>
  </si>
  <si>
    <t>30 07548</t>
  </si>
  <si>
    <t>FACHALETA H=50cm LARGOS VARIABLES</t>
  </si>
  <si>
    <t>30 03229</t>
  </si>
  <si>
    <t>FRAGUA</t>
  </si>
  <si>
    <t>30 07492</t>
  </si>
  <si>
    <t>HORNO CREMATORIO ECOLOGICO Y ACCESORIOS</t>
  </si>
  <si>
    <t>30 02125</t>
  </si>
  <si>
    <t>IMPERMEABILIZANTE</t>
  </si>
  <si>
    <t>30 07582</t>
  </si>
  <si>
    <t>IMPRIMANTE 25kg</t>
  </si>
  <si>
    <t>30 07656</t>
  </si>
  <si>
    <t>KIT DE INSTALACION P/LLAVE DE LAVATORIO (TRAMPA PVC 1 1/4" TUBO DE ABASTO DE ALUMINIO, CAN</t>
  </si>
  <si>
    <t>30 07659</t>
  </si>
  <si>
    <t>KIT DE INSTALACION P/LLAVE DE LAVATORIO (TRAMPA PVC1 1/4" TUBO DE ABASTO DE ALUMINIO, CANO</t>
  </si>
  <si>
    <t>30 07654</t>
  </si>
  <si>
    <t>KIT DE INSTALACION PARA INODORO BLANCO (INC. TUBO DE ABASTO, ANILLO DE CERA Y PERNOS DE AN</t>
  </si>
  <si>
    <t>30 07789</t>
  </si>
  <si>
    <t>LAVADERO DE ACERO INOXIDABLE UNA POZA, INC. ACCESORIOS</t>
  </si>
  <si>
    <t>30 07467</t>
  </si>
  <si>
    <t>LENTES DE SEGURIDAD (CAMBIO C/5 DIAS)</t>
  </si>
  <si>
    <t>30 07783</t>
  </si>
  <si>
    <t>LETRAS METALICAS GRANDES H=0.35M</t>
  </si>
  <si>
    <t>30 07784</t>
  </si>
  <si>
    <t>LETRAS METALICAS MEDIANAS H=0.18M</t>
  </si>
  <si>
    <t>30 07785</t>
  </si>
  <si>
    <t>LETRAS METALICAS PEQUEÑAS  H=0.18M</t>
  </si>
  <si>
    <t>30 07588</t>
  </si>
  <si>
    <t>LETRERO DE PABELLON 1.25x0.35 DE ACERO INOXIDABLE DE ACUERDO AL PLANO</t>
  </si>
  <si>
    <t>30 00144</t>
  </si>
  <si>
    <t>LIJA</t>
  </si>
  <si>
    <t>30 00025</t>
  </si>
  <si>
    <t>LIJA PARA MADERA</t>
  </si>
  <si>
    <t>30 07782</t>
  </si>
  <si>
    <t>LOGO METALICO</t>
  </si>
  <si>
    <t>30 07542</t>
  </si>
  <si>
    <t>MAMPARA M-01</t>
  </si>
  <si>
    <t>30 07787</t>
  </si>
  <si>
    <t>MESA DE ACERO INOXIDABLE CON PUERTAS</t>
  </si>
  <si>
    <t>30 07546</t>
  </si>
  <si>
    <t>MEZCLA P/ACABADO MICROCEMENTO COLOR GRIS</t>
  </si>
  <si>
    <t>KIT</t>
  </si>
  <si>
    <t>30 07766</t>
  </si>
  <si>
    <t>MICROCEMENTO 5KG</t>
  </si>
  <si>
    <t>30 07681</t>
  </si>
  <si>
    <t>PEGAMENTO P/TUBO  PVC</t>
  </si>
  <si>
    <t>30 07512</t>
  </si>
  <si>
    <t>PEGAMENTO PARA PORCELANATO (25KG)</t>
  </si>
  <si>
    <t>30 04341</t>
  </si>
  <si>
    <t>PEGAMENTO PARA PVC</t>
  </si>
  <si>
    <t>30 00317</t>
  </si>
  <si>
    <t>PEGAMENTO PARA TUBERIA PVC</t>
  </si>
  <si>
    <t>30 07484</t>
  </si>
  <si>
    <t>PLAN DE CONTINGENCIA</t>
  </si>
  <si>
    <t>30 07479</t>
  </si>
  <si>
    <t>PLAN MANEJO DE RESIDUOS</t>
  </si>
  <si>
    <t>30 07506</t>
  </si>
  <si>
    <t>PLANCHA ALUZIN TR4E=30MM 105CMx500CM</t>
  </si>
  <si>
    <t>PLN</t>
  </si>
  <si>
    <t>30 07511</t>
  </si>
  <si>
    <t>PORCELANA PARA FRAGUA</t>
  </si>
  <si>
    <t>30 07486</t>
  </si>
  <si>
    <t>PROGRAMA DE CIERRE</t>
  </si>
  <si>
    <t>30 07485</t>
  </si>
  <si>
    <t>PROGRAMA DE CONTROL DE VIGILANCIA SANITARIA</t>
  </si>
  <si>
    <t>30 07482</t>
  </si>
  <si>
    <t>PROGRAMA DE EDUCACION, FORMACION Y CAPACITACION DE PERSONAL</t>
  </si>
  <si>
    <t>30 07480</t>
  </si>
  <si>
    <t>PROGRAMA DE MONITOREO AMBIENTAL</t>
  </si>
  <si>
    <t>30 07478</t>
  </si>
  <si>
    <t>PROGRAMA DE PREVENCION Y MITIGACION AMBIENTAL</t>
  </si>
  <si>
    <t>30 07483</t>
  </si>
  <si>
    <t>PROGRAMA DE SEGURIDAD Y SALUD OCUPACIONAL</t>
  </si>
  <si>
    <t>30 07481</t>
  </si>
  <si>
    <t>PROGRAMA DE USO DE AGUA</t>
  </si>
  <si>
    <t>30 07781</t>
  </si>
  <si>
    <t>PUERTA DE ALUMINIO 1.50x2.10 m (INC/COLOC. CERRAJERIA Y REJILLA DE ALUMINO)</t>
  </si>
  <si>
    <t>30 07529</t>
  </si>
  <si>
    <t>PUERTA DE DOBLE HOJA VAIVEN DE VIDRIO TEMPLADO E=8MM</t>
  </si>
  <si>
    <t>30 07498</t>
  </si>
  <si>
    <t>REVESTIMIENTO DE PIEDRA</t>
  </si>
  <si>
    <t>30 07753</t>
  </si>
  <si>
    <t>SENSOR CONTRA INCENDIO</t>
  </si>
  <si>
    <t>30 07608</t>
  </si>
  <si>
    <t>SEÑAL DE ADVERTENCIA DE RIESGO ELECTRICO</t>
  </si>
  <si>
    <t>30 07600</t>
  </si>
  <si>
    <t>SEÑAL DE AFORO (AUTOADHESIVO 0.20X0.30m)</t>
  </si>
  <si>
    <t>30 07595</t>
  </si>
  <si>
    <t>SEÑAL DE AREA RESTRINGIDA (AUTOADHESIVO 0.20X0.30m)</t>
  </si>
  <si>
    <t>30 07610</t>
  </si>
  <si>
    <t>SEÑAL DE AVISADOR SONORO DE ALARMA CONTRAINCENDIOS (AUTOADHESIVO 0.20X0.30m)</t>
  </si>
  <si>
    <t>30 07601</t>
  </si>
  <si>
    <t>SEÑAL DE BAÑOS (AUTOADHESIVO 0.20X0.30m)</t>
  </si>
  <si>
    <t>30 07594</t>
  </si>
  <si>
    <t>SEÑAL DE BOTIQUIN (AUTOADHESIVO 0.20X0.30m)</t>
  </si>
  <si>
    <t>30 07597</t>
  </si>
  <si>
    <t>SEÑAL DE CENTRAL DE ALARMA CONTRA INCENDIOS DE 0.20X0.30m</t>
  </si>
  <si>
    <t>30 07599</t>
  </si>
  <si>
    <t>SEÑAL DE DETECTOR DE HUMO DE 0.20X0.30m</t>
  </si>
  <si>
    <t>30 07598</t>
  </si>
  <si>
    <t>SEÑAL DE DETECTOR DE TEMPERATURA DE 0.20X0.30m</t>
  </si>
  <si>
    <t>30 07593</t>
  </si>
  <si>
    <t>SEÑAL DE EXTINTOR CO2 (ADHESIVO 0.20X0.30m)</t>
  </si>
  <si>
    <t>30 07592</t>
  </si>
  <si>
    <t>SEÑAL DE EXTINTOR DE ESPUMA (ADHESIVO 0.20X0.30m)</t>
  </si>
  <si>
    <t>30 07591</t>
  </si>
  <si>
    <t>SEÑAL DE EXTINTOR PORTATIL PQS  (ADHESIVO 0.20X0.30m)</t>
  </si>
  <si>
    <t>30 07596</t>
  </si>
  <si>
    <t>SEÑAL DE LUZ DE EMERGENCIA (AUTOADHESIVO 0.20X0.30m)</t>
  </si>
  <si>
    <t>30 07609</t>
  </si>
  <si>
    <t>SEÑAL DE POZO A TIERRA(AUTOADHESIVO(0.20X0.30)</t>
  </si>
  <si>
    <t>30 07590</t>
  </si>
  <si>
    <t>SEÑAL DE PULSADOR DE ALARMA CONTRAINCENDIOS (AUTOADHESIVO 0.20X0.30m)</t>
  </si>
  <si>
    <t>30 07613</t>
  </si>
  <si>
    <t>SEÑAL DE SALIDA A LA DERECHA AUTOADHESIVO 0.20X0.30m)</t>
  </si>
  <si>
    <t>30 07612</t>
  </si>
  <si>
    <t>SEÑAL DE SALIDA A LA IZQUIERDA AUTOADHESIVO 0.20X0.30m)</t>
  </si>
  <si>
    <t>30 07611</t>
  </si>
  <si>
    <t>SEÑAL DE SALIDA AUTOADHESIVO 0.20X0.30m)</t>
  </si>
  <si>
    <t>30 07556</t>
  </si>
  <si>
    <t>SEÑALES FOTOLUMINISCENTE</t>
  </si>
  <si>
    <t>30 07604</t>
  </si>
  <si>
    <t>SISTEMA DE ALARMA SONORA</t>
  </si>
  <si>
    <t>30 07567</t>
  </si>
  <si>
    <t>SUM. E INST. DE MAMPARA M-01 PAÑO SUPERIOR FIJA DE VIDRIO TEMPLADO e=8mm MARCO DE ALUMINIO</t>
  </si>
  <si>
    <t>30 07568</t>
  </si>
  <si>
    <t>SUM. E INST. DE MAMPARA M-02 PAÑO SUPERIO: FIJA DE VIDRIO TEMPLADO e=8mm MARCO DE ALUMINIO</t>
  </si>
  <si>
    <t>30 07530</t>
  </si>
  <si>
    <t>SUM. E INST. DE VENTANA V-1 PAÑO SUPERIOR: VENTANA PIVOTANTE VERTICAL DE VIDRIO TEMPLADO 8</t>
  </si>
  <si>
    <t>30 07531</t>
  </si>
  <si>
    <t>SUM. E INST. DE VENTANA V-2 PAÑO SUPERIOR: VENTANA PIVOTANTE VERTICAL DE VIDRIO TEMPLADO 8</t>
  </si>
  <si>
    <t>30 07532</t>
  </si>
  <si>
    <t>SUM. E INST. DE VENTANA V-3 PAÑO SUPERIOR: VENTANA PIVOTANTE VERTICAL DE VIDRIO TEMPLADO 8</t>
  </si>
  <si>
    <t>30 07535</t>
  </si>
  <si>
    <t>SUM. E INST. DE VENTANA V-4 FIJA DE VIDRIO TEMPLADO PIVOTANTE VERTICAL DE VIDRIO TEMPLADO</t>
  </si>
  <si>
    <t>30 07536</t>
  </si>
  <si>
    <t>SUM. E INST. DE VENTANA V-5 FIJA DE VIDRIO TEMPLADO DE 8MM Y MARCO DE ALUMINIO COLOR NEGRO</t>
  </si>
  <si>
    <t>30 07533</t>
  </si>
  <si>
    <t>SUM. E INST. DE VENTANA V-6, FIJA DE VIDRIO TEMPLADO DE 8MM Y MARCO DE ALUMINIO COLOR NEGR</t>
  </si>
  <si>
    <t>30 07534</t>
  </si>
  <si>
    <t>SUM. E INST. DE VENTANA V-7 FIJA DE VIDRIO TEMPLADO DE 8MM Y MARCO DE ALUMINIO COLOR NEGRO</t>
  </si>
  <si>
    <t>30 07566</t>
  </si>
  <si>
    <t>SUM. E INST. DE VENTANA VA-1 DE 3 CUERPOS PIVOTANTES VERTICAL CON APERTURA DE 60 GRADOS DE</t>
  </si>
  <si>
    <t>30 07786</t>
  </si>
  <si>
    <t>TANQUE DE GLP INCL. SUM. E INSTAL</t>
  </si>
  <si>
    <t>30 07793</t>
  </si>
  <si>
    <t>TECKNOPORT E=1"</t>
  </si>
  <si>
    <t>31 07765</t>
  </si>
  <si>
    <t>PUENTE DE ADHERENCIA</t>
  </si>
  <si>
    <t>32 03522</t>
  </si>
  <si>
    <t>TRANSPORTE DE EQUIPO Y MAQUINARIA</t>
  </si>
  <si>
    <t>37 06942</t>
  </si>
  <si>
    <t>CASCO DE SEGURIDAD INCL BARBIQUEJO</t>
  </si>
  <si>
    <t>37 06946</t>
  </si>
  <si>
    <t>CHALECO REFLECTIVO</t>
  </si>
  <si>
    <t>37 07468</t>
  </si>
  <si>
    <t>GUANTES</t>
  </si>
  <si>
    <t>par</t>
  </si>
  <si>
    <t>38 00005</t>
  </si>
  <si>
    <t>HORMIGON</t>
  </si>
  <si>
    <t>39 00036</t>
  </si>
  <si>
    <t>CARTEL DE OBRA</t>
  </si>
  <si>
    <t>39 00195</t>
  </si>
  <si>
    <t>CINTA TEFLON</t>
  </si>
  <si>
    <t>pza</t>
  </si>
  <si>
    <t>39 01644</t>
  </si>
  <si>
    <t>HIPOCLORITO DE CALCIO AL 70%</t>
  </si>
  <si>
    <t>39 02481</t>
  </si>
  <si>
    <t>HOJA DE SIERRA</t>
  </si>
  <si>
    <t>39 07581</t>
  </si>
  <si>
    <t>LIJA PARA PARED</t>
  </si>
  <si>
    <t>HJA</t>
  </si>
  <si>
    <t>39 07550</t>
  </si>
  <si>
    <t>LIQUIDO LIMPIAVIDRIOS</t>
  </si>
  <si>
    <t>39 07518</t>
  </si>
  <si>
    <t>REJILLA METALICA INC PINTADO</t>
  </si>
  <si>
    <t>40 07553</t>
  </si>
  <si>
    <t>LOSETA DE PIEDRA</t>
  </si>
  <si>
    <t>42 07637</t>
  </si>
  <si>
    <t>CODO PVC DESAGUE 1"x45°</t>
  </si>
  <si>
    <t>42 07633</t>
  </si>
  <si>
    <t>CODO PVC DESAGUE 2"x90°</t>
  </si>
  <si>
    <t>42 07634</t>
  </si>
  <si>
    <t>CODO PVC DESAGUE 4"x45°</t>
  </si>
  <si>
    <t>42 07620</t>
  </si>
  <si>
    <t>CODO PVC SAL 2"x45°</t>
  </si>
  <si>
    <t>42 07621</t>
  </si>
  <si>
    <t>CODO PVC SAL 2"x90°</t>
  </si>
  <si>
    <t>42 07627</t>
  </si>
  <si>
    <t>CODO PVC SAL 4"x45°</t>
  </si>
  <si>
    <t>42 07628</t>
  </si>
  <si>
    <t>CODO PVC SAL 4"x90°</t>
  </si>
  <si>
    <t>43 01161</t>
  </si>
  <si>
    <t>ESTERA DE 3x2M</t>
  </si>
  <si>
    <t>43 07505</t>
  </si>
  <si>
    <t>LIJA PARA AGUA</t>
  </si>
  <si>
    <t>43 00140</t>
  </si>
  <si>
    <t>MADERA ANDAMIAJE</t>
  </si>
  <si>
    <t>P2</t>
  </si>
  <si>
    <t>43 07562</t>
  </si>
  <si>
    <t>MADERA NACIONAL P/ENCOFRADO</t>
  </si>
  <si>
    <t>43 07640</t>
  </si>
  <si>
    <t>MADERA TORNILLO SELECCIONADA Y PREPARADA</t>
  </si>
  <si>
    <t>43 07587</t>
  </si>
  <si>
    <t>PLANTAS PERENNE</t>
  </si>
  <si>
    <t>44 07552</t>
  </si>
  <si>
    <t>CRUZ DE MADERA PARA VELATORIO</t>
  </si>
  <si>
    <t>44 00924</t>
  </si>
  <si>
    <t>MADERA EUCALIPTO 3'' x 2 M</t>
  </si>
  <si>
    <t>44 00026</t>
  </si>
  <si>
    <t>TRIPLAY LUPUNA 4mm x 4' x 8'</t>
  </si>
  <si>
    <t>48 07770</t>
  </si>
  <si>
    <t>VARILLA DE FIERRO CORRUGADO 1/2"</t>
  </si>
  <si>
    <t>VAR</t>
  </si>
  <si>
    <t>51 07774</t>
  </si>
  <si>
    <t>TUBO RECTANGULAR A36, 4"x4"x3mm. L=6m</t>
  </si>
  <si>
    <t>54 07091</t>
  </si>
  <si>
    <t>PINTURA ANTICORROSIVA EPOXICA</t>
  </si>
  <si>
    <t>54 04501</t>
  </si>
  <si>
    <t>PINTURA DE TRAFICO</t>
  </si>
  <si>
    <t>54 00027</t>
  </si>
  <si>
    <t>PINTURA ESMALTE</t>
  </si>
  <si>
    <t>54 02525</t>
  </si>
  <si>
    <t>PINTURA ESMALTE EPOXICA</t>
  </si>
  <si>
    <t>54 00624</t>
  </si>
  <si>
    <t>PINTURA IMPRIMANTE</t>
  </si>
  <si>
    <t>54 00065</t>
  </si>
  <si>
    <t>PINTURA LATEX</t>
  </si>
  <si>
    <t>54 07547</t>
  </si>
  <si>
    <t>PINTURA MATE PARA MADERA</t>
  </si>
  <si>
    <t>54 02106</t>
  </si>
  <si>
    <t>THINNER ACRILICO</t>
  </si>
  <si>
    <t>54 07583</t>
  </si>
  <si>
    <t>XILOL</t>
  </si>
  <si>
    <t>56 03734</t>
  </si>
  <si>
    <t>CALAMINA</t>
  </si>
  <si>
    <t>56 07761</t>
  </si>
  <si>
    <t>PARANTE METALICO 38x38(1 5/8" x 1 5/8") E=0.45mm L=3.00m</t>
  </si>
  <si>
    <t>57 07773</t>
  </si>
  <si>
    <t>TAPA SANITARIA METALICA CON MARCO LAC G° 0.60x0.60, (inc. SUMINISTRO e INST.)</t>
  </si>
  <si>
    <t>59 07763</t>
  </si>
  <si>
    <t>PLANCHA DE SUPERBOARD</t>
  </si>
  <si>
    <t>59 07760</t>
  </si>
  <si>
    <t>PLANCHA DE YESO e=12.7mm, 1.22x2.44m</t>
  </si>
  <si>
    <t>59 07764</t>
  </si>
  <si>
    <t>PLANCHA DE YESO TIPO RF e=1/2", 1.22x2.44m</t>
  </si>
  <si>
    <t>62 07509</t>
  </si>
  <si>
    <t>CRUCETAS DE 2mm</t>
  </si>
  <si>
    <t>cto</t>
  </si>
  <si>
    <t>65 07507</t>
  </si>
  <si>
    <t>CORREA PERFIL PHR C-160</t>
  </si>
  <si>
    <t>65 07519</t>
  </si>
  <si>
    <t>TAPA DE ACERO INOX DE 1 1/2"</t>
  </si>
  <si>
    <t>68 07651</t>
  </si>
  <si>
    <t>ADAPTADOR UNION PRESION ROSCA PVC SAP 1 1/4"</t>
  </si>
  <si>
    <t>68 07673</t>
  </si>
  <si>
    <t>SUMIDERO DE BRONCE CROMADO DE 4"</t>
  </si>
  <si>
    <t>72 07645</t>
  </si>
  <si>
    <t>CODO PVC SAP P/AGUA C-10 SP 1 1/2" X 90°</t>
  </si>
  <si>
    <t>72 07643</t>
  </si>
  <si>
    <t>CODO PVC SAP P/AGUA C-10 SP 1 1/4" X 90°</t>
  </si>
  <si>
    <t>72 07641</t>
  </si>
  <si>
    <t>CODO PVC SAP P/AGUA C-10 SP 1/2" X 90°</t>
  </si>
  <si>
    <t>72 07679</t>
  </si>
  <si>
    <t>CURVA PVC SAP PESADA PARA INSTALACIONES ELECTRICAS DE 3/4"</t>
  </si>
  <si>
    <t>72 07708</t>
  </si>
  <si>
    <t>CURVA PVC-SEL 20mm</t>
  </si>
  <si>
    <t>72 07686</t>
  </si>
  <si>
    <t>CURVA PVC-SEL 25mm</t>
  </si>
  <si>
    <t>72 07718</t>
  </si>
  <si>
    <t>CURVA PVC-SEL 35mm</t>
  </si>
  <si>
    <t>72 07650</t>
  </si>
  <si>
    <t>NIPLE PVC SAP C/ROSCA 1 1/4" X 1 1/4"</t>
  </si>
  <si>
    <t>72 07624</t>
  </si>
  <si>
    <t>REDUCCION PVC DESAGUE 4" a 2"</t>
  </si>
  <si>
    <t>72 07676</t>
  </si>
  <si>
    <t>REDUCCION PVC SAP P/AGUA 1 1/2" a 1/2"</t>
  </si>
  <si>
    <t>72 07677</t>
  </si>
  <si>
    <t>REDUCCION PVC SAP P/AGUA C/10 DE 1 1/2" a 1 1/4"</t>
  </si>
  <si>
    <t>72 07619</t>
  </si>
  <si>
    <t>TAPON PVC SAL DESAGUE 2"</t>
  </si>
  <si>
    <t>72 07626</t>
  </si>
  <si>
    <t>TAPON PVC SAL DESAGUE 4"</t>
  </si>
  <si>
    <t>72 07665</t>
  </si>
  <si>
    <t>TAPON, ABRAZADERA Y ACCESORIOS</t>
  </si>
  <si>
    <t>72 07632</t>
  </si>
  <si>
    <t>TEE PVC DESAGUE S.P.2"</t>
  </si>
  <si>
    <t>72 07646</t>
  </si>
  <si>
    <t>TEE PVC SAP P/AGUA C-10 SP 1 1/2"</t>
  </si>
  <si>
    <t>72 07644</t>
  </si>
  <si>
    <t>TEE PVC SAP P/AGUA C-10 SP 1 1/4"</t>
  </si>
  <si>
    <t>72 07642</t>
  </si>
  <si>
    <t>TEE PVC SAP P/AGUA C-10 SP 1/2"</t>
  </si>
  <si>
    <t>72 00180</t>
  </si>
  <si>
    <t>TEE SANITARIA SIMPLE PVC SAL DE 4"</t>
  </si>
  <si>
    <t>72 07622</t>
  </si>
  <si>
    <t>TEE SANITARIA SIMPLE PVC SAL DE 4" X2"</t>
  </si>
  <si>
    <t>72 07703</t>
  </si>
  <si>
    <t>TUBERIA PVC ELECTRICO SAP 25mmx3m</t>
  </si>
  <si>
    <t>72 07717</t>
  </si>
  <si>
    <t>TUBERIA PVC ELECTRICO SEL 20mmx3m</t>
  </si>
  <si>
    <t>72 07687</t>
  </si>
  <si>
    <t>TUBERIA PVC ELECTRICO SEL 25mmx3m</t>
  </si>
  <si>
    <t>72 07719</t>
  </si>
  <si>
    <t>TUBERIA PVC ELECTRICO SEL 35mmx3m</t>
  </si>
  <si>
    <t>72 07699</t>
  </si>
  <si>
    <t>TUBERIA PVC P 25mm x 3m</t>
  </si>
  <si>
    <t>72 07680</t>
  </si>
  <si>
    <t>TUBERIA PVC SAP PARA INSTALACIONES ELECTRICAS DE 3/4"X3m</t>
  </si>
  <si>
    <t>72 07649</t>
  </si>
  <si>
    <t>TUBERIA PVC SAP PRESION PARA AGUA C-10 R. 1 1/2"</t>
  </si>
  <si>
    <t>72 07648</t>
  </si>
  <si>
    <t>TUBERIA PVC SAP PRESION PARA AGUA C-10 R. 1 1/4"</t>
  </si>
  <si>
    <t>72 07647</t>
  </si>
  <si>
    <t>TUBERIA PVC SAP PRESION PARA AGUA C-10 R. 1/2"</t>
  </si>
  <si>
    <t>72 07709</t>
  </si>
  <si>
    <t>TUBO PVC ELECTRICO SEL 20mm x 3m</t>
  </si>
  <si>
    <t>73 07586</t>
  </si>
  <si>
    <t>TUBERIA PVC 2"</t>
  </si>
  <si>
    <t>73 07616</t>
  </si>
  <si>
    <t>TUBO PVC DESAGUE SAL 2" X3m</t>
  </si>
  <si>
    <t>73 07625</t>
  </si>
  <si>
    <t>TUBO PVC DESAGUE SAL 4" X3m</t>
  </si>
  <si>
    <t>73 07631</t>
  </si>
  <si>
    <t>TUBO PVC DESAGUE SAP 1" X 3.00m</t>
  </si>
  <si>
    <t>73 07630</t>
  </si>
  <si>
    <t>TUBO PVC DESAGUE SAP 4" X 3.00m</t>
  </si>
  <si>
    <t>73 07629</t>
  </si>
  <si>
    <t>YEE PVC  DESAGUE 4"</t>
  </si>
  <si>
    <t>73 07635</t>
  </si>
  <si>
    <t>YEE PVC SAL C/REDUCC. 4"-2"</t>
  </si>
  <si>
    <t>73 07617</t>
  </si>
  <si>
    <t>YEE PVC SAL DESAGUE 2"</t>
  </si>
  <si>
    <t>73 07618</t>
  </si>
  <si>
    <t>YEE PVC SAL DESAGUE 4" a 2"</t>
  </si>
  <si>
    <t>73 07636</t>
  </si>
  <si>
    <t>YEE PVC SAP C-10 SP 4"</t>
  </si>
  <si>
    <t>74 07704</t>
  </si>
  <si>
    <t>CONEXION A CAJA PVC SAP 1"</t>
  </si>
  <si>
    <t>74 07705</t>
  </si>
  <si>
    <t>CONEXION A CAJA PVC SAP 20mm</t>
  </si>
  <si>
    <t>74 07695</t>
  </si>
  <si>
    <t>CONEXION A CAJA PVC SAP PARA INST ELECTRICAS DE 3/4"</t>
  </si>
  <si>
    <t>75 07706</t>
  </si>
  <si>
    <t>UNION PVC SAP 20mm</t>
  </si>
  <si>
    <t>76 07670</t>
  </si>
  <si>
    <t>VALVULA CHECK HORIZONTAL BRONCE 1/2"</t>
  </si>
  <si>
    <t>77 07653</t>
  </si>
  <si>
    <t>VALVULA DE PASO DE BRONCE DE 1 1/4" INCL.ACCESORIOS</t>
  </si>
  <si>
    <t>79 07504</t>
  </si>
  <si>
    <t>BLOQUE DE VIDRIO 0.19M x0.19M</t>
  </si>
  <si>
    <t>79 07538</t>
  </si>
  <si>
    <t>VINIL PAVONADO/ARENADO PARA VIDRIO</t>
  </si>
  <si>
    <t>80 07564</t>
  </si>
  <si>
    <t>CONCRETO PREMEZCLADO FC=175kg/cm2 CON CEMENTO T-1M3</t>
  </si>
  <si>
    <t>EQUIPO</t>
  </si>
  <si>
    <t>37 07666</t>
  </si>
  <si>
    <t>BALDE P/PRUEBA HIDROSTATICA INC. ACC</t>
  </si>
  <si>
    <t>HM</t>
  </si>
  <si>
    <t>37 01542</t>
  </si>
  <si>
    <t>EQUIPO DE PINTURA</t>
  </si>
  <si>
    <t>37 07788</t>
  </si>
  <si>
    <t>HERRAMIENTAS + IMPLEMEN.SEGURIDAD</t>
  </si>
  <si>
    <t>%mo</t>
  </si>
  <si>
    <t>37 00004</t>
  </si>
  <si>
    <t>HERRAMIENTAS MANUALES</t>
  </si>
  <si>
    <t>37 05733</t>
  </si>
  <si>
    <t>WINCHA</t>
  </si>
  <si>
    <t>39 07589</t>
  </si>
  <si>
    <t>REGLA DE ALUMINIO1"x4"x8"</t>
  </si>
  <si>
    <t>48 00156</t>
  </si>
  <si>
    <t>ANDAMIO METALICO</t>
  </si>
  <si>
    <t>48 03174</t>
  </si>
  <si>
    <t>CAMION VOLQUETE 15 M3</t>
  </si>
  <si>
    <t>48 07674</t>
  </si>
  <si>
    <t>CAMION VOLQUETE 6 X 4  330 HP 10m3</t>
  </si>
  <si>
    <t>48 00691</t>
  </si>
  <si>
    <t>CIZALLA</t>
  </si>
  <si>
    <t>48 06878</t>
  </si>
  <si>
    <t>COMPACTADORA VIBRATORIA TIPO PLANCHA 7 HP</t>
  </si>
  <si>
    <t>hm</t>
  </si>
  <si>
    <t>48 02029</t>
  </si>
  <si>
    <t>EQUIPO DE SOLDAR</t>
  </si>
  <si>
    <t>48 07508</t>
  </si>
  <si>
    <t>MEZCLADORA DE CONCRETO TAMBOR 18HP, 11P3</t>
  </si>
  <si>
    <t>48 07563</t>
  </si>
  <si>
    <t>VIBRADOR DE CONCRETO 4 HP 2"</t>
  </si>
  <si>
    <t>49 00386</t>
  </si>
  <si>
    <t>CAMION VOLQUETE 4x2 140-210 HP 6 M3.</t>
  </si>
  <si>
    <t>49 00385</t>
  </si>
  <si>
    <t>CARGADOR S/LLANTAS  110 - 125 HP</t>
  </si>
  <si>
    <t>49 07794</t>
  </si>
  <si>
    <t>CARGADOR S/LLANTAS 125 - 155 HP 3 YD3.</t>
  </si>
  <si>
    <t>49 02513</t>
  </si>
  <si>
    <t>CARGADOR S/LLANTAS 125 HP 2.5 YD3.</t>
  </si>
  <si>
    <t>49 07675</t>
  </si>
  <si>
    <t>CARGADOR SOBRE LLANTAS 125-155 HP 3  yd3</t>
  </si>
  <si>
    <t>49 07780</t>
  </si>
  <si>
    <t>COMPRESORAEQUIPO COMPRESOR PARA PINTURA</t>
  </si>
  <si>
    <t>49 07790</t>
  </si>
  <si>
    <t>MEZCLADORA DE CONC. TAMBOR 18HP 11 P3</t>
  </si>
  <si>
    <t>49 07578</t>
  </si>
  <si>
    <t>MEZCLADORA DE CONCRETO TAMBOR 18 HP 11 P3</t>
  </si>
  <si>
    <t>49 07558</t>
  </si>
  <si>
    <t>MINI CARGADOR 70HP,0.5 YD3</t>
  </si>
  <si>
    <t>49 07757</t>
  </si>
  <si>
    <t>MINICARGADOR (BOT CAT)</t>
  </si>
  <si>
    <t>49 00268</t>
  </si>
  <si>
    <t>PLANCHA COMPACTADORA VIBRAT. 4.0 HP</t>
  </si>
  <si>
    <t>49 00443</t>
  </si>
  <si>
    <t>PULIDORA DE TERRAZOS</t>
  </si>
  <si>
    <t>49 00105</t>
  </si>
  <si>
    <t>TEODOLITO</t>
  </si>
  <si>
    <t>49 00122</t>
  </si>
  <si>
    <t>VIBRADOR DE CONCRETO 4 HP 2.40"</t>
  </si>
  <si>
    <t>COSTO DIRECTO</t>
  </si>
  <si>
    <t/>
  </si>
  <si>
    <t>GASTOS GENERALES</t>
  </si>
  <si>
    <t>10 %</t>
  </si>
  <si>
    <t>UTILIDAD</t>
  </si>
  <si>
    <t>7 %</t>
  </si>
  <si>
    <t>SUB TOTAL</t>
  </si>
  <si>
    <t>IGV.</t>
  </si>
  <si>
    <t>18 %</t>
  </si>
  <si>
    <t>PRESUPUESTO TOTAL</t>
  </si>
  <si>
    <t>TOTAL ACUMULADO</t>
  </si>
  <si>
    <t>PORCENTAJE DE AVANCE</t>
  </si>
  <si>
    <t>PORCENTAJE ACUMULADO</t>
  </si>
  <si>
    <t>:CONSTRUCCION DE NICHO, COLUMBARIO Y CREMATORIO; REMODELACION DE VELATORIO; EN EL(LA) CEMENTERIO MUNICIPAL EN EL CENTRO POBLADO SANTIAGO DE SURCO, DISTRITO DE SANTIAGO DE SURCO, PROVINCIA LIMA, DEPARTAMENTO LIMA.</t>
  </si>
  <si>
    <t>OC+OS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</si>
</sst>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_ * #,##0.000_ ;_ * \-#,##0.000_ ;_ * &quot;-&quot;???_ ;_ @_ "/>
    <numFmt numFmtId="166" formatCode="_ * #,##0.00_ ;_ * \-#,##0.00_ ;_ * &quot; &quot;??_ ;_ @_ "/>
    <numFmt numFmtId="167" formatCode="0.00%\ "/>
  </numFmts>
  <fonts count="9" x14ac:knownFonts="1">
    <font>
      <sz val="11"/>
      <color theme="1"/>
      <name val="Calibri"/>
      <family val="2"/>
      <scheme val="minor"/>
    </font>
    <font>
      <sz val="8"/>
      <color theme="1"/>
      <name val="Arial Narrow"/>
      <family val="2"/>
    </font>
    <font>
      <b/>
      <i/>
      <sz val="8"/>
      <color theme="1"/>
      <name val="Times New Roman"/>
      <family val="1"/>
    </font>
    <font>
      <b/>
      <i/>
      <sz val="22"/>
      <color theme="1"/>
      <name val="Times New Roman"/>
      <family val="1"/>
    </font>
    <font>
      <sz val="8"/>
      <color theme="1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b/>
      <u/>
      <sz val="8"/>
      <color theme="1"/>
      <name val="Arial"/>
      <family val="2"/>
    </font>
    <font>
      <b/>
      <sz val="8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 style="thin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medium">
        <color auto="1"/>
      </right>
      <top style="thin">
        <color indexed="64"/>
      </top>
      <bottom/>
      <diagonal/>
    </border>
    <border>
      <left style="hair">
        <color auto="1"/>
      </left>
      <right style="medium">
        <color auto="1"/>
      </right>
      <top/>
      <bottom style="thin">
        <color indexed="64"/>
      </bottom>
      <diagonal/>
    </border>
    <border>
      <left style="hair">
        <color auto="1"/>
      </left>
      <right style="medium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 style="medium">
        <color indexed="64"/>
      </bottom>
      <diagonal/>
    </border>
    <border>
      <left style="hair">
        <color auto="1"/>
      </left>
      <right/>
      <top style="thin">
        <color indexed="64"/>
      </top>
      <bottom/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/>
      <top/>
      <bottom/>
      <diagonal/>
    </border>
    <border>
      <left style="medium">
        <color auto="1"/>
      </left>
      <right style="hair">
        <color auto="1"/>
      </right>
      <top style="thin">
        <color indexed="64"/>
      </top>
      <bottom/>
      <diagonal/>
    </border>
    <border>
      <left style="medium">
        <color auto="1"/>
      </left>
      <right style="hair">
        <color auto="1"/>
      </right>
      <top/>
      <bottom style="thin">
        <color indexed="64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/>
      <diagonal/>
    </border>
  </borders>
  <cellStyleXfs count="1">
    <xf numFmtId="0" fontId="0" fillId="0" borderId="0"/>
  </cellStyleXfs>
  <cellXfs count="119">
    <xf numFmtId="0" fontId="0" fillId="0" borderId="0" xfId="0"/>
    <xf numFmtId="164" fontId="1" fillId="0" borderId="0" xfId="0" applyNumberFormat="1" applyFont="1" applyAlignment="1">
      <alignment vertical="center"/>
    </xf>
    <xf numFmtId="164" fontId="2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0" xfId="0" applyNumberFormat="1" applyFont="1" applyAlignment="1">
      <alignment vertical="center"/>
    </xf>
    <xf numFmtId="1" fontId="3" fillId="0" borderId="0" xfId="0" applyNumberFormat="1" applyFont="1" applyAlignment="1">
      <alignment horizontal="centerContinuous" vertical="center"/>
    </xf>
    <xf numFmtId="164" fontId="5" fillId="0" borderId="0" xfId="0" applyNumberFormat="1" applyFont="1" applyAlignment="1">
      <alignment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Continuous" vertical="center"/>
    </xf>
    <xf numFmtId="164" fontId="2" fillId="0" borderId="6" xfId="0" applyNumberFormat="1" applyFont="1" applyBorder="1" applyAlignment="1">
      <alignment horizontal="centerContinuous" vertical="center"/>
    </xf>
    <xf numFmtId="164" fontId="2" fillId="0" borderId="4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Continuous" vertical="center"/>
    </xf>
    <xf numFmtId="164" fontId="2" fillId="0" borderId="9" xfId="0" applyNumberFormat="1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164" fontId="2" fillId="0" borderId="7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164" fontId="1" fillId="0" borderId="10" xfId="0" applyNumberFormat="1" applyFont="1" applyBorder="1" applyAlignment="1">
      <alignment vertical="center"/>
    </xf>
    <xf numFmtId="164" fontId="1" fillId="0" borderId="11" xfId="0" applyNumberFormat="1" applyFont="1" applyBorder="1" applyAlignment="1">
      <alignment vertical="center"/>
    </xf>
    <xf numFmtId="164" fontId="1" fillId="0" borderId="12" xfId="0" applyNumberFormat="1" applyFont="1" applyBorder="1" applyAlignment="1">
      <alignment vertical="center"/>
    </xf>
    <xf numFmtId="164" fontId="1" fillId="0" borderId="13" xfId="0" applyNumberFormat="1" applyFont="1" applyBorder="1" applyAlignment="1">
      <alignment vertical="center"/>
    </xf>
    <xf numFmtId="164" fontId="1" fillId="0" borderId="14" xfId="0" applyNumberFormat="1" applyFont="1" applyBorder="1" applyAlignment="1">
      <alignment vertical="center"/>
    </xf>
    <xf numFmtId="164" fontId="1" fillId="0" borderId="15" xfId="0" applyNumberFormat="1" applyFont="1" applyBorder="1" applyAlignment="1">
      <alignment vertical="center"/>
    </xf>
    <xf numFmtId="164" fontId="1" fillId="0" borderId="16" xfId="0" applyNumberFormat="1" applyFont="1" applyBorder="1" applyAlignment="1">
      <alignment vertical="center"/>
    </xf>
    <xf numFmtId="164" fontId="1" fillId="0" borderId="17" xfId="0" applyNumberFormat="1" applyFont="1" applyBorder="1" applyAlignment="1">
      <alignment vertical="center"/>
    </xf>
    <xf numFmtId="164" fontId="1" fillId="0" borderId="18" xfId="0" applyNumberFormat="1" applyFont="1" applyBorder="1" applyAlignment="1">
      <alignment vertical="center"/>
    </xf>
    <xf numFmtId="164" fontId="1" fillId="0" borderId="19" xfId="0" applyNumberFormat="1" applyFont="1" applyBorder="1" applyAlignment="1">
      <alignment vertical="center"/>
    </xf>
    <xf numFmtId="164" fontId="1" fillId="0" borderId="20" xfId="0" applyNumberFormat="1" applyFont="1" applyBorder="1" applyAlignment="1">
      <alignment vertical="center"/>
    </xf>
    <xf numFmtId="164" fontId="1" fillId="0" borderId="21" xfId="0" applyNumberFormat="1" applyFont="1" applyBorder="1" applyAlignment="1">
      <alignment vertical="center"/>
    </xf>
    <xf numFmtId="164" fontId="4" fillId="0" borderId="18" xfId="0" applyNumberFormat="1" applyFont="1" applyBorder="1" applyAlignment="1">
      <alignment vertical="center"/>
    </xf>
    <xf numFmtId="164" fontId="7" fillId="0" borderId="18" xfId="0" applyNumberFormat="1" applyFont="1" applyBorder="1" applyAlignment="1">
      <alignment vertical="center"/>
    </xf>
    <xf numFmtId="164" fontId="1" fillId="0" borderId="17" xfId="0" quotePrefix="1" applyNumberFormat="1" applyFont="1" applyBorder="1" applyAlignment="1">
      <alignment horizontal="center" vertical="center"/>
    </xf>
    <xf numFmtId="164" fontId="1" fillId="0" borderId="18" xfId="0" applyNumberFormat="1" applyFont="1" applyBorder="1" applyAlignment="1">
      <alignment horizontal="left" vertical="center" indent="1"/>
    </xf>
    <xf numFmtId="164" fontId="1" fillId="0" borderId="18" xfId="0" applyNumberFormat="1" applyFont="1" applyBorder="1" applyAlignment="1">
      <alignment horizontal="center" vertical="center"/>
    </xf>
    <xf numFmtId="165" fontId="1" fillId="0" borderId="18" xfId="0" applyNumberFormat="1" applyFont="1" applyBorder="1" applyAlignment="1">
      <alignment vertical="center"/>
    </xf>
    <xf numFmtId="164" fontId="1" fillId="0" borderId="22" xfId="0" applyNumberFormat="1" applyFont="1" applyBorder="1" applyAlignment="1">
      <alignment vertical="center"/>
    </xf>
    <xf numFmtId="164" fontId="1" fillId="0" borderId="23" xfId="0" applyNumberFormat="1" applyFont="1" applyBorder="1" applyAlignment="1">
      <alignment vertical="center"/>
    </xf>
    <xf numFmtId="164" fontId="1" fillId="0" borderId="24" xfId="0" applyNumberFormat="1" applyFont="1" applyBorder="1" applyAlignment="1">
      <alignment vertical="center"/>
    </xf>
    <xf numFmtId="164" fontId="1" fillId="0" borderId="25" xfId="0" applyNumberFormat="1" applyFont="1" applyBorder="1" applyAlignment="1">
      <alignment vertical="center"/>
    </xf>
    <xf numFmtId="164" fontId="1" fillId="0" borderId="26" xfId="0" applyNumberFormat="1" applyFont="1" applyBorder="1" applyAlignment="1">
      <alignment vertical="center"/>
    </xf>
    <xf numFmtId="164" fontId="1" fillId="0" borderId="27" xfId="0" applyNumberFormat="1" applyFont="1" applyBorder="1" applyAlignment="1">
      <alignment vertical="center"/>
    </xf>
    <xf numFmtId="166" fontId="1" fillId="0" borderId="10" xfId="0" applyNumberFormat="1" applyFont="1" applyBorder="1" applyAlignment="1">
      <alignment vertical="center"/>
    </xf>
    <xf numFmtId="166" fontId="1" fillId="0" borderId="16" xfId="0" applyNumberFormat="1" applyFont="1" applyBorder="1" applyAlignment="1">
      <alignment vertical="center"/>
    </xf>
    <xf numFmtId="166" fontId="1" fillId="0" borderId="27" xfId="0" applyNumberFormat="1" applyFont="1" applyBorder="1" applyAlignment="1">
      <alignment vertical="center"/>
    </xf>
    <xf numFmtId="164" fontId="4" fillId="0" borderId="12" xfId="0" applyNumberFormat="1" applyFont="1" applyBorder="1" applyAlignment="1">
      <alignment vertical="center"/>
    </xf>
    <xf numFmtId="164" fontId="1" fillId="0" borderId="12" xfId="0" quotePrefix="1" applyNumberFormat="1" applyFont="1" applyBorder="1" applyAlignment="1">
      <alignment horizontal="right" vertical="center"/>
    </xf>
    <xf numFmtId="166" fontId="1" fillId="0" borderId="12" xfId="0" applyNumberFormat="1" applyFont="1" applyBorder="1" applyAlignment="1">
      <alignment vertical="center"/>
    </xf>
    <xf numFmtId="164" fontId="1" fillId="0" borderId="18" xfId="0" quotePrefix="1" applyNumberFormat="1" applyFont="1" applyBorder="1" applyAlignment="1">
      <alignment horizontal="right" vertical="center"/>
    </xf>
    <xf numFmtId="166" fontId="1" fillId="0" borderId="18" xfId="0" applyNumberFormat="1" applyFont="1" applyBorder="1" applyAlignment="1">
      <alignment vertical="center"/>
    </xf>
    <xf numFmtId="164" fontId="4" fillId="0" borderId="23" xfId="0" applyNumberFormat="1" applyFont="1" applyBorder="1" applyAlignment="1">
      <alignment vertical="center"/>
    </xf>
    <xf numFmtId="164" fontId="1" fillId="0" borderId="23" xfId="0" quotePrefix="1" applyNumberFormat="1" applyFont="1" applyBorder="1" applyAlignment="1">
      <alignment horizontal="right" vertical="center"/>
    </xf>
    <xf numFmtId="166" fontId="1" fillId="0" borderId="23" xfId="0" applyNumberFormat="1" applyFont="1" applyBorder="1" applyAlignment="1">
      <alignment vertical="center"/>
    </xf>
    <xf numFmtId="166" fontId="1" fillId="0" borderId="13" xfId="0" applyNumberFormat="1" applyFont="1" applyBorder="1" applyAlignment="1">
      <alignment vertical="center"/>
    </xf>
    <xf numFmtId="166" fontId="1" fillId="0" borderId="19" xfId="0" applyNumberFormat="1" applyFont="1" applyBorder="1" applyAlignment="1">
      <alignment vertical="center"/>
    </xf>
    <xf numFmtId="166" fontId="1" fillId="0" borderId="26" xfId="0" applyNumberFormat="1" applyFont="1" applyBorder="1" applyAlignment="1">
      <alignment vertical="center"/>
    </xf>
    <xf numFmtId="166" fontId="1" fillId="0" borderId="14" xfId="0" applyNumberFormat="1" applyFont="1" applyBorder="1" applyAlignment="1">
      <alignment vertical="center"/>
    </xf>
    <xf numFmtId="166" fontId="1" fillId="0" borderId="20" xfId="0" applyNumberFormat="1" applyFont="1" applyBorder="1" applyAlignment="1">
      <alignment vertical="center"/>
    </xf>
    <xf numFmtId="166" fontId="1" fillId="0" borderId="24" xfId="0" applyNumberFormat="1" applyFont="1" applyBorder="1" applyAlignment="1">
      <alignment vertical="center"/>
    </xf>
    <xf numFmtId="166" fontId="1" fillId="0" borderId="15" xfId="0" applyNumberFormat="1" applyFont="1" applyBorder="1" applyAlignment="1">
      <alignment vertical="center"/>
    </xf>
    <xf numFmtId="166" fontId="1" fillId="0" borderId="21" xfId="0" applyNumberFormat="1" applyFont="1" applyBorder="1" applyAlignment="1">
      <alignment vertical="center"/>
    </xf>
    <xf numFmtId="166" fontId="1" fillId="0" borderId="25" xfId="0" applyNumberFormat="1" applyFont="1" applyBorder="1" applyAlignment="1">
      <alignment vertical="center"/>
    </xf>
    <xf numFmtId="166" fontId="8" fillId="0" borderId="28" xfId="0" applyNumberFormat="1" applyFont="1" applyBorder="1" applyAlignment="1">
      <alignment vertical="center"/>
    </xf>
    <xf numFmtId="164" fontId="1" fillId="0" borderId="29" xfId="0" applyNumberFormat="1" applyFont="1" applyBorder="1" applyAlignment="1">
      <alignment vertical="center"/>
    </xf>
    <xf numFmtId="164" fontId="1" fillId="0" borderId="30" xfId="0" applyNumberFormat="1" applyFont="1" applyBorder="1" applyAlignment="1">
      <alignment vertical="center"/>
    </xf>
    <xf numFmtId="164" fontId="1" fillId="0" borderId="31" xfId="0" applyNumberFormat="1" applyFont="1" applyBorder="1" applyAlignment="1">
      <alignment vertical="center"/>
    </xf>
    <xf numFmtId="164" fontId="6" fillId="0" borderId="32" xfId="0" applyNumberFormat="1" applyFont="1" applyBorder="1" applyAlignment="1">
      <alignment vertical="center"/>
    </xf>
    <xf numFmtId="164" fontId="1" fillId="0" borderId="32" xfId="0" applyNumberFormat="1" applyFont="1" applyBorder="1" applyAlignment="1">
      <alignment vertical="center"/>
    </xf>
    <xf numFmtId="164" fontId="8" fillId="0" borderId="32" xfId="0" quotePrefix="1" applyNumberFormat="1" applyFont="1" applyBorder="1" applyAlignment="1">
      <alignment horizontal="right" vertical="center"/>
    </xf>
    <xf numFmtId="166" fontId="8" fillId="0" borderId="32" xfId="0" applyNumberFormat="1" applyFont="1" applyBorder="1" applyAlignment="1">
      <alignment vertical="center"/>
    </xf>
    <xf numFmtId="164" fontId="1" fillId="0" borderId="33" xfId="0" applyNumberFormat="1" applyFont="1" applyBorder="1" applyAlignment="1">
      <alignment vertical="center"/>
    </xf>
    <xf numFmtId="164" fontId="4" fillId="0" borderId="34" xfId="0" applyNumberFormat="1" applyFont="1" applyBorder="1" applyAlignment="1">
      <alignment vertical="center"/>
    </xf>
    <xf numFmtId="164" fontId="1" fillId="0" borderId="34" xfId="0" applyNumberFormat="1" applyFont="1" applyBorder="1" applyAlignment="1">
      <alignment vertical="center"/>
    </xf>
    <xf numFmtId="164" fontId="1" fillId="0" borderId="35" xfId="0" applyNumberFormat="1" applyFont="1" applyBorder="1" applyAlignment="1">
      <alignment vertical="center"/>
    </xf>
    <xf numFmtId="164" fontId="4" fillId="0" borderId="36" xfId="0" applyNumberFormat="1" applyFont="1" applyBorder="1" applyAlignment="1">
      <alignment vertical="center"/>
    </xf>
    <xf numFmtId="164" fontId="1" fillId="0" borderId="36" xfId="0" applyNumberFormat="1" applyFont="1" applyBorder="1" applyAlignment="1">
      <alignment vertical="center"/>
    </xf>
    <xf numFmtId="167" fontId="1" fillId="0" borderId="36" xfId="0" applyNumberFormat="1" applyFont="1" applyBorder="1" applyAlignment="1">
      <alignment vertical="center"/>
    </xf>
    <xf numFmtId="167" fontId="1" fillId="0" borderId="37" xfId="0" applyNumberFormat="1" applyFont="1" applyBorder="1" applyAlignment="1">
      <alignment vertical="center"/>
    </xf>
    <xf numFmtId="166" fontId="8" fillId="0" borderId="38" xfId="0" applyNumberFormat="1" applyFont="1" applyBorder="1" applyAlignment="1">
      <alignment vertical="center"/>
    </xf>
    <xf numFmtId="164" fontId="1" fillId="0" borderId="39" xfId="0" applyNumberFormat="1" applyFont="1" applyBorder="1" applyAlignment="1">
      <alignment vertical="center"/>
    </xf>
    <xf numFmtId="167" fontId="1" fillId="0" borderId="40" xfId="0" applyNumberFormat="1" applyFont="1" applyBorder="1" applyAlignment="1">
      <alignment vertical="center"/>
    </xf>
    <xf numFmtId="167" fontId="1" fillId="0" borderId="41" xfId="0" applyNumberFormat="1" applyFont="1" applyBorder="1" applyAlignment="1">
      <alignment vertical="center"/>
    </xf>
    <xf numFmtId="166" fontId="8" fillId="0" borderId="42" xfId="0" applyNumberFormat="1" applyFont="1" applyBorder="1" applyAlignment="1">
      <alignment vertical="center"/>
    </xf>
    <xf numFmtId="164" fontId="1" fillId="0" borderId="43" xfId="0" applyNumberFormat="1" applyFont="1" applyBorder="1" applyAlignment="1">
      <alignment vertical="center"/>
    </xf>
    <xf numFmtId="164" fontId="1" fillId="0" borderId="44" xfId="0" applyNumberFormat="1" applyFont="1" applyBorder="1" applyAlignment="1">
      <alignment vertical="center"/>
    </xf>
    <xf numFmtId="166" fontId="8" fillId="0" borderId="45" xfId="0" applyNumberFormat="1" applyFont="1" applyBorder="1" applyAlignment="1">
      <alignment vertical="center"/>
    </xf>
    <xf numFmtId="164" fontId="1" fillId="0" borderId="46" xfId="0" applyNumberFormat="1" applyFont="1" applyBorder="1" applyAlignment="1">
      <alignment vertical="center"/>
    </xf>
    <xf numFmtId="167" fontId="1" fillId="0" borderId="47" xfId="0" applyNumberFormat="1" applyFont="1" applyBorder="1" applyAlignment="1">
      <alignment vertical="center"/>
    </xf>
    <xf numFmtId="167" fontId="1" fillId="0" borderId="48" xfId="0" applyNumberFormat="1" applyFont="1" applyBorder="1" applyAlignment="1">
      <alignment vertical="center"/>
    </xf>
    <xf numFmtId="164" fontId="1" fillId="2" borderId="18" xfId="0" applyNumberFormat="1" applyFont="1" applyFill="1" applyBorder="1" applyAlignment="1">
      <alignment horizontal="left" vertical="center" indent="1"/>
    </xf>
    <xf numFmtId="166" fontId="1" fillId="0" borderId="50" xfId="0" applyNumberFormat="1" applyFont="1" applyBorder="1" applyAlignment="1">
      <alignment vertical="center"/>
    </xf>
    <xf numFmtId="166" fontId="1" fillId="0" borderId="49" xfId="0" applyNumberFormat="1" applyFont="1" applyBorder="1" applyAlignment="1">
      <alignment vertical="center"/>
    </xf>
    <xf numFmtId="166" fontId="1" fillId="0" borderId="51" xfId="0" applyNumberFormat="1" applyFont="1" applyBorder="1" applyAlignment="1">
      <alignment vertical="center"/>
    </xf>
    <xf numFmtId="164" fontId="1" fillId="2" borderId="20" xfId="0" applyNumberFormat="1" applyFont="1" applyFill="1" applyBorder="1" applyAlignment="1">
      <alignment vertical="center"/>
    </xf>
    <xf numFmtId="164" fontId="1" fillId="2" borderId="21" xfId="0" applyNumberFormat="1" applyFont="1" applyFill="1" applyBorder="1" applyAlignment="1">
      <alignment vertical="center"/>
    </xf>
    <xf numFmtId="164" fontId="1" fillId="2" borderId="18" xfId="0" applyNumberFormat="1" applyFont="1" applyFill="1" applyBorder="1" applyAlignment="1">
      <alignment vertical="center"/>
    </xf>
    <xf numFmtId="164" fontId="1" fillId="2" borderId="19" xfId="0" applyNumberFormat="1" applyFont="1" applyFill="1" applyBorder="1" applyAlignment="1">
      <alignment vertical="center"/>
    </xf>
    <xf numFmtId="164" fontId="1" fillId="2" borderId="16" xfId="0" applyNumberFormat="1" applyFont="1" applyFill="1" applyBorder="1" applyAlignment="1">
      <alignment vertical="center"/>
    </xf>
    <xf numFmtId="164" fontId="1" fillId="2" borderId="0" xfId="0" applyNumberFormat="1" applyFont="1" applyFill="1" applyAlignment="1">
      <alignment vertical="center"/>
    </xf>
    <xf numFmtId="166" fontId="1" fillId="0" borderId="44" xfId="0" applyNumberFormat="1" applyFont="1" applyBorder="1" applyAlignment="1">
      <alignment vertical="center"/>
    </xf>
    <xf numFmtId="166" fontId="1" fillId="0" borderId="43" xfId="0" applyNumberFormat="1" applyFont="1" applyBorder="1" applyAlignment="1">
      <alignment vertical="center"/>
    </xf>
    <xf numFmtId="166" fontId="1" fillId="0" borderId="42" xfId="0" applyNumberFormat="1" applyFont="1" applyBorder="1" applyAlignment="1">
      <alignment vertical="center"/>
    </xf>
    <xf numFmtId="164" fontId="1" fillId="0" borderId="47" xfId="0" applyNumberFormat="1" applyFont="1" applyBorder="1" applyAlignment="1">
      <alignment vertical="center"/>
    </xf>
    <xf numFmtId="164" fontId="1" fillId="0" borderId="40" xfId="0" applyNumberFormat="1" applyFont="1" applyBorder="1" applyAlignment="1">
      <alignment vertical="center"/>
    </xf>
    <xf numFmtId="166" fontId="1" fillId="0" borderId="52" xfId="0" applyNumberFormat="1" applyFont="1" applyBorder="1" applyAlignment="1">
      <alignment vertical="center"/>
    </xf>
    <xf numFmtId="166" fontId="1" fillId="0" borderId="40" xfId="0" applyNumberFormat="1" applyFont="1" applyBorder="1" applyAlignment="1">
      <alignment vertical="center"/>
    </xf>
    <xf numFmtId="166" fontId="1" fillId="0" borderId="53" xfId="0" applyNumberFormat="1" applyFont="1" applyBorder="1" applyAlignment="1">
      <alignment vertical="center"/>
    </xf>
    <xf numFmtId="166" fontId="1" fillId="0" borderId="39" xfId="0" applyNumberFormat="1" applyFont="1" applyBorder="1" applyAlignment="1">
      <alignment vertical="center"/>
    </xf>
    <xf numFmtId="166" fontId="1" fillId="0" borderId="38" xfId="0" applyNumberFormat="1" applyFont="1" applyBorder="1" applyAlignment="1">
      <alignment vertical="center"/>
    </xf>
    <xf numFmtId="166" fontId="8" fillId="0" borderId="50" xfId="0" applyNumberFormat="1" applyFont="1" applyBorder="1" applyAlignment="1">
      <alignment vertical="center"/>
    </xf>
    <xf numFmtId="164" fontId="1" fillId="0" borderId="54" xfId="0" applyNumberFormat="1" applyFont="1" applyBorder="1" applyAlignment="1">
      <alignment vertical="center"/>
    </xf>
    <xf numFmtId="166" fontId="8" fillId="0" borderId="54" xfId="0" applyNumberFormat="1" applyFont="1" applyBorder="1" applyAlignment="1">
      <alignment vertical="center"/>
    </xf>
    <xf numFmtId="164" fontId="1" fillId="0" borderId="42" xfId="0" applyNumberFormat="1" applyFont="1" applyBorder="1" applyAlignment="1">
      <alignment vertical="center"/>
    </xf>
    <xf numFmtId="164" fontId="1" fillId="2" borderId="18" xfId="0" applyNumberFormat="1" applyFont="1" applyFill="1" applyBorder="1" applyAlignment="1">
      <alignment horizontal="center" vertical="center"/>
    </xf>
    <xf numFmtId="164" fontId="1" fillId="2" borderId="44" xfId="0" applyNumberFormat="1" applyFont="1" applyFill="1" applyBorder="1" applyAlignment="1">
      <alignment vertical="center"/>
    </xf>
    <xf numFmtId="164" fontId="1" fillId="2" borderId="47" xfId="0" applyNumberFormat="1" applyFont="1" applyFill="1" applyBorder="1" applyAlignment="1">
      <alignment vertical="center"/>
    </xf>
    <xf numFmtId="164" fontId="1" fillId="2" borderId="36" xfId="0" applyNumberFormat="1" applyFont="1" applyFill="1" applyBorder="1" applyAlignment="1">
      <alignment vertical="center"/>
    </xf>
    <xf numFmtId="164" fontId="1" fillId="2" borderId="40" xfId="0" applyNumberFormat="1" applyFont="1" applyFill="1" applyBorder="1" applyAlignment="1">
      <alignment vertical="center"/>
    </xf>
    <xf numFmtId="164" fontId="1" fillId="2" borderId="30" xfId="0" applyNumberFormat="1" applyFont="1" applyFill="1" applyBorder="1" applyAlignment="1">
      <alignment vertical="center"/>
    </xf>
    <xf numFmtId="164" fontId="1" fillId="2" borderId="17" xfId="0" quotePrefix="1" applyNumberFormat="1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620736</xdr:colOff>
      <xdr:row>438</xdr:row>
      <xdr:rowOff>114300</xdr:rowOff>
    </xdr:from>
    <xdr:to>
      <xdr:col>10</xdr:col>
      <xdr:colOff>519332</xdr:colOff>
      <xdr:row>450</xdr:row>
      <xdr:rowOff>53340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8BCAFC3-4EE3-61BB-FF79-A630B12EF2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9999" r="5629" b="17306"/>
        <a:stretch>
          <a:fillRect/>
        </a:stretch>
      </xdr:blipFill>
      <xdr:spPr>
        <a:xfrm>
          <a:off x="620736" y="57358085"/>
          <a:ext cx="7799950" cy="14864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425</xdr:row>
      <xdr:rowOff>106679</xdr:rowOff>
    </xdr:from>
    <xdr:to>
      <xdr:col>11</xdr:col>
      <xdr:colOff>595151</xdr:colOff>
      <xdr:row>437</xdr:row>
      <xdr:rowOff>54056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4B09BC-EE91-4B98-2A38-4DFA04769C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5674064"/>
          <a:ext cx="9147136" cy="14948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662940</xdr:colOff>
      <xdr:row>419</xdr:row>
      <xdr:rowOff>22860</xdr:rowOff>
    </xdr:from>
    <xdr:to>
      <xdr:col>12</xdr:col>
      <xdr:colOff>61791</xdr:colOff>
      <xdr:row>432</xdr:row>
      <xdr:rowOff>15385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184BF20-DC4D-B0E3-73E0-FAE5E00171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982"/>
        <a:stretch>
          <a:fillRect/>
        </a:stretch>
      </xdr:blipFill>
      <xdr:spPr>
        <a:xfrm>
          <a:off x="662940" y="55031640"/>
          <a:ext cx="8725731" cy="16765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2CC0C-83A5-4CFD-8F2C-65D75E4A2CEA}">
  <dimension ref="A1:L415"/>
  <sheetViews>
    <sheetView tabSelected="1" view="pageBreakPreview" topLeftCell="A246" zoomScale="170" zoomScaleNormal="100" zoomScaleSheetLayoutView="170" workbookViewId="0">
      <selection activeCell="B256" sqref="B256"/>
    </sheetView>
  </sheetViews>
  <sheetFormatPr baseColWidth="10" defaultRowHeight="10.199999999999999" x14ac:dyDescent="0.3"/>
  <cols>
    <col min="1" max="1" width="9.77734375" style="1" customWidth="1"/>
    <col min="2" max="2" width="37" style="1" customWidth="1"/>
    <col min="3" max="3" width="5.77734375" style="1" customWidth="1"/>
    <col min="4" max="5" width="8.33203125" style="1" customWidth="1"/>
    <col min="6" max="6" width="9.33203125" style="1" customWidth="1"/>
    <col min="7" max="10" width="9.109375" style="1" customWidth="1"/>
    <col min="11" max="11" width="9.44140625" style="1" customWidth="1"/>
    <col min="12" max="16384" width="11.5546875" style="1"/>
  </cols>
  <sheetData>
    <row r="1" spans="1:12" ht="10.8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3"/>
    </row>
    <row r="3" spans="1:12" ht="27.6" x14ac:dyDescent="0.3">
      <c r="A3" s="5" t="s">
        <v>0</v>
      </c>
      <c r="B3" s="5"/>
      <c r="C3" s="5"/>
      <c r="D3" s="5"/>
      <c r="E3" s="5"/>
      <c r="F3" s="5"/>
      <c r="G3" s="5"/>
      <c r="H3" s="5"/>
      <c r="I3" s="5"/>
      <c r="J3" s="5"/>
      <c r="K3" s="5"/>
    </row>
    <row r="5" spans="1:12" ht="25.8" customHeight="1" x14ac:dyDescent="0.3">
      <c r="A5" s="4" t="s">
        <v>1</v>
      </c>
      <c r="B5" s="118" t="s">
        <v>854</v>
      </c>
      <c r="C5" s="118"/>
      <c r="D5" s="118"/>
      <c r="E5" s="118"/>
      <c r="F5" s="118"/>
      <c r="G5" s="118"/>
      <c r="H5" s="118"/>
      <c r="I5" s="118"/>
      <c r="J5" s="118"/>
      <c r="K5" s="118"/>
    </row>
    <row r="6" spans="1:12" ht="11.4" x14ac:dyDescent="0.3">
      <c r="A6" s="4" t="s">
        <v>2</v>
      </c>
      <c r="B6" s="6" t="s">
        <v>5</v>
      </c>
    </row>
    <row r="7" spans="1:12" ht="12" thickBot="1" x14ac:dyDescent="0.35">
      <c r="A7" s="4" t="s">
        <v>3</v>
      </c>
      <c r="B7" s="6" t="s">
        <v>6</v>
      </c>
      <c r="D7" s="4" t="s">
        <v>4</v>
      </c>
      <c r="E7" s="1" t="s">
        <v>7</v>
      </c>
    </row>
    <row r="8" spans="1:12" ht="10.8" x14ac:dyDescent="0.3">
      <c r="G8" s="11" t="s">
        <v>8</v>
      </c>
      <c r="H8" s="8"/>
      <c r="I8" s="8"/>
      <c r="J8" s="9"/>
    </row>
    <row r="9" spans="1:12" ht="32.4" x14ac:dyDescent="0.3">
      <c r="A9" s="7" t="s">
        <v>9</v>
      </c>
      <c r="B9" s="7" t="s">
        <v>10</v>
      </c>
      <c r="C9" s="7" t="s">
        <v>11</v>
      </c>
      <c r="D9" s="7" t="s">
        <v>12</v>
      </c>
      <c r="E9" s="7" t="s">
        <v>13</v>
      </c>
      <c r="F9" s="10" t="s">
        <v>14</v>
      </c>
      <c r="G9" s="12" t="s">
        <v>15</v>
      </c>
      <c r="H9" s="13" t="s">
        <v>16</v>
      </c>
      <c r="I9" s="13" t="s">
        <v>17</v>
      </c>
      <c r="J9" s="14" t="s">
        <v>18</v>
      </c>
      <c r="K9" s="15" t="s">
        <v>19</v>
      </c>
    </row>
    <row r="10" spans="1:12" ht="5.25" customHeight="1" x14ac:dyDescent="0.3">
      <c r="A10" s="17"/>
      <c r="B10" s="18"/>
      <c r="C10" s="18"/>
      <c r="D10" s="18"/>
      <c r="E10" s="18"/>
      <c r="F10" s="20"/>
      <c r="G10" s="21"/>
      <c r="H10" s="18"/>
      <c r="I10" s="18"/>
      <c r="J10" s="19"/>
      <c r="K10" s="16"/>
    </row>
    <row r="11" spans="1:12" x14ac:dyDescent="0.3">
      <c r="A11" s="23"/>
      <c r="B11" s="29" t="s">
        <v>20</v>
      </c>
      <c r="C11" s="24"/>
      <c r="D11" s="24"/>
      <c r="E11" s="24"/>
      <c r="F11" s="26"/>
      <c r="G11" s="27"/>
      <c r="H11" s="24"/>
      <c r="I11" s="24"/>
      <c r="J11" s="25"/>
      <c r="K11" s="22"/>
    </row>
    <row r="12" spans="1:12" x14ac:dyDescent="0.3">
      <c r="A12" s="30" t="s">
        <v>21</v>
      </c>
      <c r="B12" s="31" t="s">
        <v>22</v>
      </c>
      <c r="C12" s="32" t="s">
        <v>23</v>
      </c>
      <c r="D12" s="24">
        <v>988.65</v>
      </c>
      <c r="E12" s="24">
        <v>32.72</v>
      </c>
      <c r="F12" s="26">
        <v>32348.63</v>
      </c>
      <c r="G12" s="27">
        <v>7081.5</v>
      </c>
      <c r="H12" s="24">
        <v>11897.83</v>
      </c>
      <c r="I12" s="24">
        <v>10440.11</v>
      </c>
      <c r="J12" s="25">
        <v>2929.19</v>
      </c>
      <c r="K12" s="22">
        <v>32348.63</v>
      </c>
      <c r="L12" s="1">
        <f>SUM(F12:F17)</f>
        <v>304934.73999999993</v>
      </c>
    </row>
    <row r="13" spans="1:12" x14ac:dyDescent="0.3">
      <c r="A13" s="30" t="s">
        <v>24</v>
      </c>
      <c r="B13" s="31" t="s">
        <v>25</v>
      </c>
      <c r="C13" s="32" t="s">
        <v>23</v>
      </c>
      <c r="D13" s="24">
        <v>4613.16</v>
      </c>
      <c r="E13" s="24">
        <v>27.66</v>
      </c>
      <c r="F13" s="26">
        <v>127600.01</v>
      </c>
      <c r="G13" s="27">
        <v>11209.47</v>
      </c>
      <c r="H13" s="24">
        <v>36682.33</v>
      </c>
      <c r="I13" s="24">
        <v>48928.61</v>
      </c>
      <c r="J13" s="25">
        <v>30779.599999999999</v>
      </c>
      <c r="K13" s="22">
        <v>127600.01</v>
      </c>
    </row>
    <row r="14" spans="1:12" x14ac:dyDescent="0.3">
      <c r="A14" s="30" t="s">
        <v>26</v>
      </c>
      <c r="B14" s="31" t="s">
        <v>27</v>
      </c>
      <c r="C14" s="32" t="s">
        <v>23</v>
      </c>
      <c r="D14" s="24">
        <v>2139.37</v>
      </c>
      <c r="E14" s="24">
        <v>21.76</v>
      </c>
      <c r="F14" s="26">
        <v>46552.69</v>
      </c>
      <c r="G14" s="27">
        <v>6925.08</v>
      </c>
      <c r="H14" s="24">
        <v>25966.04</v>
      </c>
      <c r="I14" s="24">
        <v>13265.3</v>
      </c>
      <c r="J14" s="25">
        <v>396.27</v>
      </c>
      <c r="K14" s="22">
        <v>46552.69</v>
      </c>
    </row>
    <row r="15" spans="1:12" x14ac:dyDescent="0.3">
      <c r="A15" s="30" t="s">
        <v>28</v>
      </c>
      <c r="B15" s="31" t="s">
        <v>29</v>
      </c>
      <c r="C15" s="32" t="s">
        <v>23</v>
      </c>
      <c r="D15" s="24">
        <v>4817.32</v>
      </c>
      <c r="E15" s="24">
        <v>19.7</v>
      </c>
      <c r="F15" s="26">
        <v>94901.2</v>
      </c>
      <c r="G15" s="27">
        <v>17706.3</v>
      </c>
      <c r="H15" s="24">
        <v>26487</v>
      </c>
      <c r="I15" s="24">
        <v>37871.24</v>
      </c>
      <c r="J15" s="25">
        <v>12836.66</v>
      </c>
      <c r="K15" s="22">
        <v>94901.2</v>
      </c>
    </row>
    <row r="16" spans="1:12" x14ac:dyDescent="0.3">
      <c r="A16" s="30" t="s">
        <v>30</v>
      </c>
      <c r="B16" s="31" t="s">
        <v>31</v>
      </c>
      <c r="C16" s="32" t="s">
        <v>32</v>
      </c>
      <c r="D16" s="24">
        <v>1</v>
      </c>
      <c r="E16" s="24">
        <v>31.49</v>
      </c>
      <c r="F16" s="26">
        <v>31.49</v>
      </c>
      <c r="G16" s="27">
        <v>31.49</v>
      </c>
      <c r="H16" s="24">
        <v>0</v>
      </c>
      <c r="I16" s="24">
        <v>0</v>
      </c>
      <c r="J16" s="25">
        <v>0</v>
      </c>
      <c r="K16" s="22">
        <v>31.49</v>
      </c>
    </row>
    <row r="17" spans="1:12" x14ac:dyDescent="0.3">
      <c r="A17" s="30" t="s">
        <v>33</v>
      </c>
      <c r="B17" s="31" t="s">
        <v>34</v>
      </c>
      <c r="C17" s="32" t="s">
        <v>35</v>
      </c>
      <c r="D17" s="24">
        <v>122.36</v>
      </c>
      <c r="E17" s="24">
        <v>28.61</v>
      </c>
      <c r="F17" s="26">
        <v>3500.72</v>
      </c>
      <c r="G17" s="27">
        <v>610.34</v>
      </c>
      <c r="H17" s="24">
        <v>1664.05</v>
      </c>
      <c r="I17" s="24">
        <v>1226.33</v>
      </c>
      <c r="J17" s="25">
        <v>0</v>
      </c>
      <c r="K17" s="22">
        <v>3500.72</v>
      </c>
    </row>
    <row r="18" spans="1:12" x14ac:dyDescent="0.3">
      <c r="A18" s="23"/>
      <c r="B18" s="29" t="s">
        <v>36</v>
      </c>
      <c r="C18" s="24"/>
      <c r="D18" s="24"/>
      <c r="E18" s="24"/>
      <c r="F18" s="26"/>
      <c r="G18" s="27"/>
      <c r="H18" s="24"/>
      <c r="I18" s="24"/>
      <c r="J18" s="25"/>
      <c r="K18" s="22"/>
    </row>
    <row r="19" spans="1:12" x14ac:dyDescent="0.3">
      <c r="A19" s="30" t="s">
        <v>37</v>
      </c>
      <c r="B19" s="31" t="s">
        <v>38</v>
      </c>
      <c r="C19" s="32" t="s">
        <v>39</v>
      </c>
      <c r="D19" s="24">
        <v>18.36</v>
      </c>
      <c r="E19" s="24">
        <v>18.98</v>
      </c>
      <c r="F19" s="26">
        <v>348.47</v>
      </c>
      <c r="G19" s="27">
        <v>147.5</v>
      </c>
      <c r="H19" s="24">
        <v>66.52</v>
      </c>
      <c r="I19" s="24">
        <v>134.44999999999999</v>
      </c>
      <c r="J19" s="25">
        <v>0</v>
      </c>
      <c r="K19" s="22">
        <v>348.47</v>
      </c>
      <c r="L19" s="1">
        <f>SUM(F19:F406)</f>
        <v>948231.15999999957</v>
      </c>
    </row>
    <row r="20" spans="1:12" x14ac:dyDescent="0.3">
      <c r="A20" s="30" t="s">
        <v>40</v>
      </c>
      <c r="B20" s="31" t="s">
        <v>41</v>
      </c>
      <c r="C20" s="32" t="s">
        <v>42</v>
      </c>
      <c r="D20" s="24">
        <v>130.08000000000001</v>
      </c>
      <c r="E20" s="24">
        <v>61.63</v>
      </c>
      <c r="F20" s="26">
        <v>8016.83</v>
      </c>
      <c r="G20" s="27">
        <v>2091.98</v>
      </c>
      <c r="H20" s="24">
        <v>3141.08</v>
      </c>
      <c r="I20" s="24">
        <v>2783.77</v>
      </c>
      <c r="J20" s="25">
        <v>0</v>
      </c>
      <c r="K20" s="22">
        <v>8016.83</v>
      </c>
      <c r="L20" s="1">
        <f>SUM(L12:L19)</f>
        <v>1253165.8999999994</v>
      </c>
    </row>
    <row r="21" spans="1:12" x14ac:dyDescent="0.3">
      <c r="A21" s="30" t="s">
        <v>43</v>
      </c>
      <c r="B21" s="31" t="s">
        <v>44</v>
      </c>
      <c r="C21" s="32" t="s">
        <v>45</v>
      </c>
      <c r="D21" s="24">
        <v>4</v>
      </c>
      <c r="E21" s="24">
        <v>63</v>
      </c>
      <c r="F21" s="26">
        <v>252</v>
      </c>
      <c r="G21" s="27">
        <v>0</v>
      </c>
      <c r="H21" s="24">
        <v>0</v>
      </c>
      <c r="I21" s="24">
        <v>252</v>
      </c>
      <c r="J21" s="25">
        <v>0</v>
      </c>
      <c r="K21" s="22">
        <v>252</v>
      </c>
    </row>
    <row r="22" spans="1:12" x14ac:dyDescent="0.3">
      <c r="A22" s="30" t="s">
        <v>46</v>
      </c>
      <c r="B22" s="31" t="s">
        <v>47</v>
      </c>
      <c r="C22" s="32" t="s">
        <v>48</v>
      </c>
      <c r="D22" s="24">
        <v>5.54</v>
      </c>
      <c r="E22" s="24">
        <v>101.69</v>
      </c>
      <c r="F22" s="26">
        <v>563.36</v>
      </c>
      <c r="G22" s="27">
        <v>0</v>
      </c>
      <c r="H22" s="24">
        <v>0</v>
      </c>
      <c r="I22" s="24">
        <v>471.45</v>
      </c>
      <c r="J22" s="25">
        <v>91.91</v>
      </c>
      <c r="K22" s="22">
        <v>563.36</v>
      </c>
      <c r="L22" s="1">
        <v>1253165.8999999999</v>
      </c>
    </row>
    <row r="23" spans="1:12" x14ac:dyDescent="0.3">
      <c r="A23" s="30" t="s">
        <v>49</v>
      </c>
      <c r="B23" s="31" t="s">
        <v>50</v>
      </c>
      <c r="C23" s="32" t="s">
        <v>51</v>
      </c>
      <c r="D23" s="24">
        <v>4.9000000000000004</v>
      </c>
      <c r="E23" s="24">
        <v>8.65</v>
      </c>
      <c r="F23" s="26">
        <v>42.39</v>
      </c>
      <c r="G23" s="27">
        <v>0</v>
      </c>
      <c r="H23" s="24">
        <v>0</v>
      </c>
      <c r="I23" s="24">
        <v>42.39</v>
      </c>
      <c r="J23" s="25">
        <v>0</v>
      </c>
      <c r="K23" s="22">
        <v>42.39</v>
      </c>
    </row>
    <row r="24" spans="1:12" x14ac:dyDescent="0.3">
      <c r="A24" s="30" t="s">
        <v>52</v>
      </c>
      <c r="B24" s="31" t="s">
        <v>53</v>
      </c>
      <c r="C24" s="32" t="s">
        <v>51</v>
      </c>
      <c r="D24" s="24">
        <v>78.64</v>
      </c>
      <c r="E24" s="24">
        <v>8.73</v>
      </c>
      <c r="F24" s="26">
        <v>686.53</v>
      </c>
      <c r="G24" s="27">
        <v>85.88</v>
      </c>
      <c r="H24" s="24">
        <v>348.82</v>
      </c>
      <c r="I24" s="24">
        <v>251.83</v>
      </c>
      <c r="J24" s="25">
        <v>0</v>
      </c>
      <c r="K24" s="22">
        <v>686.53</v>
      </c>
    </row>
    <row r="25" spans="1:12" x14ac:dyDescent="0.3">
      <c r="A25" s="30" t="s">
        <v>54</v>
      </c>
      <c r="B25" s="31" t="s">
        <v>55</v>
      </c>
      <c r="C25" s="32" t="s">
        <v>56</v>
      </c>
      <c r="D25" s="24">
        <v>9.77</v>
      </c>
      <c r="E25" s="24">
        <v>6.97</v>
      </c>
      <c r="F25" s="26">
        <v>68.099999999999994</v>
      </c>
      <c r="G25" s="27">
        <v>68.099999999999994</v>
      </c>
      <c r="H25" s="24">
        <v>0</v>
      </c>
      <c r="I25" s="24">
        <v>0</v>
      </c>
      <c r="J25" s="25">
        <v>0</v>
      </c>
      <c r="K25" s="22">
        <v>68.099999999999994</v>
      </c>
    </row>
    <row r="26" spans="1:12" x14ac:dyDescent="0.3">
      <c r="A26" s="30" t="s">
        <v>57</v>
      </c>
      <c r="B26" s="31" t="s">
        <v>58</v>
      </c>
      <c r="C26" s="32" t="s">
        <v>51</v>
      </c>
      <c r="D26" s="24">
        <v>703.74</v>
      </c>
      <c r="E26" s="24">
        <v>8.73</v>
      </c>
      <c r="F26" s="26">
        <v>6143.65</v>
      </c>
      <c r="G26" s="27">
        <v>1349.96</v>
      </c>
      <c r="H26" s="24">
        <v>3086.01</v>
      </c>
      <c r="I26" s="24">
        <v>1707.68</v>
      </c>
      <c r="J26" s="25">
        <v>0</v>
      </c>
      <c r="K26" s="22">
        <v>6143.65</v>
      </c>
    </row>
    <row r="27" spans="1:12" x14ac:dyDescent="0.3">
      <c r="A27" s="30" t="s">
        <v>59</v>
      </c>
      <c r="B27" s="31" t="s">
        <v>60</v>
      </c>
      <c r="C27" s="32" t="s">
        <v>45</v>
      </c>
      <c r="D27" s="24">
        <v>3</v>
      </c>
      <c r="E27" s="24">
        <v>313.27999999999997</v>
      </c>
      <c r="F27" s="26">
        <v>939.84</v>
      </c>
      <c r="G27" s="27">
        <v>0</v>
      </c>
      <c r="H27" s="24">
        <v>939.84</v>
      </c>
      <c r="I27" s="24">
        <v>0</v>
      </c>
      <c r="J27" s="25">
        <v>0</v>
      </c>
      <c r="K27" s="22">
        <v>939.84</v>
      </c>
    </row>
    <row r="28" spans="1:12" x14ac:dyDescent="0.3">
      <c r="A28" s="30" t="s">
        <v>61</v>
      </c>
      <c r="B28" s="31" t="s">
        <v>62</v>
      </c>
      <c r="C28" s="32" t="s">
        <v>51</v>
      </c>
      <c r="D28" s="24">
        <v>390.13</v>
      </c>
      <c r="E28" s="24">
        <v>6.7</v>
      </c>
      <c r="F28" s="26">
        <v>2613.87</v>
      </c>
      <c r="G28" s="27">
        <v>216.19</v>
      </c>
      <c r="H28" s="24">
        <v>1814.21</v>
      </c>
      <c r="I28" s="24">
        <v>583.47</v>
      </c>
      <c r="J28" s="25">
        <v>0</v>
      </c>
      <c r="K28" s="22">
        <v>2613.87</v>
      </c>
    </row>
    <row r="29" spans="1:12" x14ac:dyDescent="0.3">
      <c r="A29" s="30" t="s">
        <v>63</v>
      </c>
      <c r="B29" s="31" t="s">
        <v>64</v>
      </c>
      <c r="C29" s="32" t="s">
        <v>51</v>
      </c>
      <c r="D29" s="24">
        <v>10.4</v>
      </c>
      <c r="E29" s="24">
        <v>5.33</v>
      </c>
      <c r="F29" s="26">
        <v>55.43</v>
      </c>
      <c r="G29" s="27">
        <v>55.43</v>
      </c>
      <c r="H29" s="24">
        <v>0</v>
      </c>
      <c r="I29" s="24">
        <v>0</v>
      </c>
      <c r="J29" s="25">
        <v>0</v>
      </c>
      <c r="K29" s="22">
        <v>55.43</v>
      </c>
    </row>
    <row r="30" spans="1:12" x14ac:dyDescent="0.3">
      <c r="A30" s="30" t="s">
        <v>65</v>
      </c>
      <c r="B30" s="31" t="s">
        <v>66</v>
      </c>
      <c r="C30" s="32" t="s">
        <v>51</v>
      </c>
      <c r="D30" s="24">
        <v>10.5</v>
      </c>
      <c r="E30" s="24">
        <v>24.92</v>
      </c>
      <c r="F30" s="26">
        <v>261.66000000000003</v>
      </c>
      <c r="G30" s="27">
        <v>0</v>
      </c>
      <c r="H30" s="24">
        <v>0</v>
      </c>
      <c r="I30" s="24">
        <v>261.66000000000003</v>
      </c>
      <c r="J30" s="25">
        <v>0</v>
      </c>
      <c r="K30" s="22">
        <v>261.66000000000003</v>
      </c>
    </row>
    <row r="31" spans="1:12" x14ac:dyDescent="0.3">
      <c r="A31" s="30" t="s">
        <v>67</v>
      </c>
      <c r="B31" s="31" t="s">
        <v>68</v>
      </c>
      <c r="C31" s="32" t="s">
        <v>51</v>
      </c>
      <c r="D31" s="24">
        <v>2.5</v>
      </c>
      <c r="E31" s="24">
        <v>7.15</v>
      </c>
      <c r="F31" s="26">
        <v>17.88</v>
      </c>
      <c r="G31" s="27">
        <v>0</v>
      </c>
      <c r="H31" s="24">
        <v>17.88</v>
      </c>
      <c r="I31" s="24">
        <v>0</v>
      </c>
      <c r="J31" s="25">
        <v>0</v>
      </c>
      <c r="K31" s="22">
        <v>17.88</v>
      </c>
    </row>
    <row r="32" spans="1:12" x14ac:dyDescent="0.3">
      <c r="A32" s="30" t="s">
        <v>69</v>
      </c>
      <c r="B32" s="31" t="s">
        <v>70</v>
      </c>
      <c r="C32" s="32" t="s">
        <v>45</v>
      </c>
      <c r="D32" s="24">
        <v>88.01</v>
      </c>
      <c r="E32" s="24">
        <v>1.1000000000000001</v>
      </c>
      <c r="F32" s="26">
        <v>96.81</v>
      </c>
      <c r="G32" s="27">
        <v>0</v>
      </c>
      <c r="H32" s="24">
        <v>0</v>
      </c>
      <c r="I32" s="24">
        <v>0</v>
      </c>
      <c r="J32" s="25">
        <v>96.81</v>
      </c>
      <c r="K32" s="22">
        <v>96.81</v>
      </c>
    </row>
    <row r="33" spans="1:11" x14ac:dyDescent="0.3">
      <c r="A33" s="30" t="s">
        <v>71</v>
      </c>
      <c r="B33" s="31" t="s">
        <v>72</v>
      </c>
      <c r="C33" s="32" t="s">
        <v>45</v>
      </c>
      <c r="D33" s="24">
        <v>1</v>
      </c>
      <c r="E33" s="24">
        <v>925.85</v>
      </c>
      <c r="F33" s="26">
        <v>925.85</v>
      </c>
      <c r="G33" s="27">
        <v>0</v>
      </c>
      <c r="H33" s="24">
        <v>0</v>
      </c>
      <c r="I33" s="24">
        <v>0</v>
      </c>
      <c r="J33" s="25">
        <v>925.85</v>
      </c>
      <c r="K33" s="22">
        <v>925.85</v>
      </c>
    </row>
    <row r="34" spans="1:11" x14ac:dyDescent="0.3">
      <c r="A34" s="30" t="s">
        <v>73</v>
      </c>
      <c r="B34" s="31" t="s">
        <v>74</v>
      </c>
      <c r="C34" s="32" t="s">
        <v>45</v>
      </c>
      <c r="D34" s="24">
        <v>2</v>
      </c>
      <c r="E34" s="24">
        <v>925.85</v>
      </c>
      <c r="F34" s="26">
        <v>1851.7</v>
      </c>
      <c r="G34" s="27">
        <v>0</v>
      </c>
      <c r="H34" s="24">
        <v>0</v>
      </c>
      <c r="I34" s="24">
        <v>0</v>
      </c>
      <c r="J34" s="25">
        <v>1851.7</v>
      </c>
      <c r="K34" s="22">
        <v>1851.7</v>
      </c>
    </row>
    <row r="35" spans="1:11" x14ac:dyDescent="0.3">
      <c r="A35" s="30" t="s">
        <v>75</v>
      </c>
      <c r="B35" s="31" t="s">
        <v>76</v>
      </c>
      <c r="C35" s="32" t="s">
        <v>45</v>
      </c>
      <c r="D35" s="24">
        <v>1</v>
      </c>
      <c r="E35" s="24">
        <v>925.85</v>
      </c>
      <c r="F35" s="26">
        <v>925.85</v>
      </c>
      <c r="G35" s="27">
        <v>0</v>
      </c>
      <c r="H35" s="24">
        <v>0</v>
      </c>
      <c r="I35" s="24">
        <v>0</v>
      </c>
      <c r="J35" s="25">
        <v>925.85</v>
      </c>
      <c r="K35" s="22">
        <v>925.85</v>
      </c>
    </row>
    <row r="36" spans="1:11" x14ac:dyDescent="0.3">
      <c r="A36" s="30" t="s">
        <v>77</v>
      </c>
      <c r="B36" s="31" t="s">
        <v>78</v>
      </c>
      <c r="C36" s="32" t="s">
        <v>45</v>
      </c>
      <c r="D36" s="24">
        <v>1</v>
      </c>
      <c r="E36" s="24">
        <v>2287.2199999999998</v>
      </c>
      <c r="F36" s="26">
        <v>2287.2199999999998</v>
      </c>
      <c r="G36" s="27">
        <v>0</v>
      </c>
      <c r="H36" s="24">
        <v>0</v>
      </c>
      <c r="I36" s="24">
        <v>2287.2199999999998</v>
      </c>
      <c r="J36" s="25">
        <v>0</v>
      </c>
      <c r="K36" s="22">
        <v>2287.2199999999998</v>
      </c>
    </row>
    <row r="37" spans="1:11" x14ac:dyDescent="0.3">
      <c r="A37" s="30" t="s">
        <v>79</v>
      </c>
      <c r="B37" s="31" t="s">
        <v>80</v>
      </c>
      <c r="C37" s="32" t="s">
        <v>45</v>
      </c>
      <c r="D37" s="24">
        <v>1</v>
      </c>
      <c r="E37" s="24">
        <v>273.22000000000003</v>
      </c>
      <c r="F37" s="26">
        <v>273.22000000000003</v>
      </c>
      <c r="G37" s="27">
        <v>0</v>
      </c>
      <c r="H37" s="24">
        <v>0</v>
      </c>
      <c r="I37" s="24">
        <v>273.22000000000003</v>
      </c>
      <c r="J37" s="25">
        <v>0</v>
      </c>
      <c r="K37" s="22">
        <v>273.22000000000003</v>
      </c>
    </row>
    <row r="38" spans="1:11" x14ac:dyDescent="0.3">
      <c r="A38" s="30" t="s">
        <v>81</v>
      </c>
      <c r="B38" s="31" t="s">
        <v>82</v>
      </c>
      <c r="C38" s="32" t="s">
        <v>45</v>
      </c>
      <c r="D38" s="24">
        <v>2.2000000000000002</v>
      </c>
      <c r="E38" s="24">
        <v>96.14</v>
      </c>
      <c r="F38" s="26">
        <v>211.51</v>
      </c>
      <c r="G38" s="27">
        <v>0</v>
      </c>
      <c r="H38" s="24">
        <v>0</v>
      </c>
      <c r="I38" s="24">
        <v>0</v>
      </c>
      <c r="J38" s="25">
        <v>211.51</v>
      </c>
      <c r="K38" s="22">
        <v>211.51</v>
      </c>
    </row>
    <row r="39" spans="1:11" x14ac:dyDescent="0.3">
      <c r="A39" s="30" t="s">
        <v>83</v>
      </c>
      <c r="B39" s="31" t="s">
        <v>84</v>
      </c>
      <c r="C39" s="32" t="s">
        <v>45</v>
      </c>
      <c r="D39" s="24">
        <v>3</v>
      </c>
      <c r="E39" s="24">
        <v>220</v>
      </c>
      <c r="F39" s="26">
        <v>660</v>
      </c>
      <c r="G39" s="27">
        <v>0</v>
      </c>
      <c r="H39" s="24">
        <v>0</v>
      </c>
      <c r="I39" s="24">
        <v>660</v>
      </c>
      <c r="J39" s="25">
        <v>0</v>
      </c>
      <c r="K39" s="22">
        <v>660</v>
      </c>
    </row>
    <row r="40" spans="1:11" x14ac:dyDescent="0.3">
      <c r="A40" s="30" t="s">
        <v>85</v>
      </c>
      <c r="B40" s="31" t="s">
        <v>86</v>
      </c>
      <c r="C40" s="32" t="s">
        <v>45</v>
      </c>
      <c r="D40" s="24">
        <v>3.7</v>
      </c>
      <c r="E40" s="24">
        <v>220</v>
      </c>
      <c r="F40" s="26">
        <v>814</v>
      </c>
      <c r="G40" s="27">
        <v>0</v>
      </c>
      <c r="H40" s="24">
        <v>0</v>
      </c>
      <c r="I40" s="24">
        <v>814</v>
      </c>
      <c r="J40" s="25">
        <v>0</v>
      </c>
      <c r="K40" s="22">
        <v>814</v>
      </c>
    </row>
    <row r="41" spans="1:11" x14ac:dyDescent="0.3">
      <c r="A41" s="30" t="s">
        <v>87</v>
      </c>
      <c r="B41" s="31" t="s">
        <v>88</v>
      </c>
      <c r="C41" s="32" t="s">
        <v>56</v>
      </c>
      <c r="D41" s="24">
        <v>24.5</v>
      </c>
      <c r="E41" s="24">
        <v>3.78</v>
      </c>
      <c r="F41" s="26">
        <v>92.61</v>
      </c>
      <c r="G41" s="27">
        <v>0</v>
      </c>
      <c r="H41" s="24">
        <v>0</v>
      </c>
      <c r="I41" s="24">
        <v>92.61</v>
      </c>
      <c r="J41" s="25">
        <v>0</v>
      </c>
      <c r="K41" s="22">
        <v>92.61</v>
      </c>
    </row>
    <row r="42" spans="1:11" x14ac:dyDescent="0.3">
      <c r="A42" s="30" t="s">
        <v>89</v>
      </c>
      <c r="B42" s="31" t="s">
        <v>90</v>
      </c>
      <c r="C42" s="32" t="s">
        <v>51</v>
      </c>
      <c r="D42" s="24">
        <v>12434.94</v>
      </c>
      <c r="E42" s="24">
        <v>5.59</v>
      </c>
      <c r="F42" s="26">
        <v>69511.31</v>
      </c>
      <c r="G42" s="27">
        <v>27525.51</v>
      </c>
      <c r="H42" s="24">
        <v>29848.41</v>
      </c>
      <c r="I42" s="24">
        <v>12137.39</v>
      </c>
      <c r="J42" s="25">
        <v>0</v>
      </c>
      <c r="K42" s="22">
        <v>69511.31</v>
      </c>
    </row>
    <row r="43" spans="1:11" x14ac:dyDescent="0.3">
      <c r="A43" s="30" t="s">
        <v>91</v>
      </c>
      <c r="B43" s="31" t="s">
        <v>92</v>
      </c>
      <c r="C43" s="32" t="s">
        <v>93</v>
      </c>
      <c r="D43" s="24">
        <v>53.97</v>
      </c>
      <c r="E43" s="24">
        <v>50.66</v>
      </c>
      <c r="F43" s="26">
        <v>2734.12</v>
      </c>
      <c r="G43" s="27">
        <v>0</v>
      </c>
      <c r="H43" s="24">
        <v>58.08</v>
      </c>
      <c r="I43" s="24">
        <v>1105.32</v>
      </c>
      <c r="J43" s="25">
        <v>1570.72</v>
      </c>
      <c r="K43" s="22">
        <v>2734.12</v>
      </c>
    </row>
    <row r="44" spans="1:11" x14ac:dyDescent="0.3">
      <c r="A44" s="30" t="s">
        <v>94</v>
      </c>
      <c r="B44" s="31" t="s">
        <v>95</v>
      </c>
      <c r="C44" s="32" t="s">
        <v>93</v>
      </c>
      <c r="D44" s="24">
        <v>157.5</v>
      </c>
      <c r="E44" s="24">
        <v>51.09</v>
      </c>
      <c r="F44" s="26">
        <v>8046.68</v>
      </c>
      <c r="G44" s="27">
        <v>1581.13</v>
      </c>
      <c r="H44" s="24">
        <v>2825.14</v>
      </c>
      <c r="I44" s="24">
        <v>3309.92</v>
      </c>
      <c r="J44" s="25">
        <v>330.49</v>
      </c>
      <c r="K44" s="22">
        <v>8046.68</v>
      </c>
    </row>
    <row r="45" spans="1:11" x14ac:dyDescent="0.3">
      <c r="A45" s="30" t="s">
        <v>96</v>
      </c>
      <c r="B45" s="31" t="s">
        <v>97</v>
      </c>
      <c r="C45" s="32" t="s">
        <v>42</v>
      </c>
      <c r="D45" s="24">
        <v>0.3</v>
      </c>
      <c r="E45" s="24">
        <v>79.2</v>
      </c>
      <c r="F45" s="26">
        <v>23.76</v>
      </c>
      <c r="G45" s="27">
        <v>0</v>
      </c>
      <c r="H45" s="24">
        <v>0</v>
      </c>
      <c r="I45" s="24">
        <v>0</v>
      </c>
      <c r="J45" s="25">
        <v>23.76</v>
      </c>
      <c r="K45" s="22">
        <v>23.76</v>
      </c>
    </row>
    <row r="46" spans="1:11" x14ac:dyDescent="0.3">
      <c r="A46" s="30" t="s">
        <v>98</v>
      </c>
      <c r="B46" s="31" t="s">
        <v>99</v>
      </c>
      <c r="C46" s="32" t="s">
        <v>45</v>
      </c>
      <c r="D46" s="24">
        <v>7.11</v>
      </c>
      <c r="E46" s="24">
        <v>7.53</v>
      </c>
      <c r="F46" s="26">
        <v>53.54</v>
      </c>
      <c r="G46" s="27">
        <v>0</v>
      </c>
      <c r="H46" s="24">
        <v>53.54</v>
      </c>
      <c r="I46" s="24">
        <v>0</v>
      </c>
      <c r="J46" s="25">
        <v>0</v>
      </c>
      <c r="K46" s="22">
        <v>53.54</v>
      </c>
    </row>
    <row r="47" spans="1:11" x14ac:dyDescent="0.3">
      <c r="A47" s="30" t="s">
        <v>100</v>
      </c>
      <c r="B47" s="31" t="s">
        <v>101</v>
      </c>
      <c r="C47" s="32" t="s">
        <v>102</v>
      </c>
      <c r="D47" s="24">
        <v>1427.64</v>
      </c>
      <c r="E47" s="24">
        <v>7.53</v>
      </c>
      <c r="F47" s="26">
        <v>10750.13</v>
      </c>
      <c r="G47" s="27">
        <v>0</v>
      </c>
      <c r="H47" s="24">
        <v>0</v>
      </c>
      <c r="I47" s="24">
        <v>10750.13</v>
      </c>
      <c r="J47" s="25">
        <v>0</v>
      </c>
      <c r="K47" s="22">
        <v>10750.13</v>
      </c>
    </row>
    <row r="48" spans="1:11" x14ac:dyDescent="0.3">
      <c r="A48" s="30" t="s">
        <v>103</v>
      </c>
      <c r="B48" s="31" t="s">
        <v>104</v>
      </c>
      <c r="C48" s="32" t="s">
        <v>45</v>
      </c>
      <c r="D48" s="24">
        <v>122.33</v>
      </c>
      <c r="E48" s="24">
        <v>19.809999999999999</v>
      </c>
      <c r="F48" s="26">
        <v>2423.36</v>
      </c>
      <c r="G48" s="27">
        <v>0</v>
      </c>
      <c r="H48" s="24">
        <v>0</v>
      </c>
      <c r="I48" s="24">
        <v>0</v>
      </c>
      <c r="J48" s="25">
        <v>2423.36</v>
      </c>
      <c r="K48" s="22">
        <v>2423.36</v>
      </c>
    </row>
    <row r="49" spans="1:11" x14ac:dyDescent="0.3">
      <c r="A49" s="30" t="s">
        <v>105</v>
      </c>
      <c r="B49" s="31" t="s">
        <v>106</v>
      </c>
      <c r="C49" s="32" t="s">
        <v>93</v>
      </c>
      <c r="D49" s="24">
        <v>76.900000000000006</v>
      </c>
      <c r="E49" s="24">
        <v>49.15</v>
      </c>
      <c r="F49" s="26">
        <v>3779.64</v>
      </c>
      <c r="G49" s="27">
        <v>0</v>
      </c>
      <c r="H49" s="24">
        <v>3779.64</v>
      </c>
      <c r="I49" s="24">
        <v>0</v>
      </c>
      <c r="J49" s="25">
        <v>0</v>
      </c>
      <c r="K49" s="22">
        <v>3779.64</v>
      </c>
    </row>
    <row r="50" spans="1:11" x14ac:dyDescent="0.3">
      <c r="A50" s="30" t="s">
        <v>107</v>
      </c>
      <c r="B50" s="31" t="s">
        <v>108</v>
      </c>
      <c r="C50" s="32" t="s">
        <v>42</v>
      </c>
      <c r="D50" s="24">
        <v>53.42</v>
      </c>
      <c r="E50" s="24">
        <v>6.75</v>
      </c>
      <c r="F50" s="26">
        <v>360.59</v>
      </c>
      <c r="G50" s="27">
        <v>39.82</v>
      </c>
      <c r="H50" s="24">
        <v>120.96</v>
      </c>
      <c r="I50" s="24">
        <v>76.540000000000006</v>
      </c>
      <c r="J50" s="25">
        <v>123.27</v>
      </c>
      <c r="K50" s="22">
        <v>360.59</v>
      </c>
    </row>
    <row r="51" spans="1:11" x14ac:dyDescent="0.3">
      <c r="A51" s="30" t="s">
        <v>109</v>
      </c>
      <c r="B51" s="31" t="s">
        <v>110</v>
      </c>
      <c r="C51" s="32" t="s">
        <v>42</v>
      </c>
      <c r="D51" s="24">
        <v>22.26</v>
      </c>
      <c r="E51" s="24">
        <v>49.15</v>
      </c>
      <c r="F51" s="26">
        <v>1094.08</v>
      </c>
      <c r="G51" s="27">
        <v>0</v>
      </c>
      <c r="H51" s="24">
        <v>1094.08</v>
      </c>
      <c r="I51" s="24">
        <v>0</v>
      </c>
      <c r="J51" s="25">
        <v>0</v>
      </c>
      <c r="K51" s="22">
        <v>1094.08</v>
      </c>
    </row>
    <row r="52" spans="1:11" x14ac:dyDescent="0.3">
      <c r="A52" s="30" t="s">
        <v>111</v>
      </c>
      <c r="B52" s="31" t="s">
        <v>112</v>
      </c>
      <c r="C52" s="32" t="s">
        <v>93</v>
      </c>
      <c r="D52" s="24">
        <v>6.29</v>
      </c>
      <c r="E52" s="24">
        <v>55</v>
      </c>
      <c r="F52" s="26">
        <v>345.95</v>
      </c>
      <c r="G52" s="27">
        <v>0</v>
      </c>
      <c r="H52" s="24">
        <v>345.95</v>
      </c>
      <c r="I52" s="24">
        <v>0</v>
      </c>
      <c r="J52" s="25">
        <v>0</v>
      </c>
      <c r="K52" s="22">
        <v>345.95</v>
      </c>
    </row>
    <row r="53" spans="1:11" x14ac:dyDescent="0.3">
      <c r="A53" s="30" t="s">
        <v>113</v>
      </c>
      <c r="B53" s="31" t="s">
        <v>114</v>
      </c>
      <c r="C53" s="32" t="s">
        <v>93</v>
      </c>
      <c r="D53" s="24">
        <v>1.89</v>
      </c>
      <c r="E53" s="24">
        <v>61.63</v>
      </c>
      <c r="F53" s="26">
        <v>116.48</v>
      </c>
      <c r="G53" s="27">
        <v>0</v>
      </c>
      <c r="H53" s="24">
        <v>0</v>
      </c>
      <c r="I53" s="24">
        <v>116.48</v>
      </c>
      <c r="J53" s="25">
        <v>0</v>
      </c>
      <c r="K53" s="22">
        <v>116.48</v>
      </c>
    </row>
    <row r="54" spans="1:11" x14ac:dyDescent="0.3">
      <c r="A54" s="30" t="s">
        <v>115</v>
      </c>
      <c r="B54" s="31" t="s">
        <v>116</v>
      </c>
      <c r="C54" s="32" t="s">
        <v>42</v>
      </c>
      <c r="D54" s="24">
        <v>18.010000000000002</v>
      </c>
      <c r="E54" s="24">
        <v>51.84</v>
      </c>
      <c r="F54" s="26">
        <v>933.64</v>
      </c>
      <c r="G54" s="27">
        <v>191.95</v>
      </c>
      <c r="H54" s="24">
        <v>741.69</v>
      </c>
      <c r="I54" s="24">
        <v>0</v>
      </c>
      <c r="J54" s="25">
        <v>0</v>
      </c>
      <c r="K54" s="22">
        <v>933.64</v>
      </c>
    </row>
    <row r="55" spans="1:11" x14ac:dyDescent="0.3">
      <c r="A55" s="30" t="s">
        <v>117</v>
      </c>
      <c r="B55" s="31" t="s">
        <v>118</v>
      </c>
      <c r="C55" s="32" t="s">
        <v>42</v>
      </c>
      <c r="D55" s="24">
        <v>2.65</v>
      </c>
      <c r="E55" s="24">
        <v>55.94</v>
      </c>
      <c r="F55" s="26">
        <v>148.24</v>
      </c>
      <c r="G55" s="27">
        <v>0</v>
      </c>
      <c r="H55" s="24">
        <v>74.12</v>
      </c>
      <c r="I55" s="24">
        <v>74.12</v>
      </c>
      <c r="J55" s="25">
        <v>0</v>
      </c>
      <c r="K55" s="22">
        <v>148.24</v>
      </c>
    </row>
    <row r="56" spans="1:11" x14ac:dyDescent="0.3">
      <c r="A56" s="30" t="s">
        <v>119</v>
      </c>
      <c r="B56" s="31" t="s">
        <v>120</v>
      </c>
      <c r="C56" s="32" t="s">
        <v>45</v>
      </c>
      <c r="D56" s="24">
        <v>1</v>
      </c>
      <c r="E56" s="24">
        <v>2200.79</v>
      </c>
      <c r="F56" s="26">
        <v>2200.79</v>
      </c>
      <c r="G56" s="27">
        <v>0</v>
      </c>
      <c r="H56" s="24">
        <v>0</v>
      </c>
      <c r="I56" s="24">
        <v>2200.79</v>
      </c>
      <c r="J56" s="25">
        <v>0</v>
      </c>
      <c r="K56" s="22">
        <v>2200.79</v>
      </c>
    </row>
    <row r="57" spans="1:11" x14ac:dyDescent="0.3">
      <c r="A57" s="30" t="s">
        <v>121</v>
      </c>
      <c r="B57" s="31" t="s">
        <v>122</v>
      </c>
      <c r="C57" s="32" t="s">
        <v>123</v>
      </c>
      <c r="D57" s="24">
        <v>1.7</v>
      </c>
      <c r="E57" s="24">
        <v>12.38</v>
      </c>
      <c r="F57" s="26">
        <v>21.05</v>
      </c>
      <c r="G57" s="27">
        <v>0</v>
      </c>
      <c r="H57" s="24">
        <v>21.05</v>
      </c>
      <c r="I57" s="24">
        <v>0</v>
      </c>
      <c r="J57" s="25">
        <v>0</v>
      </c>
      <c r="K57" s="22">
        <v>21.05</v>
      </c>
    </row>
    <row r="58" spans="1:11" x14ac:dyDescent="0.3">
      <c r="A58" s="30" t="s">
        <v>124</v>
      </c>
      <c r="B58" s="31" t="s">
        <v>125</v>
      </c>
      <c r="C58" s="32" t="s">
        <v>123</v>
      </c>
      <c r="D58" s="24">
        <v>0.71</v>
      </c>
      <c r="E58" s="24">
        <v>250.8</v>
      </c>
      <c r="F58" s="26">
        <v>178.07</v>
      </c>
      <c r="G58" s="27">
        <v>89.04</v>
      </c>
      <c r="H58" s="24">
        <v>89.03</v>
      </c>
      <c r="I58" s="24">
        <v>0</v>
      </c>
      <c r="J58" s="25">
        <v>0</v>
      </c>
      <c r="K58" s="22">
        <v>178.07</v>
      </c>
    </row>
    <row r="59" spans="1:11" x14ac:dyDescent="0.3">
      <c r="A59" s="30" t="s">
        <v>126</v>
      </c>
      <c r="B59" s="31" t="s">
        <v>127</v>
      </c>
      <c r="C59" s="32" t="s">
        <v>128</v>
      </c>
      <c r="D59" s="24">
        <v>2</v>
      </c>
      <c r="E59" s="24">
        <v>5.23</v>
      </c>
      <c r="F59" s="26">
        <v>10.46</v>
      </c>
      <c r="G59" s="27">
        <v>0</v>
      </c>
      <c r="H59" s="24">
        <v>10.46</v>
      </c>
      <c r="I59" s="24">
        <v>0</v>
      </c>
      <c r="J59" s="25">
        <v>0</v>
      </c>
      <c r="K59" s="22">
        <v>10.46</v>
      </c>
    </row>
    <row r="60" spans="1:11" x14ac:dyDescent="0.3">
      <c r="A60" s="30" t="s">
        <v>129</v>
      </c>
      <c r="B60" s="31" t="s">
        <v>130</v>
      </c>
      <c r="C60" s="32" t="s">
        <v>128</v>
      </c>
      <c r="D60" s="24">
        <v>2</v>
      </c>
      <c r="E60" s="24">
        <v>1.98</v>
      </c>
      <c r="F60" s="26">
        <v>3.96</v>
      </c>
      <c r="G60" s="27">
        <v>0</v>
      </c>
      <c r="H60" s="24">
        <v>3.96</v>
      </c>
      <c r="I60" s="24">
        <v>0</v>
      </c>
      <c r="J60" s="25">
        <v>0</v>
      </c>
      <c r="K60" s="22">
        <v>3.96</v>
      </c>
    </row>
    <row r="61" spans="1:11" x14ac:dyDescent="0.3">
      <c r="A61" s="30" t="s">
        <v>131</v>
      </c>
      <c r="B61" s="31" t="s">
        <v>132</v>
      </c>
      <c r="C61" s="32" t="s">
        <v>123</v>
      </c>
      <c r="D61" s="24">
        <v>136.35</v>
      </c>
      <c r="E61" s="24">
        <v>2.1</v>
      </c>
      <c r="F61" s="26">
        <v>286.33999999999997</v>
      </c>
      <c r="G61" s="27">
        <v>0</v>
      </c>
      <c r="H61" s="24">
        <v>286.33999999999997</v>
      </c>
      <c r="I61" s="24">
        <v>0</v>
      </c>
      <c r="J61" s="25">
        <v>0</v>
      </c>
      <c r="K61" s="22">
        <v>286.33999999999997</v>
      </c>
    </row>
    <row r="62" spans="1:11" x14ac:dyDescent="0.3">
      <c r="A62" s="30" t="s">
        <v>133</v>
      </c>
      <c r="B62" s="31" t="s">
        <v>134</v>
      </c>
      <c r="C62" s="32" t="s">
        <v>123</v>
      </c>
      <c r="D62" s="24">
        <v>72.75</v>
      </c>
      <c r="E62" s="24">
        <v>3.78</v>
      </c>
      <c r="F62" s="26">
        <v>275</v>
      </c>
      <c r="G62" s="27">
        <v>0</v>
      </c>
      <c r="H62" s="24">
        <v>0</v>
      </c>
      <c r="I62" s="24">
        <v>275</v>
      </c>
      <c r="J62" s="25">
        <v>0</v>
      </c>
      <c r="K62" s="22">
        <v>275</v>
      </c>
    </row>
    <row r="63" spans="1:11" x14ac:dyDescent="0.3">
      <c r="A63" s="30" t="s">
        <v>135</v>
      </c>
      <c r="B63" s="31" t="s">
        <v>136</v>
      </c>
      <c r="C63" s="32" t="s">
        <v>123</v>
      </c>
      <c r="D63" s="24">
        <v>8.66</v>
      </c>
      <c r="E63" s="24">
        <v>5.17</v>
      </c>
      <c r="F63" s="26">
        <v>44.77</v>
      </c>
      <c r="G63" s="27">
        <v>0</v>
      </c>
      <c r="H63" s="24">
        <v>0</v>
      </c>
      <c r="I63" s="24">
        <v>44.77</v>
      </c>
      <c r="J63" s="25">
        <v>0</v>
      </c>
      <c r="K63" s="22">
        <v>44.77</v>
      </c>
    </row>
    <row r="64" spans="1:11" x14ac:dyDescent="0.3">
      <c r="A64" s="30" t="s">
        <v>137</v>
      </c>
      <c r="B64" s="31" t="s">
        <v>138</v>
      </c>
      <c r="C64" s="32" t="s">
        <v>123</v>
      </c>
      <c r="D64" s="24">
        <v>11.13</v>
      </c>
      <c r="E64" s="24">
        <v>5.41</v>
      </c>
      <c r="F64" s="26">
        <v>60.21</v>
      </c>
      <c r="G64" s="27">
        <v>0</v>
      </c>
      <c r="H64" s="24">
        <v>0</v>
      </c>
      <c r="I64" s="24">
        <v>60.21</v>
      </c>
      <c r="J64" s="25">
        <v>0</v>
      </c>
      <c r="K64" s="22">
        <v>60.21</v>
      </c>
    </row>
    <row r="65" spans="1:11" x14ac:dyDescent="0.3">
      <c r="A65" s="30" t="s">
        <v>139</v>
      </c>
      <c r="B65" s="31" t="s">
        <v>140</v>
      </c>
      <c r="C65" s="32" t="s">
        <v>123</v>
      </c>
      <c r="D65" s="24">
        <v>272.7</v>
      </c>
      <c r="E65" s="24">
        <v>2.1</v>
      </c>
      <c r="F65" s="26">
        <v>572.66999999999996</v>
      </c>
      <c r="G65" s="27">
        <v>0</v>
      </c>
      <c r="H65" s="24">
        <v>572.66999999999996</v>
      </c>
      <c r="I65" s="24">
        <v>0</v>
      </c>
      <c r="J65" s="25">
        <v>0</v>
      </c>
      <c r="K65" s="22">
        <v>572.66999999999996</v>
      </c>
    </row>
    <row r="66" spans="1:11" x14ac:dyDescent="0.3">
      <c r="A66" s="30" t="s">
        <v>141</v>
      </c>
      <c r="B66" s="31" t="s">
        <v>142</v>
      </c>
      <c r="C66" s="32" t="s">
        <v>123</v>
      </c>
      <c r="D66" s="24">
        <v>198.06</v>
      </c>
      <c r="E66" s="24">
        <v>3.78</v>
      </c>
      <c r="F66" s="26">
        <v>748.67</v>
      </c>
      <c r="G66" s="27">
        <v>0</v>
      </c>
      <c r="H66" s="24">
        <v>0</v>
      </c>
      <c r="I66" s="24">
        <v>748.67</v>
      </c>
      <c r="J66" s="25">
        <v>0</v>
      </c>
      <c r="K66" s="22">
        <v>748.67</v>
      </c>
    </row>
    <row r="67" spans="1:11" x14ac:dyDescent="0.3">
      <c r="A67" s="30" t="s">
        <v>143</v>
      </c>
      <c r="B67" s="31" t="s">
        <v>144</v>
      </c>
      <c r="C67" s="32" t="s">
        <v>123</v>
      </c>
      <c r="D67" s="24">
        <v>59.38</v>
      </c>
      <c r="E67" s="24">
        <v>5.17</v>
      </c>
      <c r="F67" s="26">
        <v>306.99</v>
      </c>
      <c r="G67" s="27">
        <v>0</v>
      </c>
      <c r="H67" s="24">
        <v>0</v>
      </c>
      <c r="I67" s="24">
        <v>306.99</v>
      </c>
      <c r="J67" s="25">
        <v>0</v>
      </c>
      <c r="K67" s="22">
        <v>306.99</v>
      </c>
    </row>
    <row r="68" spans="1:11" x14ac:dyDescent="0.3">
      <c r="A68" s="30" t="s">
        <v>145</v>
      </c>
      <c r="B68" s="31" t="s">
        <v>146</v>
      </c>
      <c r="C68" s="32" t="s">
        <v>123</v>
      </c>
      <c r="D68" s="24">
        <v>40.25</v>
      </c>
      <c r="E68" s="24">
        <v>1.72</v>
      </c>
      <c r="F68" s="26">
        <v>69.23</v>
      </c>
      <c r="G68" s="27">
        <v>0</v>
      </c>
      <c r="H68" s="24">
        <v>69.23</v>
      </c>
      <c r="I68" s="24">
        <v>0</v>
      </c>
      <c r="J68" s="25">
        <v>0</v>
      </c>
      <c r="K68" s="22">
        <v>69.23</v>
      </c>
    </row>
    <row r="69" spans="1:11" x14ac:dyDescent="0.3">
      <c r="A69" s="30" t="s">
        <v>147</v>
      </c>
      <c r="B69" s="31" t="s">
        <v>148</v>
      </c>
      <c r="C69" s="32" t="s">
        <v>123</v>
      </c>
      <c r="D69" s="24">
        <v>101</v>
      </c>
      <c r="E69" s="24">
        <v>1.72</v>
      </c>
      <c r="F69" s="26">
        <v>173.72</v>
      </c>
      <c r="G69" s="27">
        <v>0</v>
      </c>
      <c r="H69" s="24">
        <v>173.72</v>
      </c>
      <c r="I69" s="24">
        <v>0</v>
      </c>
      <c r="J69" s="25">
        <v>0</v>
      </c>
      <c r="K69" s="22">
        <v>173.72</v>
      </c>
    </row>
    <row r="70" spans="1:11" x14ac:dyDescent="0.3">
      <c r="A70" s="30" t="s">
        <v>149</v>
      </c>
      <c r="B70" s="31" t="s">
        <v>150</v>
      </c>
      <c r="C70" s="32" t="s">
        <v>123</v>
      </c>
      <c r="D70" s="24">
        <v>89.12</v>
      </c>
      <c r="E70" s="24">
        <v>2.1800000000000002</v>
      </c>
      <c r="F70" s="26">
        <v>194.28</v>
      </c>
      <c r="G70" s="27">
        <v>0</v>
      </c>
      <c r="H70" s="24">
        <v>53.4</v>
      </c>
      <c r="I70" s="24">
        <v>140.88</v>
      </c>
      <c r="J70" s="25">
        <v>0</v>
      </c>
      <c r="K70" s="22">
        <v>194.28</v>
      </c>
    </row>
    <row r="71" spans="1:11" x14ac:dyDescent="0.3">
      <c r="A71" s="30" t="s">
        <v>151</v>
      </c>
      <c r="B71" s="31" t="s">
        <v>152</v>
      </c>
      <c r="C71" s="32" t="s">
        <v>123</v>
      </c>
      <c r="D71" s="24">
        <v>20.68</v>
      </c>
      <c r="E71" s="24">
        <v>3.39</v>
      </c>
      <c r="F71" s="26">
        <v>70.11</v>
      </c>
      <c r="G71" s="27">
        <v>0</v>
      </c>
      <c r="H71" s="24">
        <v>23.37</v>
      </c>
      <c r="I71" s="24">
        <v>46.74</v>
      </c>
      <c r="J71" s="25">
        <v>0</v>
      </c>
      <c r="K71" s="22">
        <v>70.11</v>
      </c>
    </row>
    <row r="72" spans="1:11" x14ac:dyDescent="0.3">
      <c r="A72" s="30" t="s">
        <v>153</v>
      </c>
      <c r="B72" s="31" t="s">
        <v>154</v>
      </c>
      <c r="C72" s="32" t="s">
        <v>123</v>
      </c>
      <c r="D72" s="24">
        <v>84.42</v>
      </c>
      <c r="E72" s="24">
        <v>4.3600000000000003</v>
      </c>
      <c r="F72" s="26">
        <v>368.07</v>
      </c>
      <c r="G72" s="27">
        <v>0</v>
      </c>
      <c r="H72" s="24">
        <v>111.33</v>
      </c>
      <c r="I72" s="24">
        <v>256.74</v>
      </c>
      <c r="J72" s="25">
        <v>0</v>
      </c>
      <c r="K72" s="22">
        <v>368.07</v>
      </c>
    </row>
    <row r="73" spans="1:11" x14ac:dyDescent="0.3">
      <c r="A73" s="30" t="s">
        <v>155</v>
      </c>
      <c r="B73" s="31" t="s">
        <v>156</v>
      </c>
      <c r="C73" s="32" t="s">
        <v>123</v>
      </c>
      <c r="D73" s="24">
        <v>41.37</v>
      </c>
      <c r="E73" s="24">
        <v>6.78</v>
      </c>
      <c r="F73" s="26">
        <v>280.49</v>
      </c>
      <c r="G73" s="27">
        <v>0</v>
      </c>
      <c r="H73" s="24">
        <v>93.5</v>
      </c>
      <c r="I73" s="24">
        <v>186.99</v>
      </c>
      <c r="J73" s="25">
        <v>0</v>
      </c>
      <c r="K73" s="22">
        <v>280.49</v>
      </c>
    </row>
    <row r="74" spans="1:11" x14ac:dyDescent="0.3">
      <c r="A74" s="30" t="s">
        <v>157</v>
      </c>
      <c r="B74" s="31" t="s">
        <v>158</v>
      </c>
      <c r="C74" s="32" t="s">
        <v>45</v>
      </c>
      <c r="D74" s="24">
        <v>2</v>
      </c>
      <c r="E74" s="24">
        <v>117.8</v>
      </c>
      <c r="F74" s="26">
        <v>235.6</v>
      </c>
      <c r="G74" s="27">
        <v>0</v>
      </c>
      <c r="H74" s="24">
        <v>0</v>
      </c>
      <c r="I74" s="24">
        <v>0</v>
      </c>
      <c r="J74" s="25">
        <v>235.6</v>
      </c>
      <c r="K74" s="22">
        <v>235.6</v>
      </c>
    </row>
    <row r="75" spans="1:11" x14ac:dyDescent="0.3">
      <c r="A75" s="30" t="s">
        <v>159</v>
      </c>
      <c r="B75" s="31" t="s">
        <v>160</v>
      </c>
      <c r="C75" s="32" t="s">
        <v>128</v>
      </c>
      <c r="D75" s="24">
        <v>2</v>
      </c>
      <c r="E75" s="24">
        <v>600</v>
      </c>
      <c r="F75" s="26">
        <v>1200</v>
      </c>
      <c r="G75" s="27">
        <v>0</v>
      </c>
      <c r="H75" s="24">
        <v>0</v>
      </c>
      <c r="I75" s="24">
        <v>0</v>
      </c>
      <c r="J75" s="25">
        <v>1200</v>
      </c>
      <c r="K75" s="22">
        <v>1200</v>
      </c>
    </row>
    <row r="76" spans="1:11" x14ac:dyDescent="0.3">
      <c r="A76" s="30" t="s">
        <v>161</v>
      </c>
      <c r="B76" s="31" t="s">
        <v>162</v>
      </c>
      <c r="C76" s="32" t="s">
        <v>128</v>
      </c>
      <c r="D76" s="24">
        <v>2</v>
      </c>
      <c r="E76" s="24">
        <v>105</v>
      </c>
      <c r="F76" s="26">
        <v>210</v>
      </c>
      <c r="G76" s="27">
        <v>0</v>
      </c>
      <c r="H76" s="24">
        <v>0</v>
      </c>
      <c r="I76" s="24">
        <v>0</v>
      </c>
      <c r="J76" s="25">
        <v>210</v>
      </c>
      <c r="K76" s="22">
        <v>210</v>
      </c>
    </row>
    <row r="77" spans="1:11" x14ac:dyDescent="0.3">
      <c r="A77" s="30" t="s">
        <v>163</v>
      </c>
      <c r="B77" s="31" t="s">
        <v>164</v>
      </c>
      <c r="C77" s="32" t="s">
        <v>45</v>
      </c>
      <c r="D77" s="24">
        <v>1</v>
      </c>
      <c r="E77" s="24">
        <v>82.14</v>
      </c>
      <c r="F77" s="26">
        <v>82.14</v>
      </c>
      <c r="G77" s="27">
        <v>82.14</v>
      </c>
      <c r="H77" s="24">
        <v>0</v>
      </c>
      <c r="I77" s="24">
        <v>0</v>
      </c>
      <c r="J77" s="25">
        <v>0</v>
      </c>
      <c r="K77" s="22">
        <v>82.14</v>
      </c>
    </row>
    <row r="78" spans="1:11" x14ac:dyDescent="0.3">
      <c r="A78" s="30" t="s">
        <v>165</v>
      </c>
      <c r="B78" s="31" t="s">
        <v>166</v>
      </c>
      <c r="C78" s="32" t="s">
        <v>45</v>
      </c>
      <c r="D78" s="24">
        <v>3</v>
      </c>
      <c r="E78" s="24">
        <v>178.5</v>
      </c>
      <c r="F78" s="26">
        <v>535.5</v>
      </c>
      <c r="G78" s="27">
        <v>0</v>
      </c>
      <c r="H78" s="24">
        <v>0</v>
      </c>
      <c r="I78" s="24">
        <v>0</v>
      </c>
      <c r="J78" s="25">
        <v>535.5</v>
      </c>
      <c r="K78" s="22">
        <v>535.5</v>
      </c>
    </row>
    <row r="79" spans="1:11" x14ac:dyDescent="0.3">
      <c r="A79" s="30" t="s">
        <v>167</v>
      </c>
      <c r="B79" s="31" t="s">
        <v>168</v>
      </c>
      <c r="C79" s="32" t="s">
        <v>45</v>
      </c>
      <c r="D79" s="24">
        <v>1</v>
      </c>
      <c r="E79" s="24">
        <v>372.92</v>
      </c>
      <c r="F79" s="26">
        <v>372.92</v>
      </c>
      <c r="G79" s="27">
        <v>372.92</v>
      </c>
      <c r="H79" s="24">
        <v>0</v>
      </c>
      <c r="I79" s="24">
        <v>0</v>
      </c>
      <c r="J79" s="25">
        <v>0</v>
      </c>
      <c r="K79" s="22">
        <v>372.92</v>
      </c>
    </row>
    <row r="80" spans="1:11" x14ac:dyDescent="0.3">
      <c r="A80" s="30" t="s">
        <v>169</v>
      </c>
      <c r="B80" s="31" t="s">
        <v>170</v>
      </c>
      <c r="C80" s="32" t="s">
        <v>45</v>
      </c>
      <c r="D80" s="24">
        <v>1</v>
      </c>
      <c r="E80" s="24">
        <v>178.5</v>
      </c>
      <c r="F80" s="26">
        <v>178.5</v>
      </c>
      <c r="G80" s="27">
        <v>0</v>
      </c>
      <c r="H80" s="24">
        <v>0</v>
      </c>
      <c r="I80" s="24">
        <v>0</v>
      </c>
      <c r="J80" s="25">
        <v>178.5</v>
      </c>
      <c r="K80" s="22">
        <v>178.5</v>
      </c>
    </row>
    <row r="81" spans="1:11" x14ac:dyDescent="0.3">
      <c r="A81" s="30" t="s">
        <v>171</v>
      </c>
      <c r="B81" s="31" t="s">
        <v>172</v>
      </c>
      <c r="C81" s="32" t="s">
        <v>45</v>
      </c>
      <c r="D81" s="24">
        <v>2</v>
      </c>
      <c r="E81" s="24">
        <v>35.700000000000003</v>
      </c>
      <c r="F81" s="26">
        <v>71.400000000000006</v>
      </c>
      <c r="G81" s="27">
        <v>0</v>
      </c>
      <c r="H81" s="24">
        <v>0</v>
      </c>
      <c r="I81" s="24">
        <v>0</v>
      </c>
      <c r="J81" s="25">
        <v>71.400000000000006</v>
      </c>
      <c r="K81" s="22">
        <v>71.400000000000006</v>
      </c>
    </row>
    <row r="82" spans="1:11" x14ac:dyDescent="0.3">
      <c r="A82" s="30" t="s">
        <v>173</v>
      </c>
      <c r="B82" s="31" t="s">
        <v>174</v>
      </c>
      <c r="C82" s="32" t="s">
        <v>45</v>
      </c>
      <c r="D82" s="24">
        <v>1</v>
      </c>
      <c r="E82" s="24">
        <v>28.18</v>
      </c>
      <c r="F82" s="26">
        <v>28.18</v>
      </c>
      <c r="G82" s="27">
        <v>0</v>
      </c>
      <c r="H82" s="24">
        <v>0</v>
      </c>
      <c r="I82" s="24">
        <v>0</v>
      </c>
      <c r="J82" s="25">
        <v>28.18</v>
      </c>
      <c r="K82" s="22">
        <v>28.18</v>
      </c>
    </row>
    <row r="83" spans="1:11" x14ac:dyDescent="0.3">
      <c r="A83" s="30" t="s">
        <v>175</v>
      </c>
      <c r="B83" s="31" t="s">
        <v>176</v>
      </c>
      <c r="C83" s="32" t="s">
        <v>45</v>
      </c>
      <c r="D83" s="24">
        <v>1</v>
      </c>
      <c r="E83" s="24">
        <v>12.21</v>
      </c>
      <c r="F83" s="26">
        <v>12.21</v>
      </c>
      <c r="G83" s="27">
        <v>0</v>
      </c>
      <c r="H83" s="24">
        <v>0</v>
      </c>
      <c r="I83" s="24">
        <v>12.21</v>
      </c>
      <c r="J83" s="25">
        <v>0</v>
      </c>
      <c r="K83" s="22">
        <v>12.21</v>
      </c>
    </row>
    <row r="84" spans="1:11" x14ac:dyDescent="0.3">
      <c r="A84" s="30" t="s">
        <v>177</v>
      </c>
      <c r="B84" s="31" t="s">
        <v>178</v>
      </c>
      <c r="C84" s="32" t="s">
        <v>45</v>
      </c>
      <c r="D84" s="24">
        <v>3</v>
      </c>
      <c r="E84" s="24">
        <v>20.350000000000001</v>
      </c>
      <c r="F84" s="26">
        <v>61.05</v>
      </c>
      <c r="G84" s="27">
        <v>0</v>
      </c>
      <c r="H84" s="24">
        <v>61.05</v>
      </c>
      <c r="I84" s="24">
        <v>0</v>
      </c>
      <c r="J84" s="25">
        <v>0</v>
      </c>
      <c r="K84" s="22">
        <v>61.05</v>
      </c>
    </row>
    <row r="85" spans="1:11" x14ac:dyDescent="0.3">
      <c r="A85" s="30" t="s">
        <v>179</v>
      </c>
      <c r="B85" s="31" t="s">
        <v>180</v>
      </c>
      <c r="C85" s="32" t="s">
        <v>45</v>
      </c>
      <c r="D85" s="24">
        <v>3.45</v>
      </c>
      <c r="E85" s="24">
        <v>46.64</v>
      </c>
      <c r="F85" s="26">
        <v>160.91</v>
      </c>
      <c r="G85" s="27">
        <v>0</v>
      </c>
      <c r="H85" s="24">
        <v>160.91</v>
      </c>
      <c r="I85" s="24">
        <v>0</v>
      </c>
      <c r="J85" s="25">
        <v>0</v>
      </c>
      <c r="K85" s="22">
        <v>160.91</v>
      </c>
    </row>
    <row r="86" spans="1:11" x14ac:dyDescent="0.3">
      <c r="A86" s="30" t="s">
        <v>181</v>
      </c>
      <c r="B86" s="31" t="s">
        <v>182</v>
      </c>
      <c r="C86" s="32" t="s">
        <v>45</v>
      </c>
      <c r="D86" s="24">
        <v>1</v>
      </c>
      <c r="E86" s="24">
        <v>222.6</v>
      </c>
      <c r="F86" s="26">
        <v>222.6</v>
      </c>
      <c r="G86" s="27">
        <v>0</v>
      </c>
      <c r="H86" s="24">
        <v>0</v>
      </c>
      <c r="I86" s="24">
        <v>0</v>
      </c>
      <c r="J86" s="25">
        <v>222.6</v>
      </c>
      <c r="K86" s="22">
        <v>222.6</v>
      </c>
    </row>
    <row r="87" spans="1:11" x14ac:dyDescent="0.3">
      <c r="A87" s="30" t="s">
        <v>183</v>
      </c>
      <c r="B87" s="31" t="s">
        <v>184</v>
      </c>
      <c r="C87" s="32" t="s">
        <v>32</v>
      </c>
      <c r="D87" s="24">
        <v>1</v>
      </c>
      <c r="E87" s="24">
        <v>2128.9699999999998</v>
      </c>
      <c r="F87" s="26">
        <v>2128.9699999999998</v>
      </c>
      <c r="G87" s="27">
        <v>0</v>
      </c>
      <c r="H87" s="24">
        <v>0</v>
      </c>
      <c r="I87" s="24">
        <v>0</v>
      </c>
      <c r="J87" s="25">
        <v>2128.9699999999998</v>
      </c>
      <c r="K87" s="22">
        <v>2128.9699999999998</v>
      </c>
    </row>
    <row r="88" spans="1:11" x14ac:dyDescent="0.3">
      <c r="A88" s="30" t="s">
        <v>185</v>
      </c>
      <c r="B88" s="31" t="s">
        <v>186</v>
      </c>
      <c r="C88" s="32" t="s">
        <v>45</v>
      </c>
      <c r="D88" s="24">
        <v>5</v>
      </c>
      <c r="E88" s="24">
        <v>50.76</v>
      </c>
      <c r="F88" s="26">
        <v>253.8</v>
      </c>
      <c r="G88" s="27">
        <v>0</v>
      </c>
      <c r="H88" s="24">
        <v>0</v>
      </c>
      <c r="I88" s="24">
        <v>0</v>
      </c>
      <c r="J88" s="25">
        <v>253.8</v>
      </c>
      <c r="K88" s="22">
        <v>253.8</v>
      </c>
    </row>
    <row r="89" spans="1:11" x14ac:dyDescent="0.3">
      <c r="A89" s="30" t="s">
        <v>187</v>
      </c>
      <c r="B89" s="31" t="s">
        <v>188</v>
      </c>
      <c r="C89" s="32" t="s">
        <v>45</v>
      </c>
      <c r="D89" s="24">
        <v>2</v>
      </c>
      <c r="E89" s="24">
        <v>55.28</v>
      </c>
      <c r="F89" s="26">
        <v>110.56</v>
      </c>
      <c r="G89" s="27">
        <v>0</v>
      </c>
      <c r="H89" s="24">
        <v>36.85</v>
      </c>
      <c r="I89" s="24">
        <v>73.709999999999994</v>
      </c>
      <c r="J89" s="25">
        <v>0</v>
      </c>
      <c r="K89" s="22">
        <v>110.56</v>
      </c>
    </row>
    <row r="90" spans="1:11" x14ac:dyDescent="0.3">
      <c r="A90" s="30" t="s">
        <v>189</v>
      </c>
      <c r="B90" s="31" t="s">
        <v>190</v>
      </c>
      <c r="C90" s="32" t="s">
        <v>45</v>
      </c>
      <c r="D90" s="24">
        <v>10</v>
      </c>
      <c r="E90" s="24">
        <v>144.11000000000001</v>
      </c>
      <c r="F90" s="26">
        <v>1441.1</v>
      </c>
      <c r="G90" s="27">
        <v>0</v>
      </c>
      <c r="H90" s="24">
        <v>1441.1</v>
      </c>
      <c r="I90" s="24">
        <v>0</v>
      </c>
      <c r="J90" s="25">
        <v>0</v>
      </c>
      <c r="K90" s="22">
        <v>1441.1</v>
      </c>
    </row>
    <row r="91" spans="1:11" x14ac:dyDescent="0.3">
      <c r="A91" s="30" t="s">
        <v>191</v>
      </c>
      <c r="B91" s="31" t="s">
        <v>192</v>
      </c>
      <c r="C91" s="32" t="s">
        <v>45</v>
      </c>
      <c r="D91" s="24">
        <v>4</v>
      </c>
      <c r="E91" s="24">
        <v>128.81</v>
      </c>
      <c r="F91" s="26">
        <v>515.24</v>
      </c>
      <c r="G91" s="27">
        <v>0</v>
      </c>
      <c r="H91" s="24">
        <v>412.19</v>
      </c>
      <c r="I91" s="24">
        <v>103.05</v>
      </c>
      <c r="J91" s="25">
        <v>0</v>
      </c>
      <c r="K91" s="22">
        <v>515.24</v>
      </c>
    </row>
    <row r="92" spans="1:11" x14ac:dyDescent="0.3">
      <c r="A92" s="30" t="s">
        <v>193</v>
      </c>
      <c r="B92" s="31" t="s">
        <v>194</v>
      </c>
      <c r="C92" s="32" t="s">
        <v>45</v>
      </c>
      <c r="D92" s="24">
        <v>1</v>
      </c>
      <c r="E92" s="24">
        <v>614.76</v>
      </c>
      <c r="F92" s="26">
        <v>614.76</v>
      </c>
      <c r="G92" s="27">
        <v>0</v>
      </c>
      <c r="H92" s="24">
        <v>0</v>
      </c>
      <c r="I92" s="24">
        <v>614.76</v>
      </c>
      <c r="J92" s="25">
        <v>0</v>
      </c>
      <c r="K92" s="22">
        <v>614.76</v>
      </c>
    </row>
    <row r="93" spans="1:11" x14ac:dyDescent="0.3">
      <c r="A93" s="30" t="s">
        <v>195</v>
      </c>
      <c r="B93" s="31" t="s">
        <v>196</v>
      </c>
      <c r="C93" s="32" t="s">
        <v>45</v>
      </c>
      <c r="D93" s="24">
        <v>27</v>
      </c>
      <c r="E93" s="24">
        <v>27.51</v>
      </c>
      <c r="F93" s="26">
        <v>742.77</v>
      </c>
      <c r="G93" s="27">
        <v>0</v>
      </c>
      <c r="H93" s="24">
        <v>0</v>
      </c>
      <c r="I93" s="24">
        <v>0</v>
      </c>
      <c r="J93" s="25">
        <v>742.77</v>
      </c>
      <c r="K93" s="22">
        <v>742.77</v>
      </c>
    </row>
    <row r="94" spans="1:11" x14ac:dyDescent="0.3">
      <c r="A94" s="30" t="s">
        <v>197</v>
      </c>
      <c r="B94" s="31" t="s">
        <v>198</v>
      </c>
      <c r="C94" s="32" t="s">
        <v>45</v>
      </c>
      <c r="D94" s="24">
        <v>2</v>
      </c>
      <c r="E94" s="24">
        <v>31.5</v>
      </c>
      <c r="F94" s="26">
        <v>63</v>
      </c>
      <c r="G94" s="27">
        <v>0</v>
      </c>
      <c r="H94" s="24">
        <v>63</v>
      </c>
      <c r="I94" s="24">
        <v>0</v>
      </c>
      <c r="J94" s="25">
        <v>0</v>
      </c>
      <c r="K94" s="22">
        <v>63</v>
      </c>
    </row>
    <row r="95" spans="1:11" x14ac:dyDescent="0.3">
      <c r="A95" s="30" t="s">
        <v>199</v>
      </c>
      <c r="B95" s="31" t="s">
        <v>200</v>
      </c>
      <c r="C95" s="32" t="s">
        <v>45</v>
      </c>
      <c r="D95" s="24">
        <v>3</v>
      </c>
      <c r="E95" s="24">
        <v>40.049999999999997</v>
      </c>
      <c r="F95" s="26">
        <v>120.15</v>
      </c>
      <c r="G95" s="27">
        <v>0</v>
      </c>
      <c r="H95" s="24">
        <v>120.15</v>
      </c>
      <c r="I95" s="24">
        <v>0</v>
      </c>
      <c r="J95" s="25">
        <v>0</v>
      </c>
      <c r="K95" s="22">
        <v>120.15</v>
      </c>
    </row>
    <row r="96" spans="1:11" x14ac:dyDescent="0.3">
      <c r="A96" s="30" t="s">
        <v>201</v>
      </c>
      <c r="B96" s="31" t="s">
        <v>202</v>
      </c>
      <c r="C96" s="32" t="s">
        <v>45</v>
      </c>
      <c r="D96" s="24">
        <v>1</v>
      </c>
      <c r="E96" s="24">
        <v>63</v>
      </c>
      <c r="F96" s="26">
        <v>63</v>
      </c>
      <c r="G96" s="27">
        <v>0</v>
      </c>
      <c r="H96" s="24">
        <v>63</v>
      </c>
      <c r="I96" s="24">
        <v>0</v>
      </c>
      <c r="J96" s="25">
        <v>0</v>
      </c>
      <c r="K96" s="22">
        <v>63</v>
      </c>
    </row>
    <row r="97" spans="1:11" x14ac:dyDescent="0.3">
      <c r="A97" s="30" t="s">
        <v>203</v>
      </c>
      <c r="B97" s="31" t="s">
        <v>204</v>
      </c>
      <c r="C97" s="32" t="s">
        <v>45</v>
      </c>
      <c r="D97" s="24">
        <v>8</v>
      </c>
      <c r="E97" s="24">
        <v>1.79</v>
      </c>
      <c r="F97" s="26">
        <v>14.32</v>
      </c>
      <c r="G97" s="27">
        <v>0</v>
      </c>
      <c r="H97" s="24">
        <v>14.32</v>
      </c>
      <c r="I97" s="24">
        <v>0</v>
      </c>
      <c r="J97" s="25">
        <v>0</v>
      </c>
      <c r="K97" s="22">
        <v>14.32</v>
      </c>
    </row>
    <row r="98" spans="1:11" x14ac:dyDescent="0.3">
      <c r="A98" s="30" t="s">
        <v>205</v>
      </c>
      <c r="B98" s="31" t="s">
        <v>206</v>
      </c>
      <c r="C98" s="32" t="s">
        <v>128</v>
      </c>
      <c r="D98" s="24">
        <v>2</v>
      </c>
      <c r="E98" s="24">
        <v>17.850000000000001</v>
      </c>
      <c r="F98" s="26">
        <v>35.700000000000003</v>
      </c>
      <c r="G98" s="27">
        <v>0</v>
      </c>
      <c r="H98" s="24">
        <v>35.700000000000003</v>
      </c>
      <c r="I98" s="24">
        <v>0</v>
      </c>
      <c r="J98" s="25">
        <v>0</v>
      </c>
      <c r="K98" s="22">
        <v>35.700000000000003</v>
      </c>
    </row>
    <row r="99" spans="1:11" x14ac:dyDescent="0.3">
      <c r="A99" s="30" t="s">
        <v>207</v>
      </c>
      <c r="B99" s="31" t="s">
        <v>208</v>
      </c>
      <c r="C99" s="32" t="s">
        <v>45</v>
      </c>
      <c r="D99" s="24">
        <v>27</v>
      </c>
      <c r="E99" s="24">
        <v>5.5</v>
      </c>
      <c r="F99" s="26">
        <v>148.5</v>
      </c>
      <c r="G99" s="27">
        <v>0</v>
      </c>
      <c r="H99" s="24">
        <v>148.5</v>
      </c>
      <c r="I99" s="24">
        <v>0</v>
      </c>
      <c r="J99" s="25">
        <v>0</v>
      </c>
      <c r="K99" s="22">
        <v>148.5</v>
      </c>
    </row>
    <row r="100" spans="1:11" x14ac:dyDescent="0.3">
      <c r="A100" s="30" t="s">
        <v>209</v>
      </c>
      <c r="B100" s="31" t="s">
        <v>210</v>
      </c>
      <c r="C100" s="32" t="s">
        <v>45</v>
      </c>
      <c r="D100" s="24">
        <v>10</v>
      </c>
      <c r="E100" s="24">
        <v>6.83</v>
      </c>
      <c r="F100" s="26">
        <v>68.3</v>
      </c>
      <c r="G100" s="27">
        <v>0</v>
      </c>
      <c r="H100" s="24">
        <v>68.3</v>
      </c>
      <c r="I100" s="24">
        <v>0</v>
      </c>
      <c r="J100" s="25">
        <v>0</v>
      </c>
      <c r="K100" s="22">
        <v>68.3</v>
      </c>
    </row>
    <row r="101" spans="1:11" x14ac:dyDescent="0.3">
      <c r="A101" s="30" t="s">
        <v>211</v>
      </c>
      <c r="B101" s="31" t="s">
        <v>212</v>
      </c>
      <c r="C101" s="32" t="s">
        <v>45</v>
      </c>
      <c r="D101" s="24">
        <v>12</v>
      </c>
      <c r="E101" s="24">
        <v>5.25</v>
      </c>
      <c r="F101" s="26">
        <v>63</v>
      </c>
      <c r="G101" s="27">
        <v>0</v>
      </c>
      <c r="H101" s="24">
        <v>63</v>
      </c>
      <c r="I101" s="24">
        <v>0</v>
      </c>
      <c r="J101" s="25">
        <v>0</v>
      </c>
      <c r="K101" s="22">
        <v>63</v>
      </c>
    </row>
    <row r="102" spans="1:11" x14ac:dyDescent="0.3">
      <c r="A102" s="30" t="s">
        <v>213</v>
      </c>
      <c r="B102" s="31" t="s">
        <v>214</v>
      </c>
      <c r="C102" s="32" t="s">
        <v>45</v>
      </c>
      <c r="D102" s="24">
        <v>1</v>
      </c>
      <c r="E102" s="24">
        <v>1844.36</v>
      </c>
      <c r="F102" s="26">
        <v>1844.36</v>
      </c>
      <c r="G102" s="27">
        <v>0</v>
      </c>
      <c r="H102" s="24">
        <v>0</v>
      </c>
      <c r="I102" s="24">
        <v>0</v>
      </c>
      <c r="J102" s="25">
        <v>1844.36</v>
      </c>
      <c r="K102" s="22">
        <v>1844.36</v>
      </c>
    </row>
    <row r="103" spans="1:11" x14ac:dyDescent="0.3">
      <c r="A103" s="30" t="s">
        <v>215</v>
      </c>
      <c r="B103" s="31" t="s">
        <v>216</v>
      </c>
      <c r="C103" s="32" t="s">
        <v>217</v>
      </c>
      <c r="D103" s="24">
        <v>2</v>
      </c>
      <c r="E103" s="24">
        <v>72.03</v>
      </c>
      <c r="F103" s="26">
        <v>144.06</v>
      </c>
      <c r="G103" s="27">
        <v>0</v>
      </c>
      <c r="H103" s="24">
        <v>0</v>
      </c>
      <c r="I103" s="24">
        <v>0</v>
      </c>
      <c r="J103" s="25">
        <v>144.06</v>
      </c>
      <c r="K103" s="22">
        <v>144.06</v>
      </c>
    </row>
    <row r="104" spans="1:11" x14ac:dyDescent="0.3">
      <c r="A104" s="30" t="s">
        <v>218</v>
      </c>
      <c r="B104" s="31" t="s">
        <v>219</v>
      </c>
      <c r="C104" s="32" t="s">
        <v>45</v>
      </c>
      <c r="D104" s="24">
        <v>1</v>
      </c>
      <c r="E104" s="24">
        <v>1000</v>
      </c>
      <c r="F104" s="26">
        <v>1000</v>
      </c>
      <c r="G104" s="27">
        <v>0</v>
      </c>
      <c r="H104" s="24">
        <v>0</v>
      </c>
      <c r="I104" s="24">
        <v>0</v>
      </c>
      <c r="J104" s="25">
        <v>1000</v>
      </c>
      <c r="K104" s="22">
        <v>1000</v>
      </c>
    </row>
    <row r="105" spans="1:11" x14ac:dyDescent="0.3">
      <c r="A105" s="30" t="s">
        <v>220</v>
      </c>
      <c r="B105" s="31" t="s">
        <v>221</v>
      </c>
      <c r="C105" s="32" t="s">
        <v>45</v>
      </c>
      <c r="D105" s="24">
        <v>5</v>
      </c>
      <c r="E105" s="24">
        <v>134.99</v>
      </c>
      <c r="F105" s="26">
        <v>674.95</v>
      </c>
      <c r="G105" s="27">
        <v>0</v>
      </c>
      <c r="H105" s="24">
        <v>0</v>
      </c>
      <c r="I105" s="24">
        <v>0</v>
      </c>
      <c r="J105" s="25">
        <v>674.95</v>
      </c>
      <c r="K105" s="22">
        <v>674.95</v>
      </c>
    </row>
    <row r="106" spans="1:11" x14ac:dyDescent="0.3">
      <c r="A106" s="30" t="s">
        <v>222</v>
      </c>
      <c r="B106" s="31" t="s">
        <v>223</v>
      </c>
      <c r="C106" s="32" t="s">
        <v>45</v>
      </c>
      <c r="D106" s="24">
        <v>1</v>
      </c>
      <c r="E106" s="24">
        <v>35.369999999999997</v>
      </c>
      <c r="F106" s="26">
        <v>35.369999999999997</v>
      </c>
      <c r="G106" s="27">
        <v>0</v>
      </c>
      <c r="H106" s="24">
        <v>0</v>
      </c>
      <c r="I106" s="24">
        <v>0</v>
      </c>
      <c r="J106" s="25">
        <v>35.369999999999997</v>
      </c>
      <c r="K106" s="22">
        <v>35.369999999999997</v>
      </c>
    </row>
    <row r="107" spans="1:11" x14ac:dyDescent="0.3">
      <c r="A107" s="30" t="s">
        <v>224</v>
      </c>
      <c r="B107" s="31" t="s">
        <v>225</v>
      </c>
      <c r="C107" s="32" t="s">
        <v>45</v>
      </c>
      <c r="D107" s="24">
        <v>1</v>
      </c>
      <c r="E107" s="24">
        <v>35.4</v>
      </c>
      <c r="F107" s="26">
        <v>35.4</v>
      </c>
      <c r="G107" s="27">
        <v>0</v>
      </c>
      <c r="H107" s="24">
        <v>0</v>
      </c>
      <c r="I107" s="24">
        <v>0</v>
      </c>
      <c r="J107" s="25">
        <v>35.4</v>
      </c>
      <c r="K107" s="22">
        <v>35.4</v>
      </c>
    </row>
    <row r="108" spans="1:11" x14ac:dyDescent="0.3">
      <c r="A108" s="30" t="s">
        <v>226</v>
      </c>
      <c r="B108" s="31" t="s">
        <v>227</v>
      </c>
      <c r="C108" s="32" t="s">
        <v>45</v>
      </c>
      <c r="D108" s="24">
        <v>5</v>
      </c>
      <c r="E108" s="24">
        <v>35.369999999999997</v>
      </c>
      <c r="F108" s="26">
        <v>176.85</v>
      </c>
      <c r="G108" s="27">
        <v>0</v>
      </c>
      <c r="H108" s="24">
        <v>0</v>
      </c>
      <c r="I108" s="24">
        <v>0</v>
      </c>
      <c r="J108" s="25">
        <v>176.85</v>
      </c>
      <c r="K108" s="22">
        <v>176.85</v>
      </c>
    </row>
    <row r="109" spans="1:11" x14ac:dyDescent="0.3">
      <c r="A109" s="30" t="s">
        <v>228</v>
      </c>
      <c r="B109" s="31" t="s">
        <v>229</v>
      </c>
      <c r="C109" s="32" t="s">
        <v>45</v>
      </c>
      <c r="D109" s="24">
        <v>3</v>
      </c>
      <c r="E109" s="24">
        <v>35.369999999999997</v>
      </c>
      <c r="F109" s="26">
        <v>106.11</v>
      </c>
      <c r="G109" s="27">
        <v>0</v>
      </c>
      <c r="H109" s="24">
        <v>0</v>
      </c>
      <c r="I109" s="24">
        <v>0</v>
      </c>
      <c r="J109" s="25">
        <v>106.11</v>
      </c>
      <c r="K109" s="22">
        <v>106.11</v>
      </c>
    </row>
    <row r="110" spans="1:11" x14ac:dyDescent="0.3">
      <c r="A110" s="30" t="s">
        <v>230</v>
      </c>
      <c r="B110" s="31" t="s">
        <v>231</v>
      </c>
      <c r="C110" s="32" t="s">
        <v>45</v>
      </c>
      <c r="D110" s="24">
        <v>2</v>
      </c>
      <c r="E110" s="24">
        <v>88.91</v>
      </c>
      <c r="F110" s="26">
        <v>177.82</v>
      </c>
      <c r="G110" s="27">
        <v>0</v>
      </c>
      <c r="H110" s="24">
        <v>0</v>
      </c>
      <c r="I110" s="24">
        <v>0</v>
      </c>
      <c r="J110" s="25">
        <v>177.82</v>
      </c>
      <c r="K110" s="22">
        <v>177.82</v>
      </c>
    </row>
    <row r="111" spans="1:11" x14ac:dyDescent="0.3">
      <c r="A111" s="30" t="s">
        <v>232</v>
      </c>
      <c r="B111" s="31" t="s">
        <v>233</v>
      </c>
      <c r="C111" s="32" t="s">
        <v>45</v>
      </c>
      <c r="D111" s="24">
        <v>1</v>
      </c>
      <c r="E111" s="24">
        <v>109.82</v>
      </c>
      <c r="F111" s="26">
        <v>109.82</v>
      </c>
      <c r="G111" s="27">
        <v>0</v>
      </c>
      <c r="H111" s="24">
        <v>0</v>
      </c>
      <c r="I111" s="24">
        <v>0</v>
      </c>
      <c r="J111" s="25">
        <v>109.82</v>
      </c>
      <c r="K111" s="22">
        <v>109.82</v>
      </c>
    </row>
    <row r="112" spans="1:11" x14ac:dyDescent="0.3">
      <c r="A112" s="30" t="s">
        <v>234</v>
      </c>
      <c r="B112" s="31" t="s">
        <v>235</v>
      </c>
      <c r="C112" s="32" t="s">
        <v>45</v>
      </c>
      <c r="D112" s="24">
        <v>2</v>
      </c>
      <c r="E112" s="24">
        <v>110.39</v>
      </c>
      <c r="F112" s="26">
        <v>220.78</v>
      </c>
      <c r="G112" s="27">
        <v>0</v>
      </c>
      <c r="H112" s="24">
        <v>0</v>
      </c>
      <c r="I112" s="24">
        <v>0</v>
      </c>
      <c r="J112" s="25">
        <v>220.78</v>
      </c>
      <c r="K112" s="22">
        <v>220.78</v>
      </c>
    </row>
    <row r="113" spans="1:11" x14ac:dyDescent="0.3">
      <c r="A113" s="30" t="s">
        <v>236</v>
      </c>
      <c r="B113" s="31" t="s">
        <v>237</v>
      </c>
      <c r="C113" s="32" t="s">
        <v>45</v>
      </c>
      <c r="D113" s="24">
        <v>2</v>
      </c>
      <c r="E113" s="24">
        <v>118.32</v>
      </c>
      <c r="F113" s="26">
        <v>236.64</v>
      </c>
      <c r="G113" s="27">
        <v>0</v>
      </c>
      <c r="H113" s="24">
        <v>0</v>
      </c>
      <c r="I113" s="24">
        <v>0</v>
      </c>
      <c r="J113" s="25">
        <v>236.64</v>
      </c>
      <c r="K113" s="22">
        <v>236.64</v>
      </c>
    </row>
    <row r="114" spans="1:11" x14ac:dyDescent="0.3">
      <c r="A114" s="30" t="s">
        <v>238</v>
      </c>
      <c r="B114" s="31" t="s">
        <v>239</v>
      </c>
      <c r="C114" s="32" t="s">
        <v>45</v>
      </c>
      <c r="D114" s="24">
        <v>1</v>
      </c>
      <c r="E114" s="24">
        <v>316.64</v>
      </c>
      <c r="F114" s="26">
        <v>316.64</v>
      </c>
      <c r="G114" s="27">
        <v>0</v>
      </c>
      <c r="H114" s="24">
        <v>0</v>
      </c>
      <c r="I114" s="24">
        <v>0</v>
      </c>
      <c r="J114" s="25">
        <v>316.64</v>
      </c>
      <c r="K114" s="22">
        <v>316.64</v>
      </c>
    </row>
    <row r="115" spans="1:11" x14ac:dyDescent="0.3">
      <c r="A115" s="30" t="s">
        <v>240</v>
      </c>
      <c r="B115" s="31" t="s">
        <v>241</v>
      </c>
      <c r="C115" s="32" t="s">
        <v>45</v>
      </c>
      <c r="D115" s="24">
        <v>1</v>
      </c>
      <c r="E115" s="24">
        <v>503.61</v>
      </c>
      <c r="F115" s="26">
        <v>503.61</v>
      </c>
      <c r="G115" s="27">
        <v>0</v>
      </c>
      <c r="H115" s="24">
        <v>0</v>
      </c>
      <c r="I115" s="24">
        <v>0</v>
      </c>
      <c r="J115" s="25">
        <v>503.61</v>
      </c>
      <c r="K115" s="22">
        <v>503.61</v>
      </c>
    </row>
    <row r="116" spans="1:11" x14ac:dyDescent="0.3">
      <c r="A116" s="30" t="s">
        <v>242</v>
      </c>
      <c r="B116" s="31" t="s">
        <v>243</v>
      </c>
      <c r="C116" s="32" t="s">
        <v>45</v>
      </c>
      <c r="D116" s="24">
        <v>1</v>
      </c>
      <c r="E116" s="24">
        <v>125.56</v>
      </c>
      <c r="F116" s="26">
        <v>125.56</v>
      </c>
      <c r="G116" s="27">
        <v>0</v>
      </c>
      <c r="H116" s="24">
        <v>0</v>
      </c>
      <c r="I116" s="24">
        <v>0</v>
      </c>
      <c r="J116" s="25">
        <v>125.56</v>
      </c>
      <c r="K116" s="22">
        <v>125.56</v>
      </c>
    </row>
    <row r="117" spans="1:11" x14ac:dyDescent="0.3">
      <c r="A117" s="30" t="s">
        <v>244</v>
      </c>
      <c r="B117" s="31" t="s">
        <v>245</v>
      </c>
      <c r="C117" s="32" t="s">
        <v>128</v>
      </c>
      <c r="D117" s="24">
        <v>7</v>
      </c>
      <c r="E117" s="24">
        <v>17.84</v>
      </c>
      <c r="F117" s="26">
        <v>124.88</v>
      </c>
      <c r="G117" s="27">
        <v>0</v>
      </c>
      <c r="H117" s="24">
        <v>83.25</v>
      </c>
      <c r="I117" s="24">
        <v>41.63</v>
      </c>
      <c r="J117" s="25">
        <v>0</v>
      </c>
      <c r="K117" s="22">
        <v>124.88</v>
      </c>
    </row>
    <row r="118" spans="1:11" x14ac:dyDescent="0.3">
      <c r="A118" s="30" t="s">
        <v>246</v>
      </c>
      <c r="B118" s="31" t="s">
        <v>247</v>
      </c>
      <c r="C118" s="32" t="s">
        <v>128</v>
      </c>
      <c r="D118" s="24">
        <v>8</v>
      </c>
      <c r="E118" s="24">
        <v>17.84</v>
      </c>
      <c r="F118" s="26">
        <v>142.72</v>
      </c>
      <c r="G118" s="27">
        <v>0</v>
      </c>
      <c r="H118" s="24">
        <v>0</v>
      </c>
      <c r="I118" s="24">
        <v>0</v>
      </c>
      <c r="J118" s="25">
        <v>142.72</v>
      </c>
      <c r="K118" s="22">
        <v>142.72</v>
      </c>
    </row>
    <row r="119" spans="1:11" x14ac:dyDescent="0.3">
      <c r="A119" s="30" t="s">
        <v>248</v>
      </c>
      <c r="B119" s="31" t="s">
        <v>249</v>
      </c>
      <c r="C119" s="32" t="s">
        <v>45</v>
      </c>
      <c r="D119" s="24">
        <v>2</v>
      </c>
      <c r="E119" s="24">
        <v>194.74</v>
      </c>
      <c r="F119" s="26">
        <v>389.48</v>
      </c>
      <c r="G119" s="27">
        <v>0</v>
      </c>
      <c r="H119" s="24">
        <v>0</v>
      </c>
      <c r="I119" s="24">
        <v>0</v>
      </c>
      <c r="J119" s="25">
        <v>389.48</v>
      </c>
      <c r="K119" s="22">
        <v>389.48</v>
      </c>
    </row>
    <row r="120" spans="1:11" x14ac:dyDescent="0.3">
      <c r="A120" s="30" t="s">
        <v>250</v>
      </c>
      <c r="B120" s="31" t="s">
        <v>251</v>
      </c>
      <c r="C120" s="32" t="s">
        <v>45</v>
      </c>
      <c r="D120" s="24">
        <v>1</v>
      </c>
      <c r="E120" s="24">
        <v>251.38</v>
      </c>
      <c r="F120" s="26">
        <v>251.38</v>
      </c>
      <c r="G120" s="27">
        <v>0</v>
      </c>
      <c r="H120" s="24">
        <v>0</v>
      </c>
      <c r="I120" s="24">
        <v>0</v>
      </c>
      <c r="J120" s="25">
        <v>251.38</v>
      </c>
      <c r="K120" s="22">
        <v>251.38</v>
      </c>
    </row>
    <row r="121" spans="1:11" x14ac:dyDescent="0.3">
      <c r="A121" s="30" t="s">
        <v>252</v>
      </c>
      <c r="B121" s="31" t="s">
        <v>253</v>
      </c>
      <c r="C121" s="32" t="s">
        <v>45</v>
      </c>
      <c r="D121" s="24">
        <v>1</v>
      </c>
      <c r="E121" s="24">
        <v>265.70999999999998</v>
      </c>
      <c r="F121" s="26">
        <v>265.70999999999998</v>
      </c>
      <c r="G121" s="27">
        <v>0</v>
      </c>
      <c r="H121" s="24">
        <v>0</v>
      </c>
      <c r="I121" s="24">
        <v>0</v>
      </c>
      <c r="J121" s="25">
        <v>265.70999999999998</v>
      </c>
      <c r="K121" s="22">
        <v>265.70999999999998</v>
      </c>
    </row>
    <row r="122" spans="1:11" x14ac:dyDescent="0.3">
      <c r="A122" s="30" t="s">
        <v>254</v>
      </c>
      <c r="B122" s="31" t="s">
        <v>255</v>
      </c>
      <c r="C122" s="32" t="s">
        <v>45</v>
      </c>
      <c r="D122" s="24">
        <v>3</v>
      </c>
      <c r="E122" s="24">
        <v>4.08</v>
      </c>
      <c r="F122" s="26">
        <v>12.24</v>
      </c>
      <c r="G122" s="27">
        <v>0</v>
      </c>
      <c r="H122" s="24">
        <v>12.24</v>
      </c>
      <c r="I122" s="24">
        <v>0</v>
      </c>
      <c r="J122" s="25">
        <v>0</v>
      </c>
      <c r="K122" s="22">
        <v>12.24</v>
      </c>
    </row>
    <row r="123" spans="1:11" x14ac:dyDescent="0.3">
      <c r="A123" s="30" t="s">
        <v>256</v>
      </c>
      <c r="B123" s="31" t="s">
        <v>257</v>
      </c>
      <c r="C123" s="32" t="s">
        <v>45</v>
      </c>
      <c r="D123" s="24">
        <v>1</v>
      </c>
      <c r="E123" s="24">
        <v>3.9</v>
      </c>
      <c r="F123" s="26">
        <v>3.9</v>
      </c>
      <c r="G123" s="27">
        <v>0</v>
      </c>
      <c r="H123" s="24">
        <v>0</v>
      </c>
      <c r="I123" s="24">
        <v>3.9</v>
      </c>
      <c r="J123" s="25">
        <v>0</v>
      </c>
      <c r="K123" s="22">
        <v>3.9</v>
      </c>
    </row>
    <row r="124" spans="1:11" x14ac:dyDescent="0.3">
      <c r="A124" s="30" t="s">
        <v>258</v>
      </c>
      <c r="B124" s="31" t="s">
        <v>259</v>
      </c>
      <c r="C124" s="32" t="s">
        <v>45</v>
      </c>
      <c r="D124" s="24">
        <v>12</v>
      </c>
      <c r="E124" s="24">
        <v>25.42</v>
      </c>
      <c r="F124" s="26">
        <v>305.04000000000002</v>
      </c>
      <c r="G124" s="27">
        <v>0</v>
      </c>
      <c r="H124" s="24">
        <v>305.04000000000002</v>
      </c>
      <c r="I124" s="24">
        <v>0</v>
      </c>
      <c r="J124" s="25">
        <v>0</v>
      </c>
      <c r="K124" s="22">
        <v>305.04000000000002</v>
      </c>
    </row>
    <row r="125" spans="1:11" x14ac:dyDescent="0.3">
      <c r="A125" s="30" t="s">
        <v>260</v>
      </c>
      <c r="B125" s="31" t="s">
        <v>261</v>
      </c>
      <c r="C125" s="32" t="s">
        <v>128</v>
      </c>
      <c r="D125" s="24">
        <v>13</v>
      </c>
      <c r="E125" s="24">
        <v>26.7</v>
      </c>
      <c r="F125" s="26">
        <v>347.1</v>
      </c>
      <c r="G125" s="27">
        <v>0</v>
      </c>
      <c r="H125" s="24">
        <v>0</v>
      </c>
      <c r="I125" s="24">
        <v>213.6</v>
      </c>
      <c r="J125" s="25">
        <v>133.5</v>
      </c>
      <c r="K125" s="22">
        <v>347.1</v>
      </c>
    </row>
    <row r="126" spans="1:11" x14ac:dyDescent="0.3">
      <c r="A126" s="30" t="s">
        <v>262</v>
      </c>
      <c r="B126" s="31" t="s">
        <v>263</v>
      </c>
      <c r="C126" s="32" t="s">
        <v>128</v>
      </c>
      <c r="D126" s="24">
        <v>2</v>
      </c>
      <c r="E126" s="24">
        <v>400.37</v>
      </c>
      <c r="F126" s="26">
        <v>800.74</v>
      </c>
      <c r="G126" s="27">
        <v>0</v>
      </c>
      <c r="H126" s="24">
        <v>0</v>
      </c>
      <c r="I126" s="24">
        <v>0</v>
      </c>
      <c r="J126" s="25">
        <v>800.74</v>
      </c>
      <c r="K126" s="22">
        <v>800.74</v>
      </c>
    </row>
    <row r="127" spans="1:11" x14ac:dyDescent="0.3">
      <c r="A127" s="30" t="s">
        <v>264</v>
      </c>
      <c r="B127" s="31" t="s">
        <v>265</v>
      </c>
      <c r="C127" s="32" t="s">
        <v>45</v>
      </c>
      <c r="D127" s="24">
        <v>1</v>
      </c>
      <c r="E127" s="24">
        <v>420</v>
      </c>
      <c r="F127" s="26">
        <v>420</v>
      </c>
      <c r="G127" s="27">
        <v>0</v>
      </c>
      <c r="H127" s="24">
        <v>0</v>
      </c>
      <c r="I127" s="24">
        <v>420</v>
      </c>
      <c r="J127" s="25">
        <v>0</v>
      </c>
      <c r="K127" s="22">
        <v>420</v>
      </c>
    </row>
    <row r="128" spans="1:11" x14ac:dyDescent="0.3">
      <c r="A128" s="30" t="s">
        <v>266</v>
      </c>
      <c r="B128" s="31" t="s">
        <v>267</v>
      </c>
      <c r="C128" s="32" t="s">
        <v>268</v>
      </c>
      <c r="D128" s="24">
        <v>4.47</v>
      </c>
      <c r="E128" s="24">
        <v>27.87</v>
      </c>
      <c r="F128" s="26">
        <v>124.58</v>
      </c>
      <c r="G128" s="27">
        <v>0</v>
      </c>
      <c r="H128" s="24">
        <v>96.05</v>
      </c>
      <c r="I128" s="24">
        <v>28.53</v>
      </c>
      <c r="J128" s="25">
        <v>0</v>
      </c>
      <c r="K128" s="22">
        <v>124.58</v>
      </c>
    </row>
    <row r="129" spans="1:11" x14ac:dyDescent="0.3">
      <c r="A129" s="30" t="s">
        <v>269</v>
      </c>
      <c r="B129" s="31" t="s">
        <v>267</v>
      </c>
      <c r="C129" s="32" t="s">
        <v>270</v>
      </c>
      <c r="D129" s="24">
        <v>9.5500000000000007</v>
      </c>
      <c r="E129" s="24">
        <v>27.87</v>
      </c>
      <c r="F129" s="26">
        <v>266.16000000000003</v>
      </c>
      <c r="G129" s="27">
        <v>0</v>
      </c>
      <c r="H129" s="24">
        <v>0</v>
      </c>
      <c r="I129" s="24">
        <v>45.98</v>
      </c>
      <c r="J129" s="25">
        <v>220.18</v>
      </c>
      <c r="K129" s="22">
        <v>266.16000000000003</v>
      </c>
    </row>
    <row r="130" spans="1:11" x14ac:dyDescent="0.3">
      <c r="A130" s="30" t="s">
        <v>271</v>
      </c>
      <c r="B130" s="31" t="s">
        <v>272</v>
      </c>
      <c r="C130" s="32" t="s">
        <v>45</v>
      </c>
      <c r="D130" s="24">
        <v>10352.1</v>
      </c>
      <c r="E130" s="24">
        <v>0.68</v>
      </c>
      <c r="F130" s="26">
        <v>7039.43</v>
      </c>
      <c r="G130" s="27">
        <v>891.92</v>
      </c>
      <c r="H130" s="24">
        <v>3403.05</v>
      </c>
      <c r="I130" s="24">
        <v>2744.46</v>
      </c>
      <c r="J130" s="25">
        <v>0</v>
      </c>
      <c r="K130" s="22">
        <v>7039.43</v>
      </c>
    </row>
    <row r="131" spans="1:11" x14ac:dyDescent="0.3">
      <c r="A131" s="30" t="s">
        <v>273</v>
      </c>
      <c r="B131" s="31" t="s">
        <v>274</v>
      </c>
      <c r="C131" s="32" t="s">
        <v>275</v>
      </c>
      <c r="D131" s="24">
        <v>3.97</v>
      </c>
      <c r="E131" s="24">
        <v>676.58</v>
      </c>
      <c r="F131" s="26">
        <v>2686.02</v>
      </c>
      <c r="G131" s="27">
        <v>0</v>
      </c>
      <c r="H131" s="24">
        <v>0</v>
      </c>
      <c r="I131" s="24">
        <v>2686.02</v>
      </c>
      <c r="J131" s="25">
        <v>0</v>
      </c>
      <c r="K131" s="22">
        <v>2686.02</v>
      </c>
    </row>
    <row r="132" spans="1:11" x14ac:dyDescent="0.3">
      <c r="A132" s="30" t="s">
        <v>276</v>
      </c>
      <c r="B132" s="31" t="s">
        <v>277</v>
      </c>
      <c r="C132" s="32" t="s">
        <v>45</v>
      </c>
      <c r="D132" s="24">
        <v>832.25</v>
      </c>
      <c r="E132" s="24">
        <v>1.76</v>
      </c>
      <c r="F132" s="26">
        <v>1464.76</v>
      </c>
      <c r="G132" s="27">
        <v>0</v>
      </c>
      <c r="H132" s="24">
        <v>1464.76</v>
      </c>
      <c r="I132" s="24">
        <v>0</v>
      </c>
      <c r="J132" s="25">
        <v>0</v>
      </c>
      <c r="K132" s="22">
        <v>1464.76</v>
      </c>
    </row>
    <row r="133" spans="1:11" x14ac:dyDescent="0.3">
      <c r="A133" s="30" t="s">
        <v>278</v>
      </c>
      <c r="B133" s="31" t="s">
        <v>279</v>
      </c>
      <c r="C133" s="32" t="s">
        <v>123</v>
      </c>
      <c r="D133" s="24">
        <v>10.199999999999999</v>
      </c>
      <c r="E133" s="24">
        <v>4.41</v>
      </c>
      <c r="F133" s="26">
        <v>44.98</v>
      </c>
      <c r="G133" s="27">
        <v>0</v>
      </c>
      <c r="H133" s="24">
        <v>44.98</v>
      </c>
      <c r="I133" s="24">
        <v>0</v>
      </c>
      <c r="J133" s="25">
        <v>0</v>
      </c>
      <c r="K133" s="22">
        <v>44.98</v>
      </c>
    </row>
    <row r="134" spans="1:11" x14ac:dyDescent="0.3">
      <c r="A134" s="30" t="s">
        <v>280</v>
      </c>
      <c r="B134" s="31" t="s">
        <v>281</v>
      </c>
      <c r="C134" s="32" t="s">
        <v>45</v>
      </c>
      <c r="D134" s="24">
        <v>2</v>
      </c>
      <c r="E134" s="24">
        <v>89.25</v>
      </c>
      <c r="F134" s="26">
        <v>178.5</v>
      </c>
      <c r="G134" s="27">
        <v>0</v>
      </c>
      <c r="H134" s="24">
        <v>178.5</v>
      </c>
      <c r="I134" s="24">
        <v>0</v>
      </c>
      <c r="J134" s="25">
        <v>0</v>
      </c>
      <c r="K134" s="22">
        <v>178.5</v>
      </c>
    </row>
    <row r="135" spans="1:11" x14ac:dyDescent="0.3">
      <c r="A135" s="30" t="s">
        <v>282</v>
      </c>
      <c r="B135" s="31" t="s">
        <v>283</v>
      </c>
      <c r="C135" s="32" t="s">
        <v>45</v>
      </c>
      <c r="D135" s="24">
        <v>1</v>
      </c>
      <c r="E135" s="24">
        <v>120.76</v>
      </c>
      <c r="F135" s="26">
        <v>120.76</v>
      </c>
      <c r="G135" s="27">
        <v>0</v>
      </c>
      <c r="H135" s="24">
        <v>0</v>
      </c>
      <c r="I135" s="24">
        <v>0</v>
      </c>
      <c r="J135" s="25">
        <v>120.76</v>
      </c>
      <c r="K135" s="22">
        <v>120.76</v>
      </c>
    </row>
    <row r="136" spans="1:11" x14ac:dyDescent="0.3">
      <c r="A136" s="30" t="s">
        <v>284</v>
      </c>
      <c r="B136" s="31" t="s">
        <v>285</v>
      </c>
      <c r="C136" s="32" t="s">
        <v>286</v>
      </c>
      <c r="D136" s="24">
        <v>2543.71</v>
      </c>
      <c r="E136" s="24">
        <v>22.99</v>
      </c>
      <c r="F136" s="26">
        <v>58479.89</v>
      </c>
      <c r="G136" s="27">
        <v>11766.34</v>
      </c>
      <c r="H136" s="24">
        <v>19928.72</v>
      </c>
      <c r="I136" s="24">
        <v>22453.64</v>
      </c>
      <c r="J136" s="25">
        <v>4331.1899999999996</v>
      </c>
      <c r="K136" s="22">
        <v>58479.89</v>
      </c>
    </row>
    <row r="137" spans="1:11" x14ac:dyDescent="0.3">
      <c r="A137" s="30" t="s">
        <v>287</v>
      </c>
      <c r="B137" s="31" t="s">
        <v>288</v>
      </c>
      <c r="C137" s="32" t="s">
        <v>45</v>
      </c>
      <c r="D137" s="24">
        <v>1</v>
      </c>
      <c r="E137" s="24">
        <v>84</v>
      </c>
      <c r="F137" s="26">
        <v>84</v>
      </c>
      <c r="G137" s="27">
        <v>0</v>
      </c>
      <c r="H137" s="24">
        <v>0</v>
      </c>
      <c r="I137" s="24">
        <v>0</v>
      </c>
      <c r="J137" s="25">
        <v>84</v>
      </c>
      <c r="K137" s="22">
        <v>84</v>
      </c>
    </row>
    <row r="138" spans="1:11" x14ac:dyDescent="0.3">
      <c r="A138" s="30" t="s">
        <v>289</v>
      </c>
      <c r="B138" s="31" t="s">
        <v>290</v>
      </c>
      <c r="C138" s="32" t="s">
        <v>291</v>
      </c>
      <c r="D138" s="24">
        <v>0.05</v>
      </c>
      <c r="E138" s="24">
        <v>126.78</v>
      </c>
      <c r="F138" s="26">
        <v>6.34</v>
      </c>
      <c r="G138" s="27">
        <v>0</v>
      </c>
      <c r="H138" s="24">
        <v>0</v>
      </c>
      <c r="I138" s="24">
        <v>6.34</v>
      </c>
      <c r="J138" s="25">
        <v>0</v>
      </c>
      <c r="K138" s="22">
        <v>6.34</v>
      </c>
    </row>
    <row r="139" spans="1:11" x14ac:dyDescent="0.3">
      <c r="A139" s="30" t="s">
        <v>292</v>
      </c>
      <c r="B139" s="31" t="s">
        <v>293</v>
      </c>
      <c r="C139" s="32" t="s">
        <v>102</v>
      </c>
      <c r="D139" s="24">
        <v>130.52000000000001</v>
      </c>
      <c r="E139" s="24">
        <v>57.75</v>
      </c>
      <c r="F139" s="26">
        <v>7537.53</v>
      </c>
      <c r="G139" s="27">
        <v>0</v>
      </c>
      <c r="H139" s="24">
        <v>0</v>
      </c>
      <c r="I139" s="24">
        <v>1390.38</v>
      </c>
      <c r="J139" s="25">
        <v>6147.15</v>
      </c>
      <c r="K139" s="22">
        <v>7537.53</v>
      </c>
    </row>
    <row r="140" spans="1:11" x14ac:dyDescent="0.3">
      <c r="A140" s="30" t="s">
        <v>294</v>
      </c>
      <c r="B140" s="31" t="s">
        <v>295</v>
      </c>
      <c r="C140" s="32" t="s">
        <v>102</v>
      </c>
      <c r="D140" s="24">
        <v>52.46</v>
      </c>
      <c r="E140" s="24">
        <v>47.25</v>
      </c>
      <c r="F140" s="26">
        <v>2478.7399999999998</v>
      </c>
      <c r="G140" s="27">
        <v>0</v>
      </c>
      <c r="H140" s="24">
        <v>0</v>
      </c>
      <c r="I140" s="24">
        <v>0</v>
      </c>
      <c r="J140" s="25">
        <v>2478.7399999999998</v>
      </c>
      <c r="K140" s="22">
        <v>2478.7399999999998</v>
      </c>
    </row>
    <row r="141" spans="1:11" x14ac:dyDescent="0.3">
      <c r="A141" s="30" t="s">
        <v>296</v>
      </c>
      <c r="B141" s="31" t="s">
        <v>297</v>
      </c>
      <c r="C141" s="32" t="s">
        <v>102</v>
      </c>
      <c r="D141" s="24">
        <v>51.03</v>
      </c>
      <c r="E141" s="24">
        <v>47.25</v>
      </c>
      <c r="F141" s="26">
        <v>2411.17</v>
      </c>
      <c r="G141" s="27">
        <v>0</v>
      </c>
      <c r="H141" s="24">
        <v>219.2</v>
      </c>
      <c r="I141" s="24">
        <v>2191.9699999999998</v>
      </c>
      <c r="J141" s="25">
        <v>0</v>
      </c>
      <c r="K141" s="22">
        <v>2411.17</v>
      </c>
    </row>
    <row r="142" spans="1:11" x14ac:dyDescent="0.3">
      <c r="A142" s="30" t="s">
        <v>298</v>
      </c>
      <c r="B142" s="31" t="s">
        <v>299</v>
      </c>
      <c r="C142" s="32" t="s">
        <v>45</v>
      </c>
      <c r="D142" s="24">
        <v>6</v>
      </c>
      <c r="E142" s="24">
        <v>7.14</v>
      </c>
      <c r="F142" s="26">
        <v>42.84</v>
      </c>
      <c r="G142" s="27">
        <v>0</v>
      </c>
      <c r="H142" s="24">
        <v>0</v>
      </c>
      <c r="I142" s="24">
        <v>42.84</v>
      </c>
      <c r="J142" s="25">
        <v>0</v>
      </c>
      <c r="K142" s="22">
        <v>42.84</v>
      </c>
    </row>
    <row r="143" spans="1:11" x14ac:dyDescent="0.3">
      <c r="A143" s="30" t="s">
        <v>300</v>
      </c>
      <c r="B143" s="31" t="s">
        <v>301</v>
      </c>
      <c r="C143" s="32" t="s">
        <v>45</v>
      </c>
      <c r="D143" s="24">
        <v>2</v>
      </c>
      <c r="E143" s="24">
        <v>60.5</v>
      </c>
      <c r="F143" s="26">
        <v>121</v>
      </c>
      <c r="G143" s="27">
        <v>0</v>
      </c>
      <c r="H143" s="24">
        <v>0</v>
      </c>
      <c r="I143" s="24">
        <v>121</v>
      </c>
      <c r="J143" s="25">
        <v>0</v>
      </c>
      <c r="K143" s="22">
        <v>121</v>
      </c>
    </row>
    <row r="144" spans="1:11" x14ac:dyDescent="0.3">
      <c r="A144" s="30" t="s">
        <v>302</v>
      </c>
      <c r="B144" s="31" t="s">
        <v>303</v>
      </c>
      <c r="C144" s="32" t="s">
        <v>45</v>
      </c>
      <c r="D144" s="24">
        <v>1</v>
      </c>
      <c r="E144" s="24">
        <v>71.5</v>
      </c>
      <c r="F144" s="26">
        <v>71.5</v>
      </c>
      <c r="G144" s="27">
        <v>0</v>
      </c>
      <c r="H144" s="24">
        <v>0</v>
      </c>
      <c r="I144" s="24">
        <v>71.5</v>
      </c>
      <c r="J144" s="25">
        <v>0</v>
      </c>
      <c r="K144" s="22">
        <v>71.5</v>
      </c>
    </row>
    <row r="145" spans="1:11" x14ac:dyDescent="0.3">
      <c r="A145" s="30" t="s">
        <v>304</v>
      </c>
      <c r="B145" s="31" t="s">
        <v>305</v>
      </c>
      <c r="C145" s="32" t="s">
        <v>45</v>
      </c>
      <c r="D145" s="24">
        <v>1.5</v>
      </c>
      <c r="E145" s="24">
        <v>16.899999999999999</v>
      </c>
      <c r="F145" s="26">
        <v>25.35</v>
      </c>
      <c r="G145" s="27">
        <v>0</v>
      </c>
      <c r="H145" s="24">
        <v>25.35</v>
      </c>
      <c r="I145" s="24">
        <v>0</v>
      </c>
      <c r="J145" s="25">
        <v>0</v>
      </c>
      <c r="K145" s="22">
        <v>25.35</v>
      </c>
    </row>
    <row r="146" spans="1:11" x14ac:dyDescent="0.3">
      <c r="A146" s="30" t="s">
        <v>306</v>
      </c>
      <c r="B146" s="31" t="s">
        <v>307</v>
      </c>
      <c r="C146" s="32" t="s">
        <v>32</v>
      </c>
      <c r="D146" s="24">
        <v>4</v>
      </c>
      <c r="E146" s="24">
        <v>285</v>
      </c>
      <c r="F146" s="26">
        <v>1140</v>
      </c>
      <c r="G146" s="27">
        <v>272.82</v>
      </c>
      <c r="H146" s="24">
        <v>292.31</v>
      </c>
      <c r="I146" s="24">
        <v>302.05</v>
      </c>
      <c r="J146" s="25">
        <v>272.82</v>
      </c>
      <c r="K146" s="22">
        <v>1140</v>
      </c>
    </row>
    <row r="147" spans="1:11" x14ac:dyDescent="0.3">
      <c r="A147" s="30" t="s">
        <v>308</v>
      </c>
      <c r="B147" s="31" t="s">
        <v>309</v>
      </c>
      <c r="C147" s="32" t="s">
        <v>45</v>
      </c>
      <c r="D147" s="24">
        <v>1</v>
      </c>
      <c r="E147" s="24">
        <v>199.31</v>
      </c>
      <c r="F147" s="26">
        <v>199.31</v>
      </c>
      <c r="G147" s="27">
        <v>51.92</v>
      </c>
      <c r="H147" s="24">
        <v>50.25</v>
      </c>
      <c r="I147" s="24">
        <v>51.92</v>
      </c>
      <c r="J147" s="25">
        <v>45.22</v>
      </c>
      <c r="K147" s="22">
        <v>199.31</v>
      </c>
    </row>
    <row r="148" spans="1:11" x14ac:dyDescent="0.3">
      <c r="A148" s="30" t="s">
        <v>310</v>
      </c>
      <c r="B148" s="31" t="s">
        <v>311</v>
      </c>
      <c r="C148" s="32" t="s">
        <v>312</v>
      </c>
      <c r="D148" s="24">
        <v>40</v>
      </c>
      <c r="E148" s="24">
        <v>76.3</v>
      </c>
      <c r="F148" s="26">
        <v>3052</v>
      </c>
      <c r="G148" s="27">
        <v>795.06</v>
      </c>
      <c r="H148" s="24">
        <v>769.41</v>
      </c>
      <c r="I148" s="24">
        <v>795.06</v>
      </c>
      <c r="J148" s="25">
        <v>692.47</v>
      </c>
      <c r="K148" s="22">
        <v>3052</v>
      </c>
    </row>
    <row r="149" spans="1:11" x14ac:dyDescent="0.3">
      <c r="A149" s="30" t="s">
        <v>313</v>
      </c>
      <c r="B149" s="31" t="s">
        <v>314</v>
      </c>
      <c r="C149" s="32" t="s">
        <v>45</v>
      </c>
      <c r="D149" s="24">
        <v>17</v>
      </c>
      <c r="E149" s="24">
        <v>38.14</v>
      </c>
      <c r="F149" s="26">
        <v>648.38</v>
      </c>
      <c r="G149" s="27">
        <v>168.91</v>
      </c>
      <c r="H149" s="24">
        <v>163.46</v>
      </c>
      <c r="I149" s="24">
        <v>168.91</v>
      </c>
      <c r="J149" s="25">
        <v>147.10000000000002</v>
      </c>
      <c r="K149" s="22">
        <v>648.38</v>
      </c>
    </row>
    <row r="150" spans="1:11" x14ac:dyDescent="0.3">
      <c r="A150" s="30" t="s">
        <v>315</v>
      </c>
      <c r="B150" s="31" t="s">
        <v>316</v>
      </c>
      <c r="C150" s="32" t="s">
        <v>45</v>
      </c>
      <c r="D150" s="24">
        <v>28</v>
      </c>
      <c r="E150" s="24">
        <v>38.14</v>
      </c>
      <c r="F150" s="26">
        <v>1067.92</v>
      </c>
      <c r="G150" s="27">
        <v>278.2</v>
      </c>
      <c r="H150" s="24">
        <v>269.22000000000003</v>
      </c>
      <c r="I150" s="24">
        <v>278.2</v>
      </c>
      <c r="J150" s="25">
        <v>242.3</v>
      </c>
      <c r="K150" s="22">
        <v>1067.92</v>
      </c>
    </row>
    <row r="151" spans="1:11" x14ac:dyDescent="0.3">
      <c r="A151" s="30" t="s">
        <v>317</v>
      </c>
      <c r="B151" s="31" t="s">
        <v>318</v>
      </c>
      <c r="C151" s="32" t="s">
        <v>319</v>
      </c>
      <c r="D151" s="24">
        <v>0.5</v>
      </c>
      <c r="E151" s="24">
        <v>43.9</v>
      </c>
      <c r="F151" s="26">
        <v>21.95</v>
      </c>
      <c r="G151" s="27">
        <v>5.72</v>
      </c>
      <c r="H151" s="24">
        <v>5.53</v>
      </c>
      <c r="I151" s="24">
        <v>5.72</v>
      </c>
      <c r="J151" s="25">
        <v>4.9800000000000004</v>
      </c>
      <c r="K151" s="22">
        <v>21.95</v>
      </c>
    </row>
    <row r="152" spans="1:11" x14ac:dyDescent="0.3">
      <c r="A152" s="30" t="s">
        <v>320</v>
      </c>
      <c r="B152" s="31" t="s">
        <v>321</v>
      </c>
      <c r="C152" s="32" t="s">
        <v>56</v>
      </c>
      <c r="D152" s="24">
        <v>2.41</v>
      </c>
      <c r="E152" s="24">
        <v>6.7</v>
      </c>
      <c r="F152" s="26">
        <v>16.149999999999999</v>
      </c>
      <c r="G152" s="27">
        <v>0</v>
      </c>
      <c r="H152" s="24">
        <v>16.149999999999999</v>
      </c>
      <c r="I152" s="24">
        <v>0</v>
      </c>
      <c r="J152" s="25">
        <v>0</v>
      </c>
      <c r="K152" s="22">
        <v>16.149999999999999</v>
      </c>
    </row>
    <row r="153" spans="1:11" x14ac:dyDescent="0.3">
      <c r="A153" s="30" t="s">
        <v>322</v>
      </c>
      <c r="B153" s="31" t="s">
        <v>323</v>
      </c>
      <c r="C153" s="32" t="s">
        <v>45</v>
      </c>
      <c r="D153" s="24">
        <v>50</v>
      </c>
      <c r="E153" s="24">
        <v>24.04</v>
      </c>
      <c r="F153" s="26">
        <v>1202</v>
      </c>
      <c r="G153" s="27">
        <v>313.13</v>
      </c>
      <c r="H153" s="24">
        <v>303.02999999999997</v>
      </c>
      <c r="I153" s="24">
        <v>313.13</v>
      </c>
      <c r="J153" s="25">
        <v>272.71000000000004</v>
      </c>
      <c r="K153" s="22">
        <v>1202</v>
      </c>
    </row>
    <row r="154" spans="1:11" x14ac:dyDescent="0.3">
      <c r="A154" s="30" t="s">
        <v>324</v>
      </c>
      <c r="B154" s="31" t="s">
        <v>325</v>
      </c>
      <c r="C154" s="32" t="s">
        <v>326</v>
      </c>
      <c r="D154" s="24">
        <v>0.35</v>
      </c>
      <c r="E154" s="24">
        <v>235.05</v>
      </c>
      <c r="F154" s="26">
        <v>82.27</v>
      </c>
      <c r="G154" s="27">
        <v>0</v>
      </c>
      <c r="H154" s="24">
        <v>82.27</v>
      </c>
      <c r="I154" s="24">
        <v>0</v>
      </c>
      <c r="J154" s="25">
        <v>0</v>
      </c>
      <c r="K154" s="22">
        <v>82.27</v>
      </c>
    </row>
    <row r="155" spans="1:11" x14ac:dyDescent="0.3">
      <c r="A155" s="30" t="s">
        <v>327</v>
      </c>
      <c r="B155" s="31" t="s">
        <v>328</v>
      </c>
      <c r="C155" s="32" t="s">
        <v>32</v>
      </c>
      <c r="D155" s="24">
        <v>4</v>
      </c>
      <c r="E155" s="24">
        <v>365.75</v>
      </c>
      <c r="F155" s="26">
        <v>1463</v>
      </c>
      <c r="G155" s="27">
        <v>350.12</v>
      </c>
      <c r="H155" s="24">
        <v>375.13</v>
      </c>
      <c r="I155" s="24">
        <v>387.63</v>
      </c>
      <c r="J155" s="25">
        <v>350.12</v>
      </c>
      <c r="K155" s="22">
        <v>1463</v>
      </c>
    </row>
    <row r="156" spans="1:11" x14ac:dyDescent="0.3">
      <c r="A156" s="30" t="s">
        <v>329</v>
      </c>
      <c r="B156" s="31" t="s">
        <v>330</v>
      </c>
      <c r="C156" s="32" t="s">
        <v>45</v>
      </c>
      <c r="D156" s="24">
        <v>2</v>
      </c>
      <c r="E156" s="24">
        <v>254.08</v>
      </c>
      <c r="F156" s="26">
        <v>508.16</v>
      </c>
      <c r="G156" s="27">
        <v>0</v>
      </c>
      <c r="H156" s="24">
        <v>508.16</v>
      </c>
      <c r="I156" s="24">
        <v>0</v>
      </c>
      <c r="J156" s="25">
        <v>0</v>
      </c>
      <c r="K156" s="22">
        <v>508.16</v>
      </c>
    </row>
    <row r="157" spans="1:11" x14ac:dyDescent="0.3">
      <c r="A157" s="30" t="s">
        <v>331</v>
      </c>
      <c r="B157" s="31" t="s">
        <v>332</v>
      </c>
      <c r="C157" s="32" t="s">
        <v>45</v>
      </c>
      <c r="D157" s="24">
        <v>21</v>
      </c>
      <c r="E157" s="24">
        <v>304.91000000000003</v>
      </c>
      <c r="F157" s="26">
        <v>6403.11</v>
      </c>
      <c r="G157" s="27">
        <v>0</v>
      </c>
      <c r="H157" s="24">
        <v>6403.11</v>
      </c>
      <c r="I157" s="24">
        <v>0</v>
      </c>
      <c r="J157" s="25">
        <v>0</v>
      </c>
      <c r="K157" s="22">
        <v>6403.11</v>
      </c>
    </row>
    <row r="158" spans="1:11" x14ac:dyDescent="0.3">
      <c r="A158" s="30" t="s">
        <v>333</v>
      </c>
      <c r="B158" s="31" t="s">
        <v>334</v>
      </c>
      <c r="C158" s="32" t="s">
        <v>45</v>
      </c>
      <c r="D158" s="24">
        <v>15</v>
      </c>
      <c r="E158" s="24">
        <v>59.35</v>
      </c>
      <c r="F158" s="26">
        <v>890.25</v>
      </c>
      <c r="G158" s="27">
        <v>231.91</v>
      </c>
      <c r="H158" s="24">
        <v>224.43</v>
      </c>
      <c r="I158" s="24">
        <v>231.91</v>
      </c>
      <c r="J158" s="25">
        <v>202</v>
      </c>
      <c r="K158" s="22">
        <v>890.25</v>
      </c>
    </row>
    <row r="159" spans="1:11" x14ac:dyDescent="0.3">
      <c r="A159" s="30" t="s">
        <v>335</v>
      </c>
      <c r="B159" s="31" t="s">
        <v>336</v>
      </c>
      <c r="C159" s="32" t="s">
        <v>319</v>
      </c>
      <c r="D159" s="24">
        <v>8</v>
      </c>
      <c r="E159" s="24">
        <v>75.42</v>
      </c>
      <c r="F159" s="26">
        <v>603.36</v>
      </c>
      <c r="G159" s="27">
        <v>157.18</v>
      </c>
      <c r="H159" s="24">
        <v>152.11000000000001</v>
      </c>
      <c r="I159" s="24">
        <v>157.18</v>
      </c>
      <c r="J159" s="25">
        <v>136.89000000000001</v>
      </c>
      <c r="K159" s="22">
        <v>603.36</v>
      </c>
    </row>
    <row r="160" spans="1:11" x14ac:dyDescent="0.3">
      <c r="A160" s="30" t="s">
        <v>337</v>
      </c>
      <c r="B160" s="31" t="s">
        <v>338</v>
      </c>
      <c r="C160" s="32" t="s">
        <v>319</v>
      </c>
      <c r="D160" s="24">
        <v>1.1299999999999999</v>
      </c>
      <c r="E160" s="24">
        <v>390.84</v>
      </c>
      <c r="F160" s="26">
        <v>441.65</v>
      </c>
      <c r="G160" s="27">
        <v>151.87</v>
      </c>
      <c r="H160" s="24">
        <v>98.79</v>
      </c>
      <c r="I160" s="24">
        <v>102.08</v>
      </c>
      <c r="J160" s="25">
        <v>88.91</v>
      </c>
      <c r="K160" s="22">
        <v>441.65</v>
      </c>
    </row>
    <row r="161" spans="1:11" x14ac:dyDescent="0.3">
      <c r="A161" s="30" t="s">
        <v>339</v>
      </c>
      <c r="B161" s="31" t="s">
        <v>340</v>
      </c>
      <c r="C161" s="32" t="s">
        <v>268</v>
      </c>
      <c r="D161" s="24">
        <v>5.25</v>
      </c>
      <c r="E161" s="24">
        <v>29.7</v>
      </c>
      <c r="F161" s="26">
        <v>155.93</v>
      </c>
      <c r="G161" s="27">
        <v>0</v>
      </c>
      <c r="H161" s="24">
        <v>0</v>
      </c>
      <c r="I161" s="24">
        <v>0</v>
      </c>
      <c r="J161" s="25">
        <v>155.93</v>
      </c>
      <c r="K161" s="22">
        <v>155.93</v>
      </c>
    </row>
    <row r="162" spans="1:11" x14ac:dyDescent="0.3">
      <c r="A162" s="30" t="s">
        <v>341</v>
      </c>
      <c r="B162" s="31" t="s">
        <v>342</v>
      </c>
      <c r="C162" s="32" t="s">
        <v>45</v>
      </c>
      <c r="D162" s="24">
        <v>41.97</v>
      </c>
      <c r="E162" s="24">
        <v>22</v>
      </c>
      <c r="F162" s="26">
        <v>923.34</v>
      </c>
      <c r="G162" s="27">
        <v>0</v>
      </c>
      <c r="H162" s="24">
        <v>0</v>
      </c>
      <c r="I162" s="24">
        <v>823.89</v>
      </c>
      <c r="J162" s="25">
        <v>99.45</v>
      </c>
      <c r="K162" s="22">
        <v>923.34</v>
      </c>
    </row>
    <row r="163" spans="1:11" x14ac:dyDescent="0.3">
      <c r="A163" s="30" t="s">
        <v>343</v>
      </c>
      <c r="B163" s="31" t="s">
        <v>344</v>
      </c>
      <c r="C163" s="32" t="s">
        <v>45</v>
      </c>
      <c r="D163" s="24">
        <v>77</v>
      </c>
      <c r="E163" s="24">
        <v>29.68</v>
      </c>
      <c r="F163" s="26">
        <v>2285.36</v>
      </c>
      <c r="G163" s="27">
        <v>595.35</v>
      </c>
      <c r="H163" s="24">
        <v>576.14</v>
      </c>
      <c r="I163" s="24">
        <v>595.35</v>
      </c>
      <c r="J163" s="25">
        <v>518.52</v>
      </c>
      <c r="K163" s="22">
        <v>2285.36</v>
      </c>
    </row>
    <row r="164" spans="1:11" x14ac:dyDescent="0.3">
      <c r="A164" s="30" t="s">
        <v>345</v>
      </c>
      <c r="B164" s="31" t="s">
        <v>346</v>
      </c>
      <c r="C164" s="32" t="s">
        <v>45</v>
      </c>
      <c r="D164" s="24">
        <v>28</v>
      </c>
      <c r="E164" s="24">
        <v>23.7</v>
      </c>
      <c r="F164" s="26">
        <v>663.6</v>
      </c>
      <c r="G164" s="27">
        <v>172.87</v>
      </c>
      <c r="H164" s="24">
        <v>167.29</v>
      </c>
      <c r="I164" s="24">
        <v>172.87</v>
      </c>
      <c r="J164" s="25">
        <v>150.57</v>
      </c>
      <c r="K164" s="22">
        <v>663.6</v>
      </c>
    </row>
    <row r="165" spans="1:11" x14ac:dyDescent="0.3">
      <c r="A165" s="30" t="s">
        <v>347</v>
      </c>
      <c r="B165" s="31" t="s">
        <v>348</v>
      </c>
      <c r="C165" s="32" t="s">
        <v>32</v>
      </c>
      <c r="D165" s="24">
        <v>1</v>
      </c>
      <c r="E165" s="24">
        <v>380</v>
      </c>
      <c r="F165" s="26">
        <v>380</v>
      </c>
      <c r="G165" s="27">
        <v>380</v>
      </c>
      <c r="H165" s="24">
        <v>0</v>
      </c>
      <c r="I165" s="24">
        <v>0</v>
      </c>
      <c r="J165" s="25">
        <v>0</v>
      </c>
      <c r="K165" s="22">
        <v>380</v>
      </c>
    </row>
    <row r="166" spans="1:11" x14ac:dyDescent="0.3">
      <c r="A166" s="30" t="s">
        <v>349</v>
      </c>
      <c r="B166" s="31" t="s">
        <v>350</v>
      </c>
      <c r="C166" s="32" t="s">
        <v>32</v>
      </c>
      <c r="D166" s="24">
        <v>1</v>
      </c>
      <c r="E166" s="24">
        <v>2493.34</v>
      </c>
      <c r="F166" s="26">
        <v>2493.34</v>
      </c>
      <c r="G166" s="27">
        <v>649.53</v>
      </c>
      <c r="H166" s="24">
        <v>628.57000000000005</v>
      </c>
      <c r="I166" s="24">
        <v>649.53</v>
      </c>
      <c r="J166" s="25">
        <v>565.71</v>
      </c>
      <c r="K166" s="22">
        <v>2493.34</v>
      </c>
    </row>
    <row r="167" spans="1:11" x14ac:dyDescent="0.3">
      <c r="A167" s="30" t="s">
        <v>351</v>
      </c>
      <c r="B167" s="31" t="s">
        <v>352</v>
      </c>
      <c r="C167" s="32" t="s">
        <v>45</v>
      </c>
      <c r="D167" s="24">
        <v>4</v>
      </c>
      <c r="E167" s="24">
        <v>570</v>
      </c>
      <c r="F167" s="26">
        <v>2280</v>
      </c>
      <c r="G167" s="27">
        <v>545.64</v>
      </c>
      <c r="H167" s="24">
        <v>584.62</v>
      </c>
      <c r="I167" s="24">
        <v>604.1</v>
      </c>
      <c r="J167" s="25">
        <v>545.64</v>
      </c>
      <c r="K167" s="22">
        <v>2280</v>
      </c>
    </row>
    <row r="168" spans="1:11" x14ac:dyDescent="0.3">
      <c r="A168" s="30" t="s">
        <v>353</v>
      </c>
      <c r="B168" s="31" t="s">
        <v>354</v>
      </c>
      <c r="C168" s="32" t="s">
        <v>32</v>
      </c>
      <c r="D168" s="24">
        <v>1</v>
      </c>
      <c r="E168" s="24">
        <v>31.49</v>
      </c>
      <c r="F168" s="26">
        <v>31.49</v>
      </c>
      <c r="G168" s="27">
        <v>31.49</v>
      </c>
      <c r="H168" s="24">
        <v>0</v>
      </c>
      <c r="I168" s="24">
        <v>0</v>
      </c>
      <c r="J168" s="25">
        <v>0</v>
      </c>
      <c r="K168" s="22">
        <v>31.49</v>
      </c>
    </row>
    <row r="169" spans="1:11" x14ac:dyDescent="0.3">
      <c r="A169" s="30" t="s">
        <v>355</v>
      </c>
      <c r="B169" s="31" t="s">
        <v>356</v>
      </c>
      <c r="C169" s="32" t="s">
        <v>32</v>
      </c>
      <c r="D169" s="24">
        <v>1</v>
      </c>
      <c r="E169" s="24">
        <v>31.49</v>
      </c>
      <c r="F169" s="26">
        <v>31.49</v>
      </c>
      <c r="G169" s="27">
        <v>31.49</v>
      </c>
      <c r="H169" s="24">
        <v>0</v>
      </c>
      <c r="I169" s="24">
        <v>0</v>
      </c>
      <c r="J169" s="25">
        <v>0</v>
      </c>
      <c r="K169" s="22">
        <v>31.49</v>
      </c>
    </row>
    <row r="170" spans="1:11" x14ac:dyDescent="0.3">
      <c r="A170" s="30" t="s">
        <v>357</v>
      </c>
      <c r="B170" s="31" t="s">
        <v>358</v>
      </c>
      <c r="C170" s="32" t="s">
        <v>359</v>
      </c>
      <c r="D170" s="24">
        <v>1</v>
      </c>
      <c r="E170" s="24">
        <v>120.76</v>
      </c>
      <c r="F170" s="26">
        <v>120.76</v>
      </c>
      <c r="G170" s="27">
        <v>120.76</v>
      </c>
      <c r="H170" s="24">
        <v>0</v>
      </c>
      <c r="I170" s="24">
        <v>0</v>
      </c>
      <c r="J170" s="25">
        <v>0</v>
      </c>
      <c r="K170" s="22">
        <v>120.76</v>
      </c>
    </row>
    <row r="171" spans="1:11" x14ac:dyDescent="0.3">
      <c r="A171" s="30" t="s">
        <v>360</v>
      </c>
      <c r="B171" s="31" t="s">
        <v>361</v>
      </c>
      <c r="C171" s="32" t="s">
        <v>359</v>
      </c>
      <c r="D171" s="24">
        <v>1</v>
      </c>
      <c r="E171" s="24">
        <v>3800</v>
      </c>
      <c r="F171" s="26">
        <v>3800</v>
      </c>
      <c r="G171" s="27">
        <v>989.92</v>
      </c>
      <c r="H171" s="24">
        <v>957.98</v>
      </c>
      <c r="I171" s="24">
        <v>989.92</v>
      </c>
      <c r="J171" s="25">
        <v>862.18</v>
      </c>
      <c r="K171" s="22">
        <v>3800</v>
      </c>
    </row>
    <row r="172" spans="1:11" x14ac:dyDescent="0.3">
      <c r="A172" s="30" t="s">
        <v>362</v>
      </c>
      <c r="B172" s="31" t="s">
        <v>363</v>
      </c>
      <c r="C172" s="32" t="s">
        <v>32</v>
      </c>
      <c r="D172" s="24">
        <v>1</v>
      </c>
      <c r="E172" s="24">
        <v>836</v>
      </c>
      <c r="F172" s="26">
        <v>836</v>
      </c>
      <c r="G172" s="27">
        <v>836</v>
      </c>
      <c r="H172" s="24">
        <v>0</v>
      </c>
      <c r="I172" s="24">
        <v>0</v>
      </c>
      <c r="J172" s="25">
        <v>0</v>
      </c>
      <c r="K172" s="22">
        <v>836</v>
      </c>
    </row>
    <row r="173" spans="1:11" x14ac:dyDescent="0.3">
      <c r="A173" s="30" t="s">
        <v>364</v>
      </c>
      <c r="B173" s="31" t="s">
        <v>365</v>
      </c>
      <c r="C173" s="32" t="s">
        <v>366</v>
      </c>
      <c r="D173" s="24">
        <v>1.05</v>
      </c>
      <c r="E173" s="24">
        <v>45.65</v>
      </c>
      <c r="F173" s="26">
        <v>47.93</v>
      </c>
      <c r="G173" s="27">
        <v>0</v>
      </c>
      <c r="H173" s="24">
        <v>0</v>
      </c>
      <c r="I173" s="24">
        <v>0</v>
      </c>
      <c r="J173" s="25">
        <v>47.93</v>
      </c>
      <c r="K173" s="22">
        <v>47.93</v>
      </c>
    </row>
    <row r="174" spans="1:11" x14ac:dyDescent="0.3">
      <c r="A174" s="30" t="s">
        <v>367</v>
      </c>
      <c r="B174" s="31" t="s">
        <v>368</v>
      </c>
      <c r="C174" s="32" t="s">
        <v>123</v>
      </c>
      <c r="D174" s="24">
        <v>200</v>
      </c>
      <c r="E174" s="24">
        <v>4.5</v>
      </c>
      <c r="F174" s="26">
        <v>900</v>
      </c>
      <c r="G174" s="27">
        <v>234.45</v>
      </c>
      <c r="H174" s="24">
        <v>226.89</v>
      </c>
      <c r="I174" s="24">
        <v>234.45</v>
      </c>
      <c r="J174" s="25">
        <v>204.20999999999998</v>
      </c>
      <c r="K174" s="22">
        <v>900</v>
      </c>
    </row>
    <row r="175" spans="1:11" x14ac:dyDescent="0.3">
      <c r="A175" s="30" t="s">
        <v>369</v>
      </c>
      <c r="B175" s="31" t="s">
        <v>370</v>
      </c>
      <c r="C175" s="32" t="s">
        <v>32</v>
      </c>
      <c r="D175" s="24">
        <v>1</v>
      </c>
      <c r="E175" s="24">
        <v>7117.91</v>
      </c>
      <c r="F175" s="26">
        <v>7117.91</v>
      </c>
      <c r="G175" s="27">
        <v>0</v>
      </c>
      <c r="H175" s="24">
        <v>2372.64</v>
      </c>
      <c r="I175" s="24">
        <v>4745.2700000000004</v>
      </c>
      <c r="J175" s="25">
        <v>0</v>
      </c>
      <c r="K175" s="22">
        <v>7117.91</v>
      </c>
    </row>
    <row r="176" spans="1:11" x14ac:dyDescent="0.3">
      <c r="A176" s="30" t="s">
        <v>371</v>
      </c>
      <c r="B176" s="31" t="s">
        <v>372</v>
      </c>
      <c r="C176" s="32" t="s">
        <v>51</v>
      </c>
      <c r="D176" s="24">
        <v>7.58</v>
      </c>
      <c r="E176" s="24">
        <v>13.36</v>
      </c>
      <c r="F176" s="26">
        <v>101.27</v>
      </c>
      <c r="G176" s="27">
        <v>0</v>
      </c>
      <c r="H176" s="24">
        <v>0</v>
      </c>
      <c r="I176" s="24">
        <v>81.28</v>
      </c>
      <c r="J176" s="25">
        <v>19.989999999999998</v>
      </c>
      <c r="K176" s="22">
        <v>101.27</v>
      </c>
    </row>
    <row r="177" spans="1:11" x14ac:dyDescent="0.3">
      <c r="A177" s="30" t="s">
        <v>373</v>
      </c>
      <c r="B177" s="31" t="s">
        <v>374</v>
      </c>
      <c r="C177" s="32" t="s">
        <v>51</v>
      </c>
      <c r="D177" s="24">
        <v>2.75</v>
      </c>
      <c r="E177" s="24">
        <v>31.5</v>
      </c>
      <c r="F177" s="26">
        <v>86.63</v>
      </c>
      <c r="G177" s="27">
        <v>0</v>
      </c>
      <c r="H177" s="24">
        <v>0</v>
      </c>
      <c r="I177" s="24">
        <v>0</v>
      </c>
      <c r="J177" s="25">
        <v>86.63</v>
      </c>
      <c r="K177" s="22">
        <v>86.63</v>
      </c>
    </row>
    <row r="178" spans="1:11" x14ac:dyDescent="0.3">
      <c r="A178" s="30" t="s">
        <v>375</v>
      </c>
      <c r="B178" s="31" t="s">
        <v>376</v>
      </c>
      <c r="C178" s="32" t="s">
        <v>32</v>
      </c>
      <c r="D178" s="24">
        <v>1</v>
      </c>
      <c r="E178" s="24">
        <v>446.02</v>
      </c>
      <c r="F178" s="26">
        <v>446.02</v>
      </c>
      <c r="G178" s="27">
        <v>446.02</v>
      </c>
      <c r="H178" s="24">
        <v>0</v>
      </c>
      <c r="I178" s="24">
        <v>0</v>
      </c>
      <c r="J178" s="25">
        <v>0</v>
      </c>
      <c r="K178" s="22">
        <v>446.02</v>
      </c>
    </row>
    <row r="179" spans="1:11" x14ac:dyDescent="0.3">
      <c r="A179" s="30" t="s">
        <v>377</v>
      </c>
      <c r="B179" s="31" t="s">
        <v>378</v>
      </c>
      <c r="C179" s="32" t="s">
        <v>45</v>
      </c>
      <c r="D179" s="24">
        <v>298</v>
      </c>
      <c r="E179" s="24">
        <v>3.5</v>
      </c>
      <c r="F179" s="26">
        <v>1043</v>
      </c>
      <c r="G179" s="27">
        <v>271.70999999999998</v>
      </c>
      <c r="H179" s="24">
        <v>262.94</v>
      </c>
      <c r="I179" s="24">
        <v>271.70999999999998</v>
      </c>
      <c r="J179" s="25">
        <v>236.64000000000001</v>
      </c>
      <c r="K179" s="22">
        <v>1043</v>
      </c>
    </row>
    <row r="180" spans="1:11" x14ac:dyDescent="0.3">
      <c r="A180" s="30" t="s">
        <v>379</v>
      </c>
      <c r="B180" s="31" t="s">
        <v>380</v>
      </c>
      <c r="C180" s="32" t="s">
        <v>102</v>
      </c>
      <c r="D180" s="24">
        <v>0.4</v>
      </c>
      <c r="E180" s="24">
        <v>121.22</v>
      </c>
      <c r="F180" s="26">
        <v>48.49</v>
      </c>
      <c r="G180" s="27">
        <v>0</v>
      </c>
      <c r="H180" s="24">
        <v>0</v>
      </c>
      <c r="I180" s="24">
        <v>0</v>
      </c>
      <c r="J180" s="25">
        <v>48.49</v>
      </c>
      <c r="K180" s="22">
        <v>48.49</v>
      </c>
    </row>
    <row r="181" spans="1:11" x14ac:dyDescent="0.3">
      <c r="A181" s="30" t="s">
        <v>381</v>
      </c>
      <c r="B181" s="31" t="s">
        <v>382</v>
      </c>
      <c r="C181" s="32" t="s">
        <v>128</v>
      </c>
      <c r="D181" s="24">
        <v>4</v>
      </c>
      <c r="E181" s="24">
        <v>7.48</v>
      </c>
      <c r="F181" s="26">
        <v>29.92</v>
      </c>
      <c r="G181" s="27">
        <v>0</v>
      </c>
      <c r="H181" s="24">
        <v>0</v>
      </c>
      <c r="I181" s="24">
        <v>0</v>
      </c>
      <c r="J181" s="25">
        <v>29.92</v>
      </c>
      <c r="K181" s="22">
        <v>29.92</v>
      </c>
    </row>
    <row r="182" spans="1:11" x14ac:dyDescent="0.3">
      <c r="A182" s="30" t="s">
        <v>383</v>
      </c>
      <c r="B182" s="31" t="s">
        <v>384</v>
      </c>
      <c r="C182" s="32" t="s">
        <v>102</v>
      </c>
      <c r="D182" s="24">
        <v>17.190000000000001</v>
      </c>
      <c r="E182" s="24">
        <v>142.69</v>
      </c>
      <c r="F182" s="26">
        <v>2452.84</v>
      </c>
      <c r="G182" s="27">
        <v>0</v>
      </c>
      <c r="H182" s="24">
        <v>0</v>
      </c>
      <c r="I182" s="24">
        <v>2452.84</v>
      </c>
      <c r="J182" s="25">
        <v>0</v>
      </c>
      <c r="K182" s="22">
        <v>2452.84</v>
      </c>
    </row>
    <row r="183" spans="1:11" x14ac:dyDescent="0.3">
      <c r="A183" s="30" t="s">
        <v>385</v>
      </c>
      <c r="B183" s="31" t="s">
        <v>386</v>
      </c>
      <c r="C183" s="32" t="s">
        <v>366</v>
      </c>
      <c r="D183" s="24">
        <v>0.15</v>
      </c>
      <c r="E183" s="24">
        <v>109.24</v>
      </c>
      <c r="F183" s="26">
        <v>16.39</v>
      </c>
      <c r="G183" s="27">
        <v>0</v>
      </c>
      <c r="H183" s="24">
        <v>16.39</v>
      </c>
      <c r="I183" s="24">
        <v>0</v>
      </c>
      <c r="J183" s="25">
        <v>0</v>
      </c>
      <c r="K183" s="22">
        <v>16.39</v>
      </c>
    </row>
    <row r="184" spans="1:11" x14ac:dyDescent="0.3">
      <c r="A184" s="30" t="s">
        <v>387</v>
      </c>
      <c r="B184" s="31" t="s">
        <v>388</v>
      </c>
      <c r="C184" s="32" t="s">
        <v>51</v>
      </c>
      <c r="D184" s="24">
        <v>0.04</v>
      </c>
      <c r="E184" s="24">
        <v>238.35</v>
      </c>
      <c r="F184" s="26">
        <v>9.5299999999999994</v>
      </c>
      <c r="G184" s="27">
        <v>0</v>
      </c>
      <c r="H184" s="24">
        <v>0</v>
      </c>
      <c r="I184" s="24">
        <v>9.5299999999999994</v>
      </c>
      <c r="J184" s="25">
        <v>0</v>
      </c>
      <c r="K184" s="22">
        <v>9.5299999999999994</v>
      </c>
    </row>
    <row r="185" spans="1:11" x14ac:dyDescent="0.3">
      <c r="A185" s="30" t="s">
        <v>389</v>
      </c>
      <c r="B185" s="31" t="s">
        <v>390</v>
      </c>
      <c r="C185" s="32" t="s">
        <v>45</v>
      </c>
      <c r="D185" s="24">
        <v>2</v>
      </c>
      <c r="E185" s="24">
        <v>2512.86</v>
      </c>
      <c r="F185" s="26">
        <v>5025.72</v>
      </c>
      <c r="G185" s="27">
        <v>0</v>
      </c>
      <c r="H185" s="24">
        <v>0</v>
      </c>
      <c r="I185" s="24">
        <v>0</v>
      </c>
      <c r="J185" s="25">
        <v>5025.72</v>
      </c>
      <c r="K185" s="22">
        <v>5025.72</v>
      </c>
    </row>
    <row r="186" spans="1:11" x14ac:dyDescent="0.3">
      <c r="A186" s="30" t="s">
        <v>391</v>
      </c>
      <c r="B186" s="31" t="s">
        <v>392</v>
      </c>
      <c r="C186" s="32" t="s">
        <v>326</v>
      </c>
      <c r="D186" s="24">
        <v>3</v>
      </c>
      <c r="E186" s="24">
        <v>12.42</v>
      </c>
      <c r="F186" s="26">
        <v>37.26</v>
      </c>
      <c r="G186" s="27">
        <v>0</v>
      </c>
      <c r="H186" s="24">
        <v>0</v>
      </c>
      <c r="I186" s="24">
        <v>37.26</v>
      </c>
      <c r="J186" s="25">
        <v>0</v>
      </c>
      <c r="K186" s="22">
        <v>37.26</v>
      </c>
    </row>
    <row r="187" spans="1:11" x14ac:dyDescent="0.3">
      <c r="A187" s="30" t="s">
        <v>393</v>
      </c>
      <c r="B187" s="31" t="s">
        <v>394</v>
      </c>
      <c r="C187" s="32" t="s">
        <v>45</v>
      </c>
      <c r="D187" s="24">
        <v>22</v>
      </c>
      <c r="E187" s="24">
        <v>27.5</v>
      </c>
      <c r="F187" s="26">
        <v>605</v>
      </c>
      <c r="G187" s="27">
        <v>0</v>
      </c>
      <c r="H187" s="24">
        <v>0</v>
      </c>
      <c r="I187" s="24">
        <v>605</v>
      </c>
      <c r="J187" s="25">
        <v>0</v>
      </c>
      <c r="K187" s="22">
        <v>605</v>
      </c>
    </row>
    <row r="188" spans="1:11" x14ac:dyDescent="0.3">
      <c r="A188" s="30" t="s">
        <v>395</v>
      </c>
      <c r="B188" s="31" t="s">
        <v>396</v>
      </c>
      <c r="C188" s="32" t="s">
        <v>366</v>
      </c>
      <c r="D188" s="24">
        <v>0.96</v>
      </c>
      <c r="E188" s="24">
        <v>46.52</v>
      </c>
      <c r="F188" s="26">
        <v>44.66</v>
      </c>
      <c r="G188" s="27">
        <v>0</v>
      </c>
      <c r="H188" s="24">
        <v>0</v>
      </c>
      <c r="I188" s="24">
        <v>44.66</v>
      </c>
      <c r="J188" s="25">
        <v>0</v>
      </c>
      <c r="K188" s="22">
        <v>44.66</v>
      </c>
    </row>
    <row r="189" spans="1:11" x14ac:dyDescent="0.3">
      <c r="A189" s="30" t="s">
        <v>397</v>
      </c>
      <c r="B189" s="31" t="s">
        <v>398</v>
      </c>
      <c r="C189" s="32" t="s">
        <v>42</v>
      </c>
      <c r="D189" s="24">
        <v>67.86</v>
      </c>
      <c r="E189" s="24">
        <v>5</v>
      </c>
      <c r="F189" s="26">
        <v>339.3</v>
      </c>
      <c r="G189" s="27">
        <v>0</v>
      </c>
      <c r="H189" s="24">
        <v>2.85</v>
      </c>
      <c r="I189" s="24">
        <v>0</v>
      </c>
      <c r="J189" s="25">
        <v>336.45</v>
      </c>
      <c r="K189" s="22">
        <v>339.3</v>
      </c>
    </row>
    <row r="190" spans="1:11" x14ac:dyDescent="0.3">
      <c r="A190" s="30" t="s">
        <v>399</v>
      </c>
      <c r="B190" s="31" t="s">
        <v>400</v>
      </c>
      <c r="C190" s="32" t="s">
        <v>291</v>
      </c>
      <c r="D190" s="24">
        <v>15.72</v>
      </c>
      <c r="E190" s="24">
        <v>1.3</v>
      </c>
      <c r="F190" s="26">
        <v>20.440000000000001</v>
      </c>
      <c r="G190" s="27">
        <v>20.440000000000001</v>
      </c>
      <c r="H190" s="24">
        <v>0</v>
      </c>
      <c r="I190" s="24">
        <v>0</v>
      </c>
      <c r="J190" s="25">
        <v>0</v>
      </c>
      <c r="K190" s="22">
        <v>20.440000000000001</v>
      </c>
    </row>
    <row r="191" spans="1:11" x14ac:dyDescent="0.3">
      <c r="A191" s="30" t="s">
        <v>401</v>
      </c>
      <c r="B191" s="31" t="s">
        <v>402</v>
      </c>
      <c r="C191" s="32" t="s">
        <v>291</v>
      </c>
      <c r="D191" s="24">
        <v>15.65</v>
      </c>
      <c r="E191" s="24">
        <v>1.3</v>
      </c>
      <c r="F191" s="26">
        <v>20.350000000000001</v>
      </c>
      <c r="G191" s="27">
        <v>20.350000000000001</v>
      </c>
      <c r="H191" s="24">
        <v>0</v>
      </c>
      <c r="I191" s="24">
        <v>0</v>
      </c>
      <c r="J191" s="25">
        <v>0</v>
      </c>
      <c r="K191" s="22">
        <v>20.350000000000001</v>
      </c>
    </row>
    <row r="192" spans="1:11" x14ac:dyDescent="0.3">
      <c r="A192" s="30" t="s">
        <v>403</v>
      </c>
      <c r="B192" s="31" t="s">
        <v>404</v>
      </c>
      <c r="C192" s="32" t="s">
        <v>32</v>
      </c>
      <c r="D192" s="24">
        <v>1</v>
      </c>
      <c r="E192" s="24">
        <v>103466.1</v>
      </c>
      <c r="F192" s="26">
        <v>103466.1</v>
      </c>
      <c r="G192" s="27">
        <v>24082.63</v>
      </c>
      <c r="H192" s="24">
        <v>26758.47</v>
      </c>
      <c r="I192" s="24">
        <v>27650.42</v>
      </c>
      <c r="J192" s="25">
        <v>24974.58</v>
      </c>
      <c r="K192" s="22">
        <v>103466.1</v>
      </c>
    </row>
    <row r="193" spans="1:11" x14ac:dyDescent="0.3">
      <c r="A193" s="30" t="s">
        <v>405</v>
      </c>
      <c r="B193" s="31" t="s">
        <v>406</v>
      </c>
      <c r="C193" s="32" t="s">
        <v>32</v>
      </c>
      <c r="D193" s="24">
        <v>1</v>
      </c>
      <c r="E193" s="24">
        <v>12953.21</v>
      </c>
      <c r="F193" s="26">
        <v>12953.21</v>
      </c>
      <c r="G193" s="27">
        <v>3014.97</v>
      </c>
      <c r="H193" s="24">
        <v>3349.97</v>
      </c>
      <c r="I193" s="24">
        <v>3461.63</v>
      </c>
      <c r="J193" s="25">
        <v>3126.64</v>
      </c>
      <c r="K193" s="22">
        <v>12953.21</v>
      </c>
    </row>
    <row r="194" spans="1:11" x14ac:dyDescent="0.3">
      <c r="A194" s="30" t="s">
        <v>407</v>
      </c>
      <c r="B194" s="31" t="s">
        <v>408</v>
      </c>
      <c r="C194" s="32" t="s">
        <v>45</v>
      </c>
      <c r="D194" s="24">
        <v>22</v>
      </c>
      <c r="E194" s="24">
        <v>19.8</v>
      </c>
      <c r="F194" s="26">
        <v>435.6</v>
      </c>
      <c r="G194" s="27">
        <v>0</v>
      </c>
      <c r="H194" s="24">
        <v>0</v>
      </c>
      <c r="I194" s="24">
        <v>435.6</v>
      </c>
      <c r="J194" s="25">
        <v>0</v>
      </c>
      <c r="K194" s="22">
        <v>435.6</v>
      </c>
    </row>
    <row r="195" spans="1:11" x14ac:dyDescent="0.3">
      <c r="A195" s="30" t="s">
        <v>409</v>
      </c>
      <c r="B195" s="31" t="s">
        <v>410</v>
      </c>
      <c r="C195" s="32" t="s">
        <v>45</v>
      </c>
      <c r="D195" s="24">
        <v>1</v>
      </c>
      <c r="E195" s="24">
        <v>1850</v>
      </c>
      <c r="F195" s="26">
        <v>1850</v>
      </c>
      <c r="G195" s="27">
        <v>0</v>
      </c>
      <c r="H195" s="24">
        <v>0</v>
      </c>
      <c r="I195" s="24">
        <v>0</v>
      </c>
      <c r="J195" s="25">
        <v>1850</v>
      </c>
      <c r="K195" s="22">
        <v>1850</v>
      </c>
    </row>
    <row r="196" spans="1:11" x14ac:dyDescent="0.3">
      <c r="A196" s="30" t="s">
        <v>411</v>
      </c>
      <c r="B196" s="31" t="s">
        <v>412</v>
      </c>
      <c r="C196" s="32" t="s">
        <v>268</v>
      </c>
      <c r="D196" s="24">
        <v>5.25</v>
      </c>
      <c r="E196" s="24">
        <v>7.1</v>
      </c>
      <c r="F196" s="26">
        <v>37.28</v>
      </c>
      <c r="G196" s="27">
        <v>0</v>
      </c>
      <c r="H196" s="24">
        <v>0</v>
      </c>
      <c r="I196" s="24">
        <v>0</v>
      </c>
      <c r="J196" s="25">
        <v>37.28</v>
      </c>
      <c r="K196" s="22">
        <v>37.28</v>
      </c>
    </row>
    <row r="197" spans="1:11" x14ac:dyDescent="0.3">
      <c r="A197" s="30" t="s">
        <v>413</v>
      </c>
      <c r="B197" s="31" t="s">
        <v>414</v>
      </c>
      <c r="C197" s="32" t="s">
        <v>326</v>
      </c>
      <c r="D197" s="24">
        <v>4</v>
      </c>
      <c r="E197" s="24">
        <v>60.93</v>
      </c>
      <c r="F197" s="26">
        <v>243.72</v>
      </c>
      <c r="G197" s="27">
        <v>0</v>
      </c>
      <c r="H197" s="24">
        <v>0</v>
      </c>
      <c r="I197" s="24">
        <v>243.72</v>
      </c>
      <c r="J197" s="25">
        <v>0</v>
      </c>
      <c r="K197" s="22">
        <v>243.72</v>
      </c>
    </row>
    <row r="198" spans="1:11" x14ac:dyDescent="0.3">
      <c r="A198" s="30" t="s">
        <v>415</v>
      </c>
      <c r="B198" s="31" t="s">
        <v>416</v>
      </c>
      <c r="C198" s="32" t="s">
        <v>319</v>
      </c>
      <c r="D198" s="24">
        <v>2.96</v>
      </c>
      <c r="E198" s="24">
        <v>7.04</v>
      </c>
      <c r="F198" s="26">
        <v>20.84</v>
      </c>
      <c r="G198" s="27">
        <v>0</v>
      </c>
      <c r="H198" s="24">
        <v>20.84</v>
      </c>
      <c r="I198" s="24">
        <v>0</v>
      </c>
      <c r="J198" s="25">
        <v>0</v>
      </c>
      <c r="K198" s="22">
        <v>20.84</v>
      </c>
    </row>
    <row r="199" spans="1:11" x14ac:dyDescent="0.3">
      <c r="A199" s="30" t="s">
        <v>417</v>
      </c>
      <c r="B199" s="31" t="s">
        <v>418</v>
      </c>
      <c r="C199" s="32" t="s">
        <v>123</v>
      </c>
      <c r="D199" s="24">
        <v>8.64</v>
      </c>
      <c r="E199" s="24">
        <v>0.14000000000000001</v>
      </c>
      <c r="F199" s="26">
        <v>1.21</v>
      </c>
      <c r="G199" s="27">
        <v>0</v>
      </c>
      <c r="H199" s="24">
        <v>0</v>
      </c>
      <c r="I199" s="24">
        <v>0</v>
      </c>
      <c r="J199" s="25">
        <v>1.21</v>
      </c>
      <c r="K199" s="22">
        <v>1.21</v>
      </c>
    </row>
    <row r="200" spans="1:11" x14ac:dyDescent="0.3">
      <c r="A200" s="30" t="s">
        <v>419</v>
      </c>
      <c r="B200" s="31" t="s">
        <v>420</v>
      </c>
      <c r="C200" s="32" t="s">
        <v>270</v>
      </c>
      <c r="D200" s="24">
        <v>0.64</v>
      </c>
      <c r="E200" s="24">
        <v>109.24</v>
      </c>
      <c r="F200" s="26">
        <v>69.91</v>
      </c>
      <c r="G200" s="27">
        <v>21.28</v>
      </c>
      <c r="H200" s="24">
        <v>27.54</v>
      </c>
      <c r="I200" s="24">
        <v>21.09</v>
      </c>
      <c r="J200" s="25">
        <v>0</v>
      </c>
      <c r="K200" s="22">
        <v>69.91</v>
      </c>
    </row>
    <row r="201" spans="1:11" x14ac:dyDescent="0.3">
      <c r="A201" s="30" t="s">
        <v>421</v>
      </c>
      <c r="B201" s="31" t="s">
        <v>422</v>
      </c>
      <c r="C201" s="32" t="s">
        <v>45</v>
      </c>
      <c r="D201" s="24">
        <v>1</v>
      </c>
      <c r="E201" s="24">
        <v>914</v>
      </c>
      <c r="F201" s="26">
        <v>914</v>
      </c>
      <c r="G201" s="27">
        <v>0</v>
      </c>
      <c r="H201" s="24">
        <v>0</v>
      </c>
      <c r="I201" s="24">
        <v>0</v>
      </c>
      <c r="J201" s="25">
        <v>914</v>
      </c>
      <c r="K201" s="22">
        <v>914</v>
      </c>
    </row>
    <row r="202" spans="1:11" x14ac:dyDescent="0.3">
      <c r="A202" s="30" t="s">
        <v>423</v>
      </c>
      <c r="B202" s="31" t="s">
        <v>424</v>
      </c>
      <c r="C202" s="32" t="s">
        <v>45</v>
      </c>
      <c r="D202" s="24">
        <v>1</v>
      </c>
      <c r="E202" s="24">
        <v>862</v>
      </c>
      <c r="F202" s="26">
        <v>862</v>
      </c>
      <c r="G202" s="27">
        <v>0</v>
      </c>
      <c r="H202" s="24">
        <v>0</v>
      </c>
      <c r="I202" s="24">
        <v>0</v>
      </c>
      <c r="J202" s="25">
        <v>862</v>
      </c>
      <c r="K202" s="22">
        <v>862</v>
      </c>
    </row>
    <row r="203" spans="1:11" x14ac:dyDescent="0.3">
      <c r="A203" s="30" t="s">
        <v>425</v>
      </c>
      <c r="B203" s="31" t="s">
        <v>426</v>
      </c>
      <c r="C203" s="32" t="s">
        <v>45</v>
      </c>
      <c r="D203" s="24">
        <v>1</v>
      </c>
      <c r="E203" s="24">
        <v>253</v>
      </c>
      <c r="F203" s="26">
        <v>253</v>
      </c>
      <c r="G203" s="27">
        <v>0</v>
      </c>
      <c r="H203" s="24">
        <v>0</v>
      </c>
      <c r="I203" s="24">
        <v>0</v>
      </c>
      <c r="J203" s="25">
        <v>253</v>
      </c>
      <c r="K203" s="22">
        <v>253</v>
      </c>
    </row>
    <row r="204" spans="1:11" x14ac:dyDescent="0.3">
      <c r="A204" s="30" t="s">
        <v>427</v>
      </c>
      <c r="B204" s="31" t="s">
        <v>428</v>
      </c>
      <c r="C204" s="32" t="s">
        <v>102</v>
      </c>
      <c r="D204" s="24">
        <v>9.24</v>
      </c>
      <c r="E204" s="24">
        <v>55</v>
      </c>
      <c r="F204" s="26">
        <v>508.2</v>
      </c>
      <c r="G204" s="27">
        <v>0</v>
      </c>
      <c r="H204" s="24">
        <v>127.05</v>
      </c>
      <c r="I204" s="24">
        <v>381.15</v>
      </c>
      <c r="J204" s="25">
        <v>0</v>
      </c>
      <c r="K204" s="22">
        <v>508.2</v>
      </c>
    </row>
    <row r="205" spans="1:11" x14ac:dyDescent="0.3">
      <c r="A205" s="30" t="s">
        <v>429</v>
      </c>
      <c r="B205" s="31" t="s">
        <v>430</v>
      </c>
      <c r="C205" s="32" t="s">
        <v>51</v>
      </c>
      <c r="D205" s="24">
        <v>0.75</v>
      </c>
      <c r="E205" s="24">
        <v>9.56</v>
      </c>
      <c r="F205" s="26">
        <v>7.17</v>
      </c>
      <c r="G205" s="27">
        <v>0</v>
      </c>
      <c r="H205" s="24">
        <v>0</v>
      </c>
      <c r="I205" s="24">
        <v>1.44</v>
      </c>
      <c r="J205" s="25">
        <v>5.73</v>
      </c>
      <c r="K205" s="22">
        <v>7.17</v>
      </c>
    </row>
    <row r="206" spans="1:11" x14ac:dyDescent="0.3">
      <c r="A206" s="30" t="s">
        <v>431</v>
      </c>
      <c r="B206" s="31" t="s">
        <v>432</v>
      </c>
      <c r="C206" s="32" t="s">
        <v>32</v>
      </c>
      <c r="D206" s="24">
        <v>1</v>
      </c>
      <c r="E206" s="24">
        <v>282025.2</v>
      </c>
      <c r="F206" s="26">
        <v>282025.2</v>
      </c>
      <c r="G206" s="27">
        <v>65643.8</v>
      </c>
      <c r="H206" s="24">
        <v>72937.55</v>
      </c>
      <c r="I206" s="24">
        <v>75368.800000000003</v>
      </c>
      <c r="J206" s="25">
        <v>68075.05</v>
      </c>
      <c r="K206" s="22">
        <v>282025.2</v>
      </c>
    </row>
    <row r="207" spans="1:11" x14ac:dyDescent="0.3">
      <c r="A207" s="30" t="s">
        <v>433</v>
      </c>
      <c r="B207" s="31" t="s">
        <v>434</v>
      </c>
      <c r="C207" s="32" t="s">
        <v>39</v>
      </c>
      <c r="D207" s="24">
        <v>61.71</v>
      </c>
      <c r="E207" s="24">
        <v>65.069999999999993</v>
      </c>
      <c r="F207" s="26">
        <v>4015.47</v>
      </c>
      <c r="G207" s="27">
        <v>0</v>
      </c>
      <c r="H207" s="24">
        <v>0</v>
      </c>
      <c r="I207" s="24">
        <v>4015.47</v>
      </c>
      <c r="J207" s="25">
        <v>0</v>
      </c>
      <c r="K207" s="22">
        <v>4015.47</v>
      </c>
    </row>
    <row r="208" spans="1:11" x14ac:dyDescent="0.3">
      <c r="A208" s="30" t="s">
        <v>435</v>
      </c>
      <c r="B208" s="31" t="s">
        <v>436</v>
      </c>
      <c r="C208" s="32" t="s">
        <v>268</v>
      </c>
      <c r="D208" s="24">
        <v>1.37</v>
      </c>
      <c r="E208" s="24">
        <v>39.950000000000003</v>
      </c>
      <c r="F208" s="26">
        <v>54.73</v>
      </c>
      <c r="G208" s="27">
        <v>0</v>
      </c>
      <c r="H208" s="24">
        <v>0</v>
      </c>
      <c r="I208" s="24">
        <v>0</v>
      </c>
      <c r="J208" s="25">
        <v>54.73</v>
      </c>
      <c r="K208" s="22">
        <v>54.73</v>
      </c>
    </row>
    <row r="209" spans="1:11" x14ac:dyDescent="0.3">
      <c r="A209" s="30" t="s">
        <v>437</v>
      </c>
      <c r="B209" s="31" t="s">
        <v>438</v>
      </c>
      <c r="C209" s="32" t="s">
        <v>45</v>
      </c>
      <c r="D209" s="24">
        <v>2</v>
      </c>
      <c r="E209" s="24">
        <v>52.5</v>
      </c>
      <c r="F209" s="26">
        <v>105</v>
      </c>
      <c r="G209" s="27">
        <v>0</v>
      </c>
      <c r="H209" s="24">
        <v>0</v>
      </c>
      <c r="I209" s="24">
        <v>0</v>
      </c>
      <c r="J209" s="25">
        <v>105</v>
      </c>
      <c r="K209" s="22">
        <v>105</v>
      </c>
    </row>
    <row r="210" spans="1:11" x14ac:dyDescent="0.3">
      <c r="A210" s="30" t="s">
        <v>439</v>
      </c>
      <c r="B210" s="31" t="s">
        <v>440</v>
      </c>
      <c r="C210" s="32" t="s">
        <v>45</v>
      </c>
      <c r="D210" s="24">
        <v>1</v>
      </c>
      <c r="E210" s="24">
        <v>52.5</v>
      </c>
      <c r="F210" s="26">
        <v>52.5</v>
      </c>
      <c r="G210" s="27">
        <v>0</v>
      </c>
      <c r="H210" s="24">
        <v>0</v>
      </c>
      <c r="I210" s="24">
        <v>0</v>
      </c>
      <c r="J210" s="25">
        <v>52.5</v>
      </c>
      <c r="K210" s="22">
        <v>52.5</v>
      </c>
    </row>
    <row r="211" spans="1:11" x14ac:dyDescent="0.3">
      <c r="A211" s="30" t="s">
        <v>441</v>
      </c>
      <c r="B211" s="31" t="s">
        <v>442</v>
      </c>
      <c r="C211" s="32" t="s">
        <v>45</v>
      </c>
      <c r="D211" s="24">
        <v>2</v>
      </c>
      <c r="E211" s="24">
        <v>84</v>
      </c>
      <c r="F211" s="26">
        <v>168</v>
      </c>
      <c r="G211" s="27">
        <v>0</v>
      </c>
      <c r="H211" s="24">
        <v>0</v>
      </c>
      <c r="I211" s="24">
        <v>0</v>
      </c>
      <c r="J211" s="25">
        <v>168</v>
      </c>
      <c r="K211" s="22">
        <v>168</v>
      </c>
    </row>
    <row r="212" spans="1:11" x14ac:dyDescent="0.3">
      <c r="A212" s="30" t="s">
        <v>443</v>
      </c>
      <c r="B212" s="31" t="s">
        <v>444</v>
      </c>
      <c r="C212" s="32" t="s">
        <v>45</v>
      </c>
      <c r="D212" s="24">
        <v>1</v>
      </c>
      <c r="E212" s="24">
        <v>165</v>
      </c>
      <c r="F212" s="26">
        <v>165</v>
      </c>
      <c r="G212" s="27">
        <v>0</v>
      </c>
      <c r="H212" s="24">
        <v>0</v>
      </c>
      <c r="I212" s="24">
        <v>0</v>
      </c>
      <c r="J212" s="25">
        <v>165</v>
      </c>
      <c r="K212" s="22">
        <v>165</v>
      </c>
    </row>
    <row r="213" spans="1:11" x14ac:dyDescent="0.3">
      <c r="A213" s="30" t="s">
        <v>445</v>
      </c>
      <c r="B213" s="31" t="s">
        <v>446</v>
      </c>
      <c r="C213" s="32" t="s">
        <v>45</v>
      </c>
      <c r="D213" s="24">
        <v>100</v>
      </c>
      <c r="E213" s="24">
        <v>3</v>
      </c>
      <c r="F213" s="26">
        <v>300</v>
      </c>
      <c r="G213" s="27">
        <v>78.150000000000006</v>
      </c>
      <c r="H213" s="24">
        <v>75.63</v>
      </c>
      <c r="I213" s="24">
        <v>78.150000000000006</v>
      </c>
      <c r="J213" s="25">
        <v>68.069999999999993</v>
      </c>
      <c r="K213" s="22">
        <v>300</v>
      </c>
    </row>
    <row r="214" spans="1:11" x14ac:dyDescent="0.3">
      <c r="A214" s="30" t="s">
        <v>447</v>
      </c>
      <c r="B214" s="31" t="s">
        <v>448</v>
      </c>
      <c r="C214" s="32" t="s">
        <v>45</v>
      </c>
      <c r="D214" s="24">
        <v>2</v>
      </c>
      <c r="E214" s="24">
        <v>7120</v>
      </c>
      <c r="F214" s="26">
        <v>14240</v>
      </c>
      <c r="G214" s="27">
        <v>0</v>
      </c>
      <c r="H214" s="24">
        <v>0</v>
      </c>
      <c r="I214" s="24">
        <v>14240</v>
      </c>
      <c r="J214" s="25">
        <v>0</v>
      </c>
      <c r="K214" s="22">
        <v>14240</v>
      </c>
    </row>
    <row r="215" spans="1:11" x14ac:dyDescent="0.3">
      <c r="A215" s="30" t="s">
        <v>449</v>
      </c>
      <c r="B215" s="31" t="s">
        <v>450</v>
      </c>
      <c r="C215" s="32" t="s">
        <v>45</v>
      </c>
      <c r="D215" s="24">
        <v>2</v>
      </c>
      <c r="E215" s="24">
        <v>5220</v>
      </c>
      <c r="F215" s="26">
        <v>10440</v>
      </c>
      <c r="G215" s="27">
        <v>0</v>
      </c>
      <c r="H215" s="24">
        <v>0</v>
      </c>
      <c r="I215" s="24">
        <v>10440</v>
      </c>
      <c r="J215" s="25">
        <v>0</v>
      </c>
      <c r="K215" s="22">
        <v>10440</v>
      </c>
    </row>
    <row r="216" spans="1:11" x14ac:dyDescent="0.3">
      <c r="A216" s="30" t="s">
        <v>451</v>
      </c>
      <c r="B216" s="31" t="s">
        <v>452</v>
      </c>
      <c r="C216" s="32" t="s">
        <v>45</v>
      </c>
      <c r="D216" s="24">
        <v>3</v>
      </c>
      <c r="E216" s="24">
        <v>3320</v>
      </c>
      <c r="F216" s="26">
        <v>9960</v>
      </c>
      <c r="G216" s="27">
        <v>0</v>
      </c>
      <c r="H216" s="24">
        <v>0</v>
      </c>
      <c r="I216" s="24">
        <v>9960</v>
      </c>
      <c r="J216" s="25">
        <v>0</v>
      </c>
      <c r="K216" s="22">
        <v>9960</v>
      </c>
    </row>
    <row r="217" spans="1:11" x14ac:dyDescent="0.3">
      <c r="A217" s="30" t="s">
        <v>453</v>
      </c>
      <c r="B217" s="31" t="s">
        <v>454</v>
      </c>
      <c r="C217" s="32" t="s">
        <v>45</v>
      </c>
      <c r="D217" s="24">
        <v>1</v>
      </c>
      <c r="E217" s="24">
        <v>253</v>
      </c>
      <c r="F217" s="26">
        <v>253</v>
      </c>
      <c r="G217" s="27">
        <v>0</v>
      </c>
      <c r="H217" s="24">
        <v>0</v>
      </c>
      <c r="I217" s="24">
        <v>0</v>
      </c>
      <c r="J217" s="25">
        <v>253</v>
      </c>
      <c r="K217" s="22">
        <v>253</v>
      </c>
    </row>
    <row r="218" spans="1:11" x14ac:dyDescent="0.3">
      <c r="A218" s="30" t="s">
        <v>455</v>
      </c>
      <c r="B218" s="31" t="s">
        <v>456</v>
      </c>
      <c r="C218" s="32" t="s">
        <v>217</v>
      </c>
      <c r="D218" s="24">
        <v>4.21</v>
      </c>
      <c r="E218" s="24">
        <v>2.12</v>
      </c>
      <c r="F218" s="26">
        <v>8.93</v>
      </c>
      <c r="G218" s="27">
        <v>0</v>
      </c>
      <c r="H218" s="24">
        <v>8.93</v>
      </c>
      <c r="I218" s="24">
        <v>0</v>
      </c>
      <c r="J218" s="25">
        <v>0</v>
      </c>
      <c r="K218" s="22">
        <v>8.93</v>
      </c>
    </row>
    <row r="219" spans="1:11" x14ac:dyDescent="0.3">
      <c r="A219" s="30" t="s">
        <v>457</v>
      </c>
      <c r="B219" s="31" t="s">
        <v>458</v>
      </c>
      <c r="C219" s="32" t="s">
        <v>217</v>
      </c>
      <c r="D219" s="24">
        <v>68.739999999999995</v>
      </c>
      <c r="E219" s="24">
        <v>2.31</v>
      </c>
      <c r="F219" s="26">
        <v>158.79</v>
      </c>
      <c r="G219" s="27">
        <v>0</v>
      </c>
      <c r="H219" s="24">
        <v>37.96</v>
      </c>
      <c r="I219" s="24">
        <v>33.880000000000003</v>
      </c>
      <c r="J219" s="25">
        <v>86.95</v>
      </c>
      <c r="K219" s="22">
        <v>158.79</v>
      </c>
    </row>
    <row r="220" spans="1:11" x14ac:dyDescent="0.3">
      <c r="A220" s="30" t="s">
        <v>459</v>
      </c>
      <c r="B220" s="31" t="s">
        <v>460</v>
      </c>
      <c r="C220" s="32" t="s">
        <v>45</v>
      </c>
      <c r="D220" s="24">
        <v>1</v>
      </c>
      <c r="E220" s="24">
        <v>5800.69</v>
      </c>
      <c r="F220" s="26">
        <v>5800.69</v>
      </c>
      <c r="G220" s="27">
        <v>0</v>
      </c>
      <c r="H220" s="24">
        <v>0</v>
      </c>
      <c r="I220" s="24">
        <v>5800.69</v>
      </c>
      <c r="J220" s="25">
        <v>0</v>
      </c>
      <c r="K220" s="22">
        <v>5800.69</v>
      </c>
    </row>
    <row r="221" spans="1:11" x14ac:dyDescent="0.3">
      <c r="A221" s="30" t="s">
        <v>461</v>
      </c>
      <c r="B221" s="31" t="s">
        <v>462</v>
      </c>
      <c r="C221" s="32" t="s">
        <v>45</v>
      </c>
      <c r="D221" s="24">
        <v>1</v>
      </c>
      <c r="E221" s="24">
        <v>3583.16</v>
      </c>
      <c r="F221" s="26">
        <v>3583.16</v>
      </c>
      <c r="G221" s="27">
        <v>0</v>
      </c>
      <c r="H221" s="24">
        <v>0</v>
      </c>
      <c r="I221" s="24">
        <v>3583.16</v>
      </c>
      <c r="J221" s="25">
        <v>0</v>
      </c>
      <c r="K221" s="22">
        <v>3583.16</v>
      </c>
    </row>
    <row r="222" spans="1:11" x14ac:dyDescent="0.3">
      <c r="A222" s="30" t="s">
        <v>463</v>
      </c>
      <c r="B222" s="31" t="s">
        <v>464</v>
      </c>
      <c r="C222" s="32" t="s">
        <v>123</v>
      </c>
      <c r="D222" s="24">
        <v>1</v>
      </c>
      <c r="E222" s="24">
        <v>2000</v>
      </c>
      <c r="F222" s="26">
        <v>2000</v>
      </c>
      <c r="G222" s="27">
        <v>0</v>
      </c>
      <c r="H222" s="24">
        <v>0</v>
      </c>
      <c r="I222" s="24">
        <v>0</v>
      </c>
      <c r="J222" s="25">
        <v>2000</v>
      </c>
      <c r="K222" s="22">
        <v>2000</v>
      </c>
    </row>
    <row r="223" spans="1:11" x14ac:dyDescent="0.3">
      <c r="A223" s="30" t="s">
        <v>465</v>
      </c>
      <c r="B223" s="31" t="s">
        <v>466</v>
      </c>
      <c r="C223" s="32" t="s">
        <v>467</v>
      </c>
      <c r="D223" s="24">
        <v>39.17</v>
      </c>
      <c r="E223" s="24">
        <v>177.12</v>
      </c>
      <c r="F223" s="26">
        <v>6937.79</v>
      </c>
      <c r="G223" s="27">
        <v>0</v>
      </c>
      <c r="H223" s="24">
        <v>6937.79</v>
      </c>
      <c r="I223" s="24">
        <v>0</v>
      </c>
      <c r="J223" s="25">
        <v>0</v>
      </c>
      <c r="K223" s="22">
        <v>6937.79</v>
      </c>
    </row>
    <row r="224" spans="1:11" x14ac:dyDescent="0.3">
      <c r="A224" s="30" t="s">
        <v>468</v>
      </c>
      <c r="B224" s="31" t="s">
        <v>469</v>
      </c>
      <c r="C224" s="32" t="s">
        <v>268</v>
      </c>
      <c r="D224" s="24">
        <v>24.37</v>
      </c>
      <c r="E224" s="24">
        <v>82.06</v>
      </c>
      <c r="F224" s="26">
        <v>1999.8</v>
      </c>
      <c r="G224" s="27">
        <v>0</v>
      </c>
      <c r="H224" s="24">
        <v>0</v>
      </c>
      <c r="I224" s="24">
        <v>1999.8</v>
      </c>
      <c r="J224" s="25">
        <v>0</v>
      </c>
      <c r="K224" s="22">
        <v>1999.8</v>
      </c>
    </row>
    <row r="225" spans="1:11" x14ac:dyDescent="0.3">
      <c r="A225" s="30" t="s">
        <v>470</v>
      </c>
      <c r="B225" s="31" t="s">
        <v>471</v>
      </c>
      <c r="C225" s="32" t="s">
        <v>366</v>
      </c>
      <c r="D225" s="24">
        <v>2.04</v>
      </c>
      <c r="E225" s="24">
        <v>312.85000000000002</v>
      </c>
      <c r="F225" s="26">
        <v>638.21</v>
      </c>
      <c r="G225" s="27">
        <v>638.21</v>
      </c>
      <c r="H225" s="24">
        <v>0</v>
      </c>
      <c r="I225" s="24">
        <v>0</v>
      </c>
      <c r="J225" s="25">
        <v>0</v>
      </c>
      <c r="K225" s="22">
        <v>638.21</v>
      </c>
    </row>
    <row r="226" spans="1:11" x14ac:dyDescent="0.3">
      <c r="A226" s="30" t="s">
        <v>472</v>
      </c>
      <c r="B226" s="31" t="s">
        <v>473</v>
      </c>
      <c r="C226" s="32" t="s">
        <v>268</v>
      </c>
      <c r="D226" s="24">
        <v>33.229999999999997</v>
      </c>
      <c r="E226" s="24">
        <v>12.29</v>
      </c>
      <c r="F226" s="26">
        <v>408.4</v>
      </c>
      <c r="G226" s="27">
        <v>0</v>
      </c>
      <c r="H226" s="24">
        <v>9.77</v>
      </c>
      <c r="I226" s="24">
        <v>106.4</v>
      </c>
      <c r="J226" s="25">
        <v>292.23</v>
      </c>
      <c r="K226" s="22">
        <v>408.4</v>
      </c>
    </row>
    <row r="227" spans="1:11" x14ac:dyDescent="0.3">
      <c r="A227" s="30" t="s">
        <v>474</v>
      </c>
      <c r="B227" s="31" t="s">
        <v>475</v>
      </c>
      <c r="C227" s="32" t="s">
        <v>39</v>
      </c>
      <c r="D227" s="24">
        <v>52.75</v>
      </c>
      <c r="E227" s="24">
        <v>50</v>
      </c>
      <c r="F227" s="26">
        <v>2637.5</v>
      </c>
      <c r="G227" s="27">
        <v>2637.5</v>
      </c>
      <c r="H227" s="24">
        <v>0</v>
      </c>
      <c r="I227" s="24">
        <v>0</v>
      </c>
      <c r="J227" s="25">
        <v>0</v>
      </c>
      <c r="K227" s="22">
        <v>2637.5</v>
      </c>
    </row>
    <row r="228" spans="1:11" x14ac:dyDescent="0.3">
      <c r="A228" s="30" t="s">
        <v>476</v>
      </c>
      <c r="B228" s="31" t="s">
        <v>477</v>
      </c>
      <c r="C228" s="32" t="s">
        <v>366</v>
      </c>
      <c r="D228" s="24">
        <v>9.43</v>
      </c>
      <c r="E228" s="24">
        <v>69.41</v>
      </c>
      <c r="F228" s="26">
        <v>654.54</v>
      </c>
      <c r="G228" s="27">
        <v>49.91</v>
      </c>
      <c r="H228" s="24">
        <v>432.71</v>
      </c>
      <c r="I228" s="24">
        <v>171.92</v>
      </c>
      <c r="J228" s="25">
        <v>0</v>
      </c>
      <c r="K228" s="22">
        <v>654.54</v>
      </c>
    </row>
    <row r="229" spans="1:11" x14ac:dyDescent="0.3">
      <c r="A229" s="30" t="s">
        <v>478</v>
      </c>
      <c r="B229" s="31" t="s">
        <v>479</v>
      </c>
      <c r="C229" s="32" t="s">
        <v>32</v>
      </c>
      <c r="D229" s="24">
        <v>1</v>
      </c>
      <c r="E229" s="24">
        <v>805.09</v>
      </c>
      <c r="F229" s="26">
        <v>805.09</v>
      </c>
      <c r="G229" s="27">
        <v>209.73</v>
      </c>
      <c r="H229" s="24">
        <v>202.96</v>
      </c>
      <c r="I229" s="24">
        <v>209.73</v>
      </c>
      <c r="J229" s="25">
        <v>182.67</v>
      </c>
      <c r="K229" s="22">
        <v>805.09</v>
      </c>
    </row>
    <row r="230" spans="1:11" x14ac:dyDescent="0.3">
      <c r="A230" s="30" t="s">
        <v>480</v>
      </c>
      <c r="B230" s="31" t="s">
        <v>481</v>
      </c>
      <c r="C230" s="32" t="s">
        <v>32</v>
      </c>
      <c r="D230" s="24">
        <v>1</v>
      </c>
      <c r="E230" s="24">
        <v>8050.85</v>
      </c>
      <c r="F230" s="26">
        <v>8050.85</v>
      </c>
      <c r="G230" s="27">
        <v>2097.2800000000002</v>
      </c>
      <c r="H230" s="24">
        <v>2029.63</v>
      </c>
      <c r="I230" s="24">
        <v>2097.2800000000002</v>
      </c>
      <c r="J230" s="25">
        <v>1826.66</v>
      </c>
      <c r="K230" s="22">
        <v>8050.85</v>
      </c>
    </row>
    <row r="231" spans="1:11" x14ac:dyDescent="0.3">
      <c r="A231" s="30" t="s">
        <v>482</v>
      </c>
      <c r="B231" s="31" t="s">
        <v>483</v>
      </c>
      <c r="C231" s="32" t="s">
        <v>484</v>
      </c>
      <c r="D231" s="24">
        <v>2.62</v>
      </c>
      <c r="E231" s="24">
        <v>110.94</v>
      </c>
      <c r="F231" s="26">
        <v>290.66000000000003</v>
      </c>
      <c r="G231" s="27">
        <v>0</v>
      </c>
      <c r="H231" s="24">
        <v>0</v>
      </c>
      <c r="I231" s="24">
        <v>72.67</v>
      </c>
      <c r="J231" s="25">
        <v>217.99</v>
      </c>
      <c r="K231" s="22">
        <v>290.66000000000003</v>
      </c>
    </row>
    <row r="232" spans="1:11" x14ac:dyDescent="0.3">
      <c r="A232" s="30" t="s">
        <v>485</v>
      </c>
      <c r="B232" s="31" t="s">
        <v>486</v>
      </c>
      <c r="C232" s="32" t="s">
        <v>51</v>
      </c>
      <c r="D232" s="24">
        <v>56.66</v>
      </c>
      <c r="E232" s="24">
        <v>8.39</v>
      </c>
      <c r="F232" s="26">
        <v>475.38</v>
      </c>
      <c r="G232" s="27">
        <v>0</v>
      </c>
      <c r="H232" s="24">
        <v>12.23</v>
      </c>
      <c r="I232" s="24">
        <v>126.1</v>
      </c>
      <c r="J232" s="25">
        <v>337.05</v>
      </c>
      <c r="K232" s="22">
        <v>475.38</v>
      </c>
    </row>
    <row r="233" spans="1:11" x14ac:dyDescent="0.3">
      <c r="A233" s="30" t="s">
        <v>487</v>
      </c>
      <c r="B233" s="31" t="s">
        <v>488</v>
      </c>
      <c r="C233" s="32" t="s">
        <v>32</v>
      </c>
      <c r="D233" s="24">
        <v>1</v>
      </c>
      <c r="E233" s="24">
        <v>4025.43</v>
      </c>
      <c r="F233" s="26">
        <v>4025.43</v>
      </c>
      <c r="G233" s="27">
        <v>1048.6400000000001</v>
      </c>
      <c r="H233" s="24">
        <v>1014.81</v>
      </c>
      <c r="I233" s="24">
        <v>1048.6400000000001</v>
      </c>
      <c r="J233" s="25">
        <v>913.34</v>
      </c>
      <c r="K233" s="22">
        <v>4025.43</v>
      </c>
    </row>
    <row r="234" spans="1:11" x14ac:dyDescent="0.3">
      <c r="A234" s="30" t="s">
        <v>489</v>
      </c>
      <c r="B234" s="31" t="s">
        <v>490</v>
      </c>
      <c r="C234" s="32" t="s">
        <v>32</v>
      </c>
      <c r="D234" s="24">
        <v>1</v>
      </c>
      <c r="E234" s="24">
        <v>346.19</v>
      </c>
      <c r="F234" s="26">
        <v>346.19</v>
      </c>
      <c r="G234" s="27">
        <v>346.19</v>
      </c>
      <c r="H234" s="24">
        <v>0</v>
      </c>
      <c r="I234" s="24">
        <v>0</v>
      </c>
      <c r="J234" s="25">
        <v>0</v>
      </c>
      <c r="K234" s="22">
        <v>346.19</v>
      </c>
    </row>
    <row r="235" spans="1:11" x14ac:dyDescent="0.3">
      <c r="A235" s="30" t="s">
        <v>491</v>
      </c>
      <c r="B235" s="31" t="s">
        <v>492</v>
      </c>
      <c r="C235" s="32" t="s">
        <v>32</v>
      </c>
      <c r="D235" s="24">
        <v>1</v>
      </c>
      <c r="E235" s="24">
        <v>1127.6400000000001</v>
      </c>
      <c r="F235" s="26">
        <v>1127.6400000000001</v>
      </c>
      <c r="G235" s="27">
        <v>293.75</v>
      </c>
      <c r="H235" s="24">
        <v>284.27999999999997</v>
      </c>
      <c r="I235" s="24">
        <v>293.75</v>
      </c>
      <c r="J235" s="25">
        <v>255.85999999999999</v>
      </c>
      <c r="K235" s="22">
        <v>1127.6400000000001</v>
      </c>
    </row>
    <row r="236" spans="1:11" x14ac:dyDescent="0.3">
      <c r="A236" s="30" t="s">
        <v>493</v>
      </c>
      <c r="B236" s="31" t="s">
        <v>494</v>
      </c>
      <c r="C236" s="32" t="s">
        <v>32</v>
      </c>
      <c r="D236" s="24">
        <v>1</v>
      </c>
      <c r="E236" s="24">
        <v>4025.43</v>
      </c>
      <c r="F236" s="26">
        <v>4025.43</v>
      </c>
      <c r="G236" s="27">
        <v>2228.36</v>
      </c>
      <c r="H236" s="24">
        <v>1797.07</v>
      </c>
      <c r="I236" s="24">
        <v>0</v>
      </c>
      <c r="J236" s="25">
        <v>0</v>
      </c>
      <c r="K236" s="22">
        <v>4025.43</v>
      </c>
    </row>
    <row r="237" spans="1:11" x14ac:dyDescent="0.3">
      <c r="A237" s="30" t="s">
        <v>495</v>
      </c>
      <c r="B237" s="31" t="s">
        <v>496</v>
      </c>
      <c r="C237" s="32" t="s">
        <v>32</v>
      </c>
      <c r="D237" s="24">
        <v>1</v>
      </c>
      <c r="E237" s="24">
        <v>8050.85</v>
      </c>
      <c r="F237" s="26">
        <v>8050.85</v>
      </c>
      <c r="G237" s="27">
        <v>2097.2800000000002</v>
      </c>
      <c r="H237" s="24">
        <v>2029.63</v>
      </c>
      <c r="I237" s="24">
        <v>2097.2800000000002</v>
      </c>
      <c r="J237" s="25">
        <v>1826.66</v>
      </c>
      <c r="K237" s="22">
        <v>8050.85</v>
      </c>
    </row>
    <row r="238" spans="1:11" x14ac:dyDescent="0.3">
      <c r="A238" s="30" t="s">
        <v>497</v>
      </c>
      <c r="B238" s="31" t="s">
        <v>498</v>
      </c>
      <c r="C238" s="32" t="s">
        <v>32</v>
      </c>
      <c r="D238" s="24">
        <v>1</v>
      </c>
      <c r="E238" s="24">
        <v>1610.17</v>
      </c>
      <c r="F238" s="26">
        <v>1610.17</v>
      </c>
      <c r="G238" s="27">
        <v>419.46</v>
      </c>
      <c r="H238" s="24">
        <v>405.93</v>
      </c>
      <c r="I238" s="24">
        <v>419.46</v>
      </c>
      <c r="J238" s="25">
        <v>365.32</v>
      </c>
      <c r="K238" s="22">
        <v>1610.17</v>
      </c>
    </row>
    <row r="239" spans="1:11" x14ac:dyDescent="0.3">
      <c r="A239" s="30" t="s">
        <v>499</v>
      </c>
      <c r="B239" s="31" t="s">
        <v>500</v>
      </c>
      <c r="C239" s="32" t="s">
        <v>32</v>
      </c>
      <c r="D239" s="24">
        <v>1</v>
      </c>
      <c r="E239" s="24">
        <v>4023.37</v>
      </c>
      <c r="F239" s="26">
        <v>4023.37</v>
      </c>
      <c r="G239" s="27">
        <v>1048.0999999999999</v>
      </c>
      <c r="H239" s="24">
        <v>1014.29</v>
      </c>
      <c r="I239" s="24">
        <v>1048.0999999999999</v>
      </c>
      <c r="J239" s="25">
        <v>912.88</v>
      </c>
      <c r="K239" s="22">
        <v>4023.37</v>
      </c>
    </row>
    <row r="240" spans="1:11" x14ac:dyDescent="0.3">
      <c r="A240" s="30" t="s">
        <v>501</v>
      </c>
      <c r="B240" s="31" t="s">
        <v>502</v>
      </c>
      <c r="C240" s="32" t="s">
        <v>45</v>
      </c>
      <c r="D240" s="24">
        <v>1</v>
      </c>
      <c r="E240" s="24">
        <v>522.5</v>
      </c>
      <c r="F240" s="26">
        <v>522.5</v>
      </c>
      <c r="G240" s="27">
        <v>0</v>
      </c>
      <c r="H240" s="24">
        <v>0</v>
      </c>
      <c r="I240" s="24">
        <v>0</v>
      </c>
      <c r="J240" s="25">
        <v>522.5</v>
      </c>
      <c r="K240" s="22">
        <v>522.5</v>
      </c>
    </row>
    <row r="241" spans="1:11" x14ac:dyDescent="0.3">
      <c r="A241" s="30" t="s">
        <v>503</v>
      </c>
      <c r="B241" s="31" t="s">
        <v>504</v>
      </c>
      <c r="C241" s="32" t="s">
        <v>45</v>
      </c>
      <c r="D241" s="24">
        <v>2</v>
      </c>
      <c r="E241" s="24">
        <v>2642.98</v>
      </c>
      <c r="F241" s="26">
        <v>5285.96</v>
      </c>
      <c r="G241" s="27">
        <v>0</v>
      </c>
      <c r="H241" s="24">
        <v>0</v>
      </c>
      <c r="I241" s="24">
        <v>0</v>
      </c>
      <c r="J241" s="25">
        <v>5285.96</v>
      </c>
      <c r="K241" s="22">
        <v>5285.96</v>
      </c>
    </row>
    <row r="242" spans="1:11" x14ac:dyDescent="0.3">
      <c r="A242" s="30" t="s">
        <v>505</v>
      </c>
      <c r="B242" s="31" t="s">
        <v>506</v>
      </c>
      <c r="C242" s="32" t="s">
        <v>102</v>
      </c>
      <c r="D242" s="24">
        <v>27.34</v>
      </c>
      <c r="E242" s="24">
        <v>99</v>
      </c>
      <c r="F242" s="26">
        <v>2706.66</v>
      </c>
      <c r="G242" s="27">
        <v>0</v>
      </c>
      <c r="H242" s="24">
        <v>0</v>
      </c>
      <c r="I242" s="24">
        <v>2706.66</v>
      </c>
      <c r="J242" s="25">
        <v>0</v>
      </c>
      <c r="K242" s="22">
        <v>2706.66</v>
      </c>
    </row>
    <row r="243" spans="1:11" x14ac:dyDescent="0.3">
      <c r="A243" s="30" t="s">
        <v>507</v>
      </c>
      <c r="B243" s="31" t="s">
        <v>508</v>
      </c>
      <c r="C243" s="32" t="s">
        <v>45</v>
      </c>
      <c r="D243" s="24">
        <v>4</v>
      </c>
      <c r="E243" s="24">
        <v>88.1</v>
      </c>
      <c r="F243" s="26">
        <v>352.4</v>
      </c>
      <c r="G243" s="27">
        <v>0</v>
      </c>
      <c r="H243" s="24">
        <v>0</v>
      </c>
      <c r="I243" s="24">
        <v>0</v>
      </c>
      <c r="J243" s="25">
        <v>352.4</v>
      </c>
      <c r="K243" s="22">
        <v>352.4</v>
      </c>
    </row>
    <row r="244" spans="1:11" x14ac:dyDescent="0.3">
      <c r="A244" s="30" t="s">
        <v>509</v>
      </c>
      <c r="B244" s="31" t="s">
        <v>510</v>
      </c>
      <c r="C244" s="32" t="s">
        <v>45</v>
      </c>
      <c r="D244" s="24">
        <v>5</v>
      </c>
      <c r="E244" s="24">
        <v>4.24</v>
      </c>
      <c r="F244" s="26">
        <v>21.2</v>
      </c>
      <c r="G244" s="27">
        <v>0</v>
      </c>
      <c r="H244" s="24">
        <v>0</v>
      </c>
      <c r="I244" s="24">
        <v>0</v>
      </c>
      <c r="J244" s="25">
        <v>21.2</v>
      </c>
      <c r="K244" s="22">
        <v>21.2</v>
      </c>
    </row>
    <row r="245" spans="1:11" x14ac:dyDescent="0.3">
      <c r="A245" s="30" t="s">
        <v>511</v>
      </c>
      <c r="B245" s="31" t="s">
        <v>512</v>
      </c>
      <c r="C245" s="32" t="s">
        <v>45</v>
      </c>
      <c r="D245" s="24">
        <v>1</v>
      </c>
      <c r="E245" s="24">
        <v>4.24</v>
      </c>
      <c r="F245" s="26">
        <v>4.24</v>
      </c>
      <c r="G245" s="27">
        <v>0</v>
      </c>
      <c r="H245" s="24">
        <v>0</v>
      </c>
      <c r="I245" s="24">
        <v>0</v>
      </c>
      <c r="J245" s="25">
        <v>4.24</v>
      </c>
      <c r="K245" s="22">
        <v>4.24</v>
      </c>
    </row>
    <row r="246" spans="1:11" x14ac:dyDescent="0.3">
      <c r="A246" s="30" t="s">
        <v>513</v>
      </c>
      <c r="B246" s="31" t="s">
        <v>514</v>
      </c>
      <c r="C246" s="32" t="s">
        <v>45</v>
      </c>
      <c r="D246" s="24">
        <v>4</v>
      </c>
      <c r="E246" s="24">
        <v>4.24</v>
      </c>
      <c r="F246" s="26">
        <v>16.96</v>
      </c>
      <c r="G246" s="27">
        <v>0</v>
      </c>
      <c r="H246" s="24">
        <v>0</v>
      </c>
      <c r="I246" s="24">
        <v>0</v>
      </c>
      <c r="J246" s="25">
        <v>16.96</v>
      </c>
      <c r="K246" s="22">
        <v>16.96</v>
      </c>
    </row>
    <row r="247" spans="1:11" x14ac:dyDescent="0.3">
      <c r="A247" s="30" t="s">
        <v>515</v>
      </c>
      <c r="B247" s="31" t="s">
        <v>516</v>
      </c>
      <c r="C247" s="32" t="s">
        <v>45</v>
      </c>
      <c r="D247" s="24">
        <v>4</v>
      </c>
      <c r="E247" s="24">
        <v>4.24</v>
      </c>
      <c r="F247" s="26">
        <v>16.96</v>
      </c>
      <c r="G247" s="27">
        <v>0</v>
      </c>
      <c r="H247" s="24">
        <v>0</v>
      </c>
      <c r="I247" s="24">
        <v>0</v>
      </c>
      <c r="J247" s="25">
        <v>16.96</v>
      </c>
      <c r="K247" s="22">
        <v>16.96</v>
      </c>
    </row>
    <row r="248" spans="1:11" x14ac:dyDescent="0.3">
      <c r="A248" s="30" t="s">
        <v>517</v>
      </c>
      <c r="B248" s="31" t="s">
        <v>518</v>
      </c>
      <c r="C248" s="32" t="s">
        <v>45</v>
      </c>
      <c r="D248" s="24">
        <v>2</v>
      </c>
      <c r="E248" s="24">
        <v>4.24</v>
      </c>
      <c r="F248" s="26">
        <v>8.48</v>
      </c>
      <c r="G248" s="27">
        <v>0</v>
      </c>
      <c r="H248" s="24">
        <v>0</v>
      </c>
      <c r="I248" s="24">
        <v>0</v>
      </c>
      <c r="J248" s="25">
        <v>8.48</v>
      </c>
      <c r="K248" s="22">
        <v>8.48</v>
      </c>
    </row>
    <row r="249" spans="1:11" x14ac:dyDescent="0.3">
      <c r="A249" s="30" t="s">
        <v>519</v>
      </c>
      <c r="B249" s="31" t="s">
        <v>520</v>
      </c>
      <c r="C249" s="32" t="s">
        <v>45</v>
      </c>
      <c r="D249" s="24">
        <v>1</v>
      </c>
      <c r="E249" s="24">
        <v>4.24</v>
      </c>
      <c r="F249" s="26">
        <v>4.24</v>
      </c>
      <c r="G249" s="27">
        <v>0</v>
      </c>
      <c r="H249" s="24">
        <v>0</v>
      </c>
      <c r="I249" s="24">
        <v>0</v>
      </c>
      <c r="J249" s="25">
        <v>4.24</v>
      </c>
      <c r="K249" s="22">
        <v>4.24</v>
      </c>
    </row>
    <row r="250" spans="1:11" x14ac:dyDescent="0.3">
      <c r="A250" s="30" t="s">
        <v>521</v>
      </c>
      <c r="B250" s="31" t="s">
        <v>522</v>
      </c>
      <c r="C250" s="32" t="s">
        <v>45</v>
      </c>
      <c r="D250" s="24">
        <v>1</v>
      </c>
      <c r="E250" s="24">
        <v>9.35</v>
      </c>
      <c r="F250" s="26">
        <v>9.35</v>
      </c>
      <c r="G250" s="27">
        <v>0</v>
      </c>
      <c r="H250" s="24">
        <v>0</v>
      </c>
      <c r="I250" s="24">
        <v>0</v>
      </c>
      <c r="J250" s="25">
        <v>9.35</v>
      </c>
      <c r="K250" s="22">
        <v>9.35</v>
      </c>
    </row>
    <row r="251" spans="1:11" x14ac:dyDescent="0.3">
      <c r="A251" s="30" t="s">
        <v>523</v>
      </c>
      <c r="B251" s="31" t="s">
        <v>524</v>
      </c>
      <c r="C251" s="32" t="s">
        <v>45</v>
      </c>
      <c r="D251" s="24">
        <v>5</v>
      </c>
      <c r="E251" s="24">
        <v>9.35</v>
      </c>
      <c r="F251" s="26">
        <v>46.75</v>
      </c>
      <c r="G251" s="27">
        <v>0</v>
      </c>
      <c r="H251" s="24">
        <v>0</v>
      </c>
      <c r="I251" s="24">
        <v>0</v>
      </c>
      <c r="J251" s="25">
        <v>46.75</v>
      </c>
      <c r="K251" s="22">
        <v>46.75</v>
      </c>
    </row>
    <row r="252" spans="1:11" x14ac:dyDescent="0.3">
      <c r="A252" s="30" t="s">
        <v>525</v>
      </c>
      <c r="B252" s="31" t="s">
        <v>526</v>
      </c>
      <c r="C252" s="32" t="s">
        <v>45</v>
      </c>
      <c r="D252" s="24">
        <v>4</v>
      </c>
      <c r="E252" s="24">
        <v>9.35</v>
      </c>
      <c r="F252" s="26">
        <v>37.4</v>
      </c>
      <c r="G252" s="27">
        <v>0</v>
      </c>
      <c r="H252" s="24">
        <v>0</v>
      </c>
      <c r="I252" s="24">
        <v>0</v>
      </c>
      <c r="J252" s="25">
        <v>37.4</v>
      </c>
      <c r="K252" s="22">
        <v>37.4</v>
      </c>
    </row>
    <row r="253" spans="1:11" x14ac:dyDescent="0.3">
      <c r="A253" s="30" t="s">
        <v>527</v>
      </c>
      <c r="B253" s="31" t="s">
        <v>528</v>
      </c>
      <c r="C253" s="32" t="s">
        <v>45</v>
      </c>
      <c r="D253" s="24">
        <v>3</v>
      </c>
      <c r="E253" s="24">
        <v>4.24</v>
      </c>
      <c r="F253" s="26">
        <v>12.72</v>
      </c>
      <c r="G253" s="27">
        <v>0</v>
      </c>
      <c r="H253" s="24">
        <v>0</v>
      </c>
      <c r="I253" s="24">
        <v>0</v>
      </c>
      <c r="J253" s="25">
        <v>12.72</v>
      </c>
      <c r="K253" s="22">
        <v>12.72</v>
      </c>
    </row>
    <row r="254" spans="1:11" x14ac:dyDescent="0.3">
      <c r="A254" s="30" t="s">
        <v>529</v>
      </c>
      <c r="B254" s="31" t="s">
        <v>530</v>
      </c>
      <c r="C254" s="32" t="s">
        <v>45</v>
      </c>
      <c r="D254" s="24">
        <v>1</v>
      </c>
      <c r="E254" s="24">
        <v>4.24</v>
      </c>
      <c r="F254" s="26">
        <v>4.24</v>
      </c>
      <c r="G254" s="27">
        <v>0</v>
      </c>
      <c r="H254" s="24">
        <v>0</v>
      </c>
      <c r="I254" s="24">
        <v>0</v>
      </c>
      <c r="J254" s="25">
        <v>4.24</v>
      </c>
      <c r="K254" s="22">
        <v>4.24</v>
      </c>
    </row>
    <row r="255" spans="1:11" x14ac:dyDescent="0.3">
      <c r="A255" s="30" t="s">
        <v>531</v>
      </c>
      <c r="B255" s="31" t="s">
        <v>532</v>
      </c>
      <c r="C255" s="32" t="s">
        <v>45</v>
      </c>
      <c r="D255" s="24">
        <v>2</v>
      </c>
      <c r="E255" s="24">
        <v>4.24</v>
      </c>
      <c r="F255" s="26">
        <v>8.48</v>
      </c>
      <c r="G255" s="27">
        <v>0</v>
      </c>
      <c r="H255" s="24">
        <v>0</v>
      </c>
      <c r="I255" s="24">
        <v>0</v>
      </c>
      <c r="J255" s="25">
        <v>8.48</v>
      </c>
      <c r="K255" s="22">
        <v>8.48</v>
      </c>
    </row>
    <row r="256" spans="1:11" x14ac:dyDescent="0.3">
      <c r="A256" s="30" t="s">
        <v>533</v>
      </c>
      <c r="B256" s="31" t="s">
        <v>534</v>
      </c>
      <c r="C256" s="32" t="s">
        <v>45</v>
      </c>
      <c r="D256" s="24">
        <v>7</v>
      </c>
      <c r="E256" s="24">
        <v>4.24</v>
      </c>
      <c r="F256" s="26">
        <v>29.68</v>
      </c>
      <c r="G256" s="27">
        <v>0</v>
      </c>
      <c r="H256" s="24">
        <v>0</v>
      </c>
      <c r="I256" s="24">
        <v>0</v>
      </c>
      <c r="J256" s="25">
        <v>29.68</v>
      </c>
      <c r="K256" s="22">
        <v>29.68</v>
      </c>
    </row>
    <row r="257" spans="1:11" x14ac:dyDescent="0.3">
      <c r="A257" s="30" t="s">
        <v>535</v>
      </c>
      <c r="B257" s="31" t="s">
        <v>536</v>
      </c>
      <c r="C257" s="32" t="s">
        <v>45</v>
      </c>
      <c r="D257" s="24">
        <v>1</v>
      </c>
      <c r="E257" s="24">
        <v>4.24</v>
      </c>
      <c r="F257" s="26">
        <v>4.24</v>
      </c>
      <c r="G257" s="27">
        <v>0</v>
      </c>
      <c r="H257" s="24">
        <v>0</v>
      </c>
      <c r="I257" s="24">
        <v>0</v>
      </c>
      <c r="J257" s="25">
        <v>4.24</v>
      </c>
      <c r="K257" s="22">
        <v>4.24</v>
      </c>
    </row>
    <row r="258" spans="1:11" x14ac:dyDescent="0.3">
      <c r="A258" s="30" t="s">
        <v>537</v>
      </c>
      <c r="B258" s="31" t="s">
        <v>538</v>
      </c>
      <c r="C258" s="32" t="s">
        <v>45</v>
      </c>
      <c r="D258" s="24">
        <v>4</v>
      </c>
      <c r="E258" s="24">
        <v>4.24</v>
      </c>
      <c r="F258" s="26">
        <v>16.96</v>
      </c>
      <c r="G258" s="27">
        <v>0</v>
      </c>
      <c r="H258" s="24">
        <v>0</v>
      </c>
      <c r="I258" s="24">
        <v>0</v>
      </c>
      <c r="J258" s="25">
        <v>16.96</v>
      </c>
      <c r="K258" s="22">
        <v>16.96</v>
      </c>
    </row>
    <row r="259" spans="1:11" x14ac:dyDescent="0.3">
      <c r="A259" s="30" t="s">
        <v>539</v>
      </c>
      <c r="B259" s="31" t="s">
        <v>540</v>
      </c>
      <c r="C259" s="32" t="s">
        <v>45</v>
      </c>
      <c r="D259" s="24">
        <v>2</v>
      </c>
      <c r="E259" s="24">
        <v>4.24</v>
      </c>
      <c r="F259" s="26">
        <v>8.48</v>
      </c>
      <c r="G259" s="27">
        <v>0</v>
      </c>
      <c r="H259" s="24">
        <v>0</v>
      </c>
      <c r="I259" s="24">
        <v>0</v>
      </c>
      <c r="J259" s="25">
        <v>8.48</v>
      </c>
      <c r="K259" s="22">
        <v>8.48</v>
      </c>
    </row>
    <row r="260" spans="1:11" x14ac:dyDescent="0.3">
      <c r="A260" s="30" t="s">
        <v>541</v>
      </c>
      <c r="B260" s="31" t="s">
        <v>542</v>
      </c>
      <c r="C260" s="32" t="s">
        <v>45</v>
      </c>
      <c r="D260" s="24">
        <v>3</v>
      </c>
      <c r="E260" s="24">
        <v>4.24</v>
      </c>
      <c r="F260" s="26">
        <v>12.72</v>
      </c>
      <c r="G260" s="27">
        <v>0</v>
      </c>
      <c r="H260" s="24">
        <v>0</v>
      </c>
      <c r="I260" s="24">
        <v>0</v>
      </c>
      <c r="J260" s="25">
        <v>12.72</v>
      </c>
      <c r="K260" s="22">
        <v>12.72</v>
      </c>
    </row>
    <row r="261" spans="1:11" x14ac:dyDescent="0.3">
      <c r="A261" s="30" t="s">
        <v>543</v>
      </c>
      <c r="B261" s="31" t="s">
        <v>544</v>
      </c>
      <c r="C261" s="32" t="s">
        <v>45</v>
      </c>
      <c r="D261" s="24">
        <v>3</v>
      </c>
      <c r="E261" s="24">
        <v>4.24</v>
      </c>
      <c r="F261" s="26">
        <v>12.72</v>
      </c>
      <c r="G261" s="27">
        <v>0</v>
      </c>
      <c r="H261" s="24">
        <v>0</v>
      </c>
      <c r="I261" s="24">
        <v>0</v>
      </c>
      <c r="J261" s="25">
        <v>12.72</v>
      </c>
      <c r="K261" s="22">
        <v>12.72</v>
      </c>
    </row>
    <row r="262" spans="1:11" x14ac:dyDescent="0.3">
      <c r="A262" s="30" t="s">
        <v>545</v>
      </c>
      <c r="B262" s="31" t="s">
        <v>546</v>
      </c>
      <c r="C262" s="32" t="s">
        <v>45</v>
      </c>
      <c r="D262" s="24">
        <v>5</v>
      </c>
      <c r="E262" s="24">
        <v>29.16</v>
      </c>
      <c r="F262" s="26">
        <v>145.80000000000001</v>
      </c>
      <c r="G262" s="27">
        <v>0</v>
      </c>
      <c r="H262" s="24">
        <v>62.49</v>
      </c>
      <c r="I262" s="24">
        <v>83.31</v>
      </c>
      <c r="J262" s="25">
        <v>0</v>
      </c>
      <c r="K262" s="22">
        <v>145.80000000000001</v>
      </c>
    </row>
    <row r="263" spans="1:11" x14ac:dyDescent="0.3">
      <c r="A263" s="30" t="s">
        <v>547</v>
      </c>
      <c r="B263" s="31" t="s">
        <v>548</v>
      </c>
      <c r="C263" s="32" t="s">
        <v>45</v>
      </c>
      <c r="D263" s="24">
        <v>1</v>
      </c>
      <c r="E263" s="24">
        <v>44</v>
      </c>
      <c r="F263" s="26">
        <v>44</v>
      </c>
      <c r="G263" s="27">
        <v>0</v>
      </c>
      <c r="H263" s="24">
        <v>0</v>
      </c>
      <c r="I263" s="24">
        <v>0</v>
      </c>
      <c r="J263" s="25">
        <v>44</v>
      </c>
      <c r="K263" s="22">
        <v>44</v>
      </c>
    </row>
    <row r="264" spans="1:11" x14ac:dyDescent="0.3">
      <c r="A264" s="30" t="s">
        <v>549</v>
      </c>
      <c r="B264" s="31" t="s">
        <v>550</v>
      </c>
      <c r="C264" s="32" t="s">
        <v>45</v>
      </c>
      <c r="D264" s="24">
        <v>1</v>
      </c>
      <c r="E264" s="24">
        <v>2936.64</v>
      </c>
      <c r="F264" s="26">
        <v>2936.64</v>
      </c>
      <c r="G264" s="27">
        <v>0</v>
      </c>
      <c r="H264" s="24">
        <v>0</v>
      </c>
      <c r="I264" s="24">
        <v>0</v>
      </c>
      <c r="J264" s="25">
        <v>2936.64</v>
      </c>
      <c r="K264" s="22">
        <v>2936.64</v>
      </c>
    </row>
    <row r="265" spans="1:11" x14ac:dyDescent="0.3">
      <c r="A265" s="30" t="s">
        <v>551</v>
      </c>
      <c r="B265" s="31" t="s">
        <v>552</v>
      </c>
      <c r="C265" s="32" t="s">
        <v>45</v>
      </c>
      <c r="D265" s="24">
        <v>1</v>
      </c>
      <c r="E265" s="24">
        <v>2852.74</v>
      </c>
      <c r="F265" s="26">
        <v>2852.74</v>
      </c>
      <c r="G265" s="27">
        <v>0</v>
      </c>
      <c r="H265" s="24">
        <v>0</v>
      </c>
      <c r="I265" s="24">
        <v>0</v>
      </c>
      <c r="J265" s="25">
        <v>2852.74</v>
      </c>
      <c r="K265" s="22">
        <v>2852.74</v>
      </c>
    </row>
    <row r="266" spans="1:11" x14ac:dyDescent="0.3">
      <c r="A266" s="30" t="s">
        <v>553</v>
      </c>
      <c r="B266" s="31" t="s">
        <v>554</v>
      </c>
      <c r="C266" s="32" t="s">
        <v>45</v>
      </c>
      <c r="D266" s="24">
        <v>1</v>
      </c>
      <c r="E266" s="24">
        <v>1090.75</v>
      </c>
      <c r="F266" s="26">
        <v>1090.75</v>
      </c>
      <c r="G266" s="27">
        <v>0</v>
      </c>
      <c r="H266" s="24">
        <v>0</v>
      </c>
      <c r="I266" s="24">
        <v>0</v>
      </c>
      <c r="J266" s="25">
        <v>1090.75</v>
      </c>
      <c r="K266" s="22">
        <v>1090.75</v>
      </c>
    </row>
    <row r="267" spans="1:11" x14ac:dyDescent="0.3">
      <c r="A267" s="30" t="s">
        <v>555</v>
      </c>
      <c r="B267" s="31" t="s">
        <v>556</v>
      </c>
      <c r="C267" s="32" t="s">
        <v>45</v>
      </c>
      <c r="D267" s="24">
        <v>1</v>
      </c>
      <c r="E267" s="24">
        <v>2768.83</v>
      </c>
      <c r="F267" s="26">
        <v>2768.83</v>
      </c>
      <c r="G267" s="27">
        <v>0</v>
      </c>
      <c r="H267" s="24">
        <v>0</v>
      </c>
      <c r="I267" s="24">
        <v>0</v>
      </c>
      <c r="J267" s="25">
        <v>2768.83</v>
      </c>
      <c r="K267" s="22">
        <v>2768.83</v>
      </c>
    </row>
    <row r="268" spans="1:11" x14ac:dyDescent="0.3">
      <c r="A268" s="30" t="s">
        <v>557</v>
      </c>
      <c r="B268" s="31" t="s">
        <v>558</v>
      </c>
      <c r="C268" s="32" t="s">
        <v>45</v>
      </c>
      <c r="D268" s="24">
        <v>1</v>
      </c>
      <c r="E268" s="24">
        <v>4027.39</v>
      </c>
      <c r="F268" s="26">
        <v>4027.39</v>
      </c>
      <c r="G268" s="27">
        <v>0</v>
      </c>
      <c r="H268" s="24">
        <v>0</v>
      </c>
      <c r="I268" s="24">
        <v>0</v>
      </c>
      <c r="J268" s="25">
        <v>4027.39</v>
      </c>
      <c r="K268" s="22">
        <v>4027.39</v>
      </c>
    </row>
    <row r="269" spans="1:11" x14ac:dyDescent="0.3">
      <c r="A269" s="30" t="s">
        <v>559</v>
      </c>
      <c r="B269" s="31" t="s">
        <v>560</v>
      </c>
      <c r="C269" s="32" t="s">
        <v>45</v>
      </c>
      <c r="D269" s="24">
        <v>1</v>
      </c>
      <c r="E269" s="24">
        <v>1006.85</v>
      </c>
      <c r="F269" s="26">
        <v>1006.85</v>
      </c>
      <c r="G269" s="27">
        <v>0</v>
      </c>
      <c r="H269" s="24">
        <v>0</v>
      </c>
      <c r="I269" s="24">
        <v>0</v>
      </c>
      <c r="J269" s="25">
        <v>1006.85</v>
      </c>
      <c r="K269" s="22">
        <v>1006.85</v>
      </c>
    </row>
    <row r="270" spans="1:11" x14ac:dyDescent="0.3">
      <c r="A270" s="30" t="s">
        <v>561</v>
      </c>
      <c r="B270" s="31" t="s">
        <v>562</v>
      </c>
      <c r="C270" s="32" t="s">
        <v>45</v>
      </c>
      <c r="D270" s="24">
        <v>2</v>
      </c>
      <c r="E270" s="24">
        <v>545.38</v>
      </c>
      <c r="F270" s="26">
        <v>1090.76</v>
      </c>
      <c r="G270" s="27">
        <v>0</v>
      </c>
      <c r="H270" s="24">
        <v>0</v>
      </c>
      <c r="I270" s="24">
        <v>0</v>
      </c>
      <c r="J270" s="25">
        <v>1090.76</v>
      </c>
      <c r="K270" s="22">
        <v>1090.76</v>
      </c>
    </row>
    <row r="271" spans="1:11" x14ac:dyDescent="0.3">
      <c r="A271" s="30" t="s">
        <v>563</v>
      </c>
      <c r="B271" s="31" t="s">
        <v>564</v>
      </c>
      <c r="C271" s="32" t="s">
        <v>45</v>
      </c>
      <c r="D271" s="24">
        <v>1</v>
      </c>
      <c r="E271" s="24">
        <v>1887.84</v>
      </c>
      <c r="F271" s="26">
        <v>1887.84</v>
      </c>
      <c r="G271" s="27">
        <v>0</v>
      </c>
      <c r="H271" s="24">
        <v>0</v>
      </c>
      <c r="I271" s="24">
        <v>0</v>
      </c>
      <c r="J271" s="25">
        <v>1887.84</v>
      </c>
      <c r="K271" s="22">
        <v>1887.84</v>
      </c>
    </row>
    <row r="272" spans="1:11" x14ac:dyDescent="0.3">
      <c r="A272" s="30" t="s">
        <v>565</v>
      </c>
      <c r="B272" s="31" t="s">
        <v>566</v>
      </c>
      <c r="C272" s="32" t="s">
        <v>45</v>
      </c>
      <c r="D272" s="24">
        <v>1</v>
      </c>
      <c r="E272" s="24">
        <v>1975.24</v>
      </c>
      <c r="F272" s="26">
        <v>1975.24</v>
      </c>
      <c r="G272" s="27">
        <v>0</v>
      </c>
      <c r="H272" s="24">
        <v>0</v>
      </c>
      <c r="I272" s="24">
        <v>0</v>
      </c>
      <c r="J272" s="25">
        <v>1975.24</v>
      </c>
      <c r="K272" s="22">
        <v>1975.24</v>
      </c>
    </row>
    <row r="273" spans="1:11" x14ac:dyDescent="0.3">
      <c r="A273" s="30" t="s">
        <v>567</v>
      </c>
      <c r="B273" s="31" t="s">
        <v>568</v>
      </c>
      <c r="C273" s="32" t="s">
        <v>45</v>
      </c>
      <c r="D273" s="24">
        <v>8</v>
      </c>
      <c r="E273" s="24">
        <v>340.86</v>
      </c>
      <c r="F273" s="26">
        <v>2726.88</v>
      </c>
      <c r="G273" s="27">
        <v>0</v>
      </c>
      <c r="H273" s="24">
        <v>0</v>
      </c>
      <c r="I273" s="24">
        <v>0</v>
      </c>
      <c r="J273" s="25">
        <v>2726.88</v>
      </c>
      <c r="K273" s="22">
        <v>2726.88</v>
      </c>
    </row>
    <row r="274" spans="1:11" x14ac:dyDescent="0.3">
      <c r="A274" s="30" t="s">
        <v>569</v>
      </c>
      <c r="B274" s="31" t="s">
        <v>570</v>
      </c>
      <c r="C274" s="32" t="s">
        <v>45</v>
      </c>
      <c r="D274" s="24">
        <v>1</v>
      </c>
      <c r="E274" s="24">
        <v>31071.96</v>
      </c>
      <c r="F274" s="26">
        <v>31071.96</v>
      </c>
      <c r="G274" s="27">
        <v>0</v>
      </c>
      <c r="H274" s="24">
        <v>0</v>
      </c>
      <c r="I274" s="24">
        <v>0</v>
      </c>
      <c r="J274" s="25">
        <v>31071.96</v>
      </c>
      <c r="K274" s="22">
        <v>31071.96</v>
      </c>
    </row>
    <row r="275" spans="1:11" x14ac:dyDescent="0.3">
      <c r="A275" s="30" t="s">
        <v>571</v>
      </c>
      <c r="B275" s="31" t="s">
        <v>572</v>
      </c>
      <c r="C275" s="32" t="s">
        <v>484</v>
      </c>
      <c r="D275" s="24">
        <v>12</v>
      </c>
      <c r="E275" s="24">
        <v>16.72</v>
      </c>
      <c r="F275" s="26">
        <v>200.64</v>
      </c>
      <c r="G275" s="27">
        <v>0</v>
      </c>
      <c r="H275" s="24">
        <v>200.64</v>
      </c>
      <c r="I275" s="24">
        <v>0</v>
      </c>
      <c r="J275" s="25">
        <v>0</v>
      </c>
      <c r="K275" s="22">
        <v>200.64</v>
      </c>
    </row>
    <row r="276" spans="1:11" x14ac:dyDescent="0.3">
      <c r="A276" s="30" t="s">
        <v>573</v>
      </c>
      <c r="B276" s="31" t="s">
        <v>574</v>
      </c>
      <c r="C276" s="32" t="s">
        <v>366</v>
      </c>
      <c r="D276" s="24">
        <v>6.4</v>
      </c>
      <c r="E276" s="24">
        <v>106.79</v>
      </c>
      <c r="F276" s="26">
        <v>683.46</v>
      </c>
      <c r="G276" s="27">
        <v>0</v>
      </c>
      <c r="H276" s="24">
        <v>0</v>
      </c>
      <c r="I276" s="24">
        <v>683.46</v>
      </c>
      <c r="J276" s="25">
        <v>0</v>
      </c>
      <c r="K276" s="22">
        <v>683.46</v>
      </c>
    </row>
    <row r="277" spans="1:11" x14ac:dyDescent="0.3">
      <c r="A277" s="30" t="s">
        <v>575</v>
      </c>
      <c r="B277" s="31" t="s">
        <v>576</v>
      </c>
      <c r="C277" s="32" t="s">
        <v>32</v>
      </c>
      <c r="D277" s="24">
        <v>1</v>
      </c>
      <c r="E277" s="24">
        <v>2280</v>
      </c>
      <c r="F277" s="26">
        <v>2280</v>
      </c>
      <c r="G277" s="27">
        <v>2280</v>
      </c>
      <c r="H277" s="24">
        <v>0</v>
      </c>
      <c r="I277" s="24">
        <v>0</v>
      </c>
      <c r="J277" s="25">
        <v>0</v>
      </c>
      <c r="K277" s="22">
        <v>2280</v>
      </c>
    </row>
    <row r="278" spans="1:11" x14ac:dyDescent="0.3">
      <c r="A278" s="30" t="s">
        <v>577</v>
      </c>
      <c r="B278" s="31" t="s">
        <v>578</v>
      </c>
      <c r="C278" s="32" t="s">
        <v>45</v>
      </c>
      <c r="D278" s="24">
        <v>38</v>
      </c>
      <c r="E278" s="24">
        <v>15.17</v>
      </c>
      <c r="F278" s="26">
        <v>576.46</v>
      </c>
      <c r="G278" s="27">
        <v>150.16999999999999</v>
      </c>
      <c r="H278" s="24">
        <v>145.33000000000001</v>
      </c>
      <c r="I278" s="24">
        <v>150.16999999999999</v>
      </c>
      <c r="J278" s="25">
        <v>130.79</v>
      </c>
      <c r="K278" s="22">
        <v>576.46</v>
      </c>
    </row>
    <row r="279" spans="1:11" x14ac:dyDescent="0.3">
      <c r="A279" s="30" t="s">
        <v>579</v>
      </c>
      <c r="B279" s="31" t="s">
        <v>580</v>
      </c>
      <c r="C279" s="32" t="s">
        <v>45</v>
      </c>
      <c r="D279" s="24">
        <v>78</v>
      </c>
      <c r="E279" s="24">
        <v>25.98</v>
      </c>
      <c r="F279" s="26">
        <v>2026.44</v>
      </c>
      <c r="G279" s="27">
        <v>527.9</v>
      </c>
      <c r="H279" s="24">
        <v>510.87</v>
      </c>
      <c r="I279" s="24">
        <v>527.9</v>
      </c>
      <c r="J279" s="25">
        <v>459.77</v>
      </c>
      <c r="K279" s="22">
        <v>2026.44</v>
      </c>
    </row>
    <row r="280" spans="1:11" x14ac:dyDescent="0.3">
      <c r="A280" s="30" t="s">
        <v>581</v>
      </c>
      <c r="B280" s="31" t="s">
        <v>582</v>
      </c>
      <c r="C280" s="32" t="s">
        <v>583</v>
      </c>
      <c r="D280" s="24">
        <v>28</v>
      </c>
      <c r="E280" s="24">
        <v>8.51</v>
      </c>
      <c r="F280" s="26">
        <v>238.28</v>
      </c>
      <c r="G280" s="27">
        <v>62.07</v>
      </c>
      <c r="H280" s="24">
        <v>60.07</v>
      </c>
      <c r="I280" s="24">
        <v>62.07</v>
      </c>
      <c r="J280" s="25">
        <v>54.07</v>
      </c>
      <c r="K280" s="22">
        <v>238.28</v>
      </c>
    </row>
    <row r="281" spans="1:11" x14ac:dyDescent="0.3">
      <c r="A281" s="30" t="s">
        <v>584</v>
      </c>
      <c r="B281" s="31" t="s">
        <v>585</v>
      </c>
      <c r="C281" s="32" t="s">
        <v>93</v>
      </c>
      <c r="D281" s="24">
        <v>33.64</v>
      </c>
      <c r="E281" s="24">
        <v>51.32</v>
      </c>
      <c r="F281" s="26">
        <v>1726.4</v>
      </c>
      <c r="G281" s="27">
        <v>466.62</v>
      </c>
      <c r="H281" s="24">
        <v>1098.56</v>
      </c>
      <c r="I281" s="24">
        <v>161.22</v>
      </c>
      <c r="J281" s="25">
        <v>0</v>
      </c>
      <c r="K281" s="22">
        <v>1726.4</v>
      </c>
    </row>
    <row r="282" spans="1:11" x14ac:dyDescent="0.3">
      <c r="A282" s="30" t="s">
        <v>586</v>
      </c>
      <c r="B282" s="31" t="s">
        <v>587</v>
      </c>
      <c r="C282" s="32" t="s">
        <v>32</v>
      </c>
      <c r="D282" s="24">
        <v>1</v>
      </c>
      <c r="E282" s="24">
        <v>2350.85</v>
      </c>
      <c r="F282" s="26">
        <v>2350.85</v>
      </c>
      <c r="G282" s="27">
        <v>2350.85</v>
      </c>
      <c r="H282" s="24">
        <v>0</v>
      </c>
      <c r="I282" s="24">
        <v>0</v>
      </c>
      <c r="J282" s="25">
        <v>0</v>
      </c>
      <c r="K282" s="22">
        <v>2350.85</v>
      </c>
    </row>
    <row r="283" spans="1:11" x14ac:dyDescent="0.3">
      <c r="A283" s="30" t="s">
        <v>588</v>
      </c>
      <c r="B283" s="31" t="s">
        <v>589</v>
      </c>
      <c r="C283" s="32" t="s">
        <v>590</v>
      </c>
      <c r="D283" s="24">
        <v>0.2</v>
      </c>
      <c r="E283" s="24">
        <v>3.31</v>
      </c>
      <c r="F283" s="26">
        <v>0.66</v>
      </c>
      <c r="G283" s="27">
        <v>0</v>
      </c>
      <c r="H283" s="24">
        <v>0</v>
      </c>
      <c r="I283" s="24">
        <v>0</v>
      </c>
      <c r="J283" s="25">
        <v>0.66</v>
      </c>
      <c r="K283" s="22">
        <v>0.66</v>
      </c>
    </row>
    <row r="284" spans="1:11" x14ac:dyDescent="0.3">
      <c r="A284" s="30" t="s">
        <v>591</v>
      </c>
      <c r="B284" s="31" t="s">
        <v>592</v>
      </c>
      <c r="C284" s="32" t="s">
        <v>51</v>
      </c>
      <c r="D284" s="33">
        <v>4.0000000000000001E-3</v>
      </c>
      <c r="E284" s="24">
        <v>34.5</v>
      </c>
      <c r="F284" s="26">
        <v>0.14000000000000001</v>
      </c>
      <c r="G284" s="27">
        <v>0</v>
      </c>
      <c r="H284" s="24">
        <v>0</v>
      </c>
      <c r="I284" s="24">
        <v>0</v>
      </c>
      <c r="J284" s="25">
        <v>0.14000000000000001</v>
      </c>
      <c r="K284" s="22">
        <v>0.14000000000000001</v>
      </c>
    </row>
    <row r="285" spans="1:11" x14ac:dyDescent="0.3">
      <c r="A285" s="30" t="s">
        <v>593</v>
      </c>
      <c r="B285" s="31" t="s">
        <v>594</v>
      </c>
      <c r="C285" s="32" t="s">
        <v>45</v>
      </c>
      <c r="D285" s="24">
        <v>4.2</v>
      </c>
      <c r="E285" s="24">
        <v>26</v>
      </c>
      <c r="F285" s="26">
        <v>109.2</v>
      </c>
      <c r="G285" s="27">
        <v>0</v>
      </c>
      <c r="H285" s="24">
        <v>109.2</v>
      </c>
      <c r="I285" s="24">
        <v>0</v>
      </c>
      <c r="J285" s="25">
        <v>0</v>
      </c>
      <c r="K285" s="22">
        <v>109.2</v>
      </c>
    </row>
    <row r="286" spans="1:11" x14ac:dyDescent="0.3">
      <c r="A286" s="30" t="s">
        <v>595</v>
      </c>
      <c r="B286" s="31" t="s">
        <v>596</v>
      </c>
      <c r="C286" s="32" t="s">
        <v>597</v>
      </c>
      <c r="D286" s="24">
        <v>84.94</v>
      </c>
      <c r="E286" s="24">
        <v>2.0299999999999998</v>
      </c>
      <c r="F286" s="26">
        <v>172.43</v>
      </c>
      <c r="G286" s="27">
        <v>0</v>
      </c>
      <c r="H286" s="24">
        <v>149.80000000000001</v>
      </c>
      <c r="I286" s="24">
        <v>0</v>
      </c>
      <c r="J286" s="25">
        <v>22.63</v>
      </c>
      <c r="K286" s="22">
        <v>172.43</v>
      </c>
    </row>
    <row r="287" spans="1:11" x14ac:dyDescent="0.3">
      <c r="A287" s="30" t="s">
        <v>598</v>
      </c>
      <c r="B287" s="31" t="s">
        <v>599</v>
      </c>
      <c r="C287" s="32" t="s">
        <v>326</v>
      </c>
      <c r="D287" s="24">
        <v>3</v>
      </c>
      <c r="E287" s="24">
        <v>17.71</v>
      </c>
      <c r="F287" s="26">
        <v>53.13</v>
      </c>
      <c r="G287" s="27">
        <v>0</v>
      </c>
      <c r="H287" s="24">
        <v>0</v>
      </c>
      <c r="I287" s="24">
        <v>53.13</v>
      </c>
      <c r="J287" s="25">
        <v>0</v>
      </c>
      <c r="K287" s="22">
        <v>53.13</v>
      </c>
    </row>
    <row r="288" spans="1:11" x14ac:dyDescent="0.3">
      <c r="A288" s="30" t="s">
        <v>600</v>
      </c>
      <c r="B288" s="31" t="s">
        <v>601</v>
      </c>
      <c r="C288" s="32" t="s">
        <v>123</v>
      </c>
      <c r="D288" s="24">
        <v>3</v>
      </c>
      <c r="E288" s="24">
        <v>156</v>
      </c>
      <c r="F288" s="26">
        <v>468</v>
      </c>
      <c r="G288" s="27">
        <v>0</v>
      </c>
      <c r="H288" s="24">
        <v>0</v>
      </c>
      <c r="I288" s="24">
        <v>0</v>
      </c>
      <c r="J288" s="25">
        <v>468</v>
      </c>
      <c r="K288" s="22">
        <v>468</v>
      </c>
    </row>
    <row r="289" spans="1:11" x14ac:dyDescent="0.3">
      <c r="A289" s="30" t="s">
        <v>602</v>
      </c>
      <c r="B289" s="31" t="s">
        <v>603</v>
      </c>
      <c r="C289" s="32" t="s">
        <v>45</v>
      </c>
      <c r="D289" s="24">
        <v>9</v>
      </c>
      <c r="E289" s="24">
        <v>14.7</v>
      </c>
      <c r="F289" s="26">
        <v>132.30000000000001</v>
      </c>
      <c r="G289" s="27">
        <v>0</v>
      </c>
      <c r="H289" s="24">
        <v>132.30000000000001</v>
      </c>
      <c r="I289" s="24">
        <v>0</v>
      </c>
      <c r="J289" s="25">
        <v>0</v>
      </c>
      <c r="K289" s="22">
        <v>132.30000000000001</v>
      </c>
    </row>
    <row r="290" spans="1:11" x14ac:dyDescent="0.3">
      <c r="A290" s="30" t="s">
        <v>604</v>
      </c>
      <c r="B290" s="31" t="s">
        <v>605</v>
      </c>
      <c r="C290" s="32" t="s">
        <v>45</v>
      </c>
      <c r="D290" s="24">
        <v>14</v>
      </c>
      <c r="E290" s="24">
        <v>14.08</v>
      </c>
      <c r="F290" s="26">
        <v>197.12</v>
      </c>
      <c r="G290" s="27">
        <v>0</v>
      </c>
      <c r="H290" s="24">
        <v>0</v>
      </c>
      <c r="I290" s="24">
        <v>197.12</v>
      </c>
      <c r="J290" s="25">
        <v>0</v>
      </c>
      <c r="K290" s="22">
        <v>197.12</v>
      </c>
    </row>
    <row r="291" spans="1:11" x14ac:dyDescent="0.3">
      <c r="A291" s="30" t="s">
        <v>606</v>
      </c>
      <c r="B291" s="31" t="s">
        <v>607</v>
      </c>
      <c r="C291" s="32" t="s">
        <v>45</v>
      </c>
      <c r="D291" s="24">
        <v>2</v>
      </c>
      <c r="E291" s="24">
        <v>18.649999999999999</v>
      </c>
      <c r="F291" s="26">
        <v>37.299999999999997</v>
      </c>
      <c r="G291" s="27">
        <v>0</v>
      </c>
      <c r="H291" s="24">
        <v>0</v>
      </c>
      <c r="I291" s="24">
        <v>37.299999999999997</v>
      </c>
      <c r="J291" s="25">
        <v>0</v>
      </c>
      <c r="K291" s="22">
        <v>37.299999999999997</v>
      </c>
    </row>
    <row r="292" spans="1:11" x14ac:dyDescent="0.3">
      <c r="A292" s="30" t="s">
        <v>608</v>
      </c>
      <c r="B292" s="31" t="s">
        <v>609</v>
      </c>
      <c r="C292" s="32" t="s">
        <v>45</v>
      </c>
      <c r="D292" s="24">
        <v>3</v>
      </c>
      <c r="E292" s="24">
        <v>37.29</v>
      </c>
      <c r="F292" s="26">
        <v>111.87</v>
      </c>
      <c r="G292" s="27">
        <v>0</v>
      </c>
      <c r="H292" s="24">
        <v>0</v>
      </c>
      <c r="I292" s="24">
        <v>111.87</v>
      </c>
      <c r="J292" s="25">
        <v>0</v>
      </c>
      <c r="K292" s="22">
        <v>111.87</v>
      </c>
    </row>
    <row r="293" spans="1:11" x14ac:dyDescent="0.3">
      <c r="A293" s="30" t="s">
        <v>610</v>
      </c>
      <c r="B293" s="31" t="s">
        <v>611</v>
      </c>
      <c r="C293" s="32" t="s">
        <v>128</v>
      </c>
      <c r="D293" s="24">
        <v>7.5</v>
      </c>
      <c r="E293" s="24">
        <v>24.31</v>
      </c>
      <c r="F293" s="26">
        <v>182.33</v>
      </c>
      <c r="G293" s="27">
        <v>0</v>
      </c>
      <c r="H293" s="24">
        <v>182.33</v>
      </c>
      <c r="I293" s="24">
        <v>0</v>
      </c>
      <c r="J293" s="25">
        <v>0</v>
      </c>
      <c r="K293" s="22">
        <v>182.33</v>
      </c>
    </row>
    <row r="294" spans="1:11" x14ac:dyDescent="0.3">
      <c r="A294" s="30" t="s">
        <v>612</v>
      </c>
      <c r="B294" s="31" t="s">
        <v>613</v>
      </c>
      <c r="C294" s="32" t="s">
        <v>128</v>
      </c>
      <c r="D294" s="24">
        <v>9.35</v>
      </c>
      <c r="E294" s="24">
        <v>27.94</v>
      </c>
      <c r="F294" s="26">
        <v>261.24</v>
      </c>
      <c r="G294" s="27">
        <v>0</v>
      </c>
      <c r="H294" s="24">
        <v>261.24</v>
      </c>
      <c r="I294" s="24">
        <v>0</v>
      </c>
      <c r="J294" s="25">
        <v>0</v>
      </c>
      <c r="K294" s="22">
        <v>261.24</v>
      </c>
    </row>
    <row r="295" spans="1:11" x14ac:dyDescent="0.3">
      <c r="A295" s="30" t="s">
        <v>614</v>
      </c>
      <c r="B295" s="31" t="s">
        <v>615</v>
      </c>
      <c r="C295" s="32" t="s">
        <v>128</v>
      </c>
      <c r="D295" s="24">
        <v>2</v>
      </c>
      <c r="E295" s="24">
        <v>51.26</v>
      </c>
      <c r="F295" s="26">
        <v>102.52</v>
      </c>
      <c r="G295" s="27">
        <v>0</v>
      </c>
      <c r="H295" s="24">
        <v>102.52</v>
      </c>
      <c r="I295" s="24">
        <v>0</v>
      </c>
      <c r="J295" s="25">
        <v>0</v>
      </c>
      <c r="K295" s="22">
        <v>102.52</v>
      </c>
    </row>
    <row r="296" spans="1:11" x14ac:dyDescent="0.3">
      <c r="A296" s="30" t="s">
        <v>616</v>
      </c>
      <c r="B296" s="31" t="s">
        <v>617</v>
      </c>
      <c r="C296" s="32" t="s">
        <v>128</v>
      </c>
      <c r="D296" s="24">
        <v>2.5</v>
      </c>
      <c r="E296" s="24">
        <v>51.26</v>
      </c>
      <c r="F296" s="26">
        <v>128.15</v>
      </c>
      <c r="G296" s="27">
        <v>0</v>
      </c>
      <c r="H296" s="24">
        <v>128.15</v>
      </c>
      <c r="I296" s="24">
        <v>0</v>
      </c>
      <c r="J296" s="25">
        <v>0</v>
      </c>
      <c r="K296" s="22">
        <v>128.15</v>
      </c>
    </row>
    <row r="297" spans="1:11" x14ac:dyDescent="0.3">
      <c r="A297" s="30" t="s">
        <v>618</v>
      </c>
      <c r="B297" s="31" t="s">
        <v>619</v>
      </c>
      <c r="C297" s="32" t="s">
        <v>45</v>
      </c>
      <c r="D297" s="24">
        <v>16.27</v>
      </c>
      <c r="E297" s="24">
        <v>73.680000000000007</v>
      </c>
      <c r="F297" s="26">
        <v>1198.77</v>
      </c>
      <c r="G297" s="27">
        <v>1198.77</v>
      </c>
      <c r="H297" s="24">
        <v>0</v>
      </c>
      <c r="I297" s="24">
        <v>0</v>
      </c>
      <c r="J297" s="25">
        <v>0</v>
      </c>
      <c r="K297" s="22">
        <v>1198.77</v>
      </c>
    </row>
    <row r="298" spans="1:11" x14ac:dyDescent="0.3">
      <c r="A298" s="30" t="s">
        <v>620</v>
      </c>
      <c r="B298" s="31" t="s">
        <v>621</v>
      </c>
      <c r="C298" s="32" t="s">
        <v>45</v>
      </c>
      <c r="D298" s="24">
        <v>29.27</v>
      </c>
      <c r="E298" s="24">
        <v>2.12</v>
      </c>
      <c r="F298" s="26">
        <v>62.05</v>
      </c>
      <c r="G298" s="27">
        <v>0</v>
      </c>
      <c r="H298" s="24">
        <v>0</v>
      </c>
      <c r="I298" s="24">
        <v>42.24</v>
      </c>
      <c r="J298" s="25">
        <v>19.809999999999999</v>
      </c>
      <c r="K298" s="22">
        <v>62.05</v>
      </c>
    </row>
    <row r="299" spans="1:11" x14ac:dyDescent="0.3">
      <c r="A299" s="30" t="s">
        <v>622</v>
      </c>
      <c r="B299" s="31" t="s">
        <v>623</v>
      </c>
      <c r="C299" s="32" t="s">
        <v>624</v>
      </c>
      <c r="D299" s="24">
        <v>1099.04</v>
      </c>
      <c r="E299" s="24">
        <v>2.97</v>
      </c>
      <c r="F299" s="26">
        <v>3264.15</v>
      </c>
      <c r="G299" s="27">
        <v>0</v>
      </c>
      <c r="H299" s="24">
        <v>0</v>
      </c>
      <c r="I299" s="24">
        <v>530.24</v>
      </c>
      <c r="J299" s="25">
        <v>2733.91</v>
      </c>
      <c r="K299" s="22">
        <v>3264.15</v>
      </c>
    </row>
    <row r="300" spans="1:11" x14ac:dyDescent="0.3">
      <c r="A300" s="30" t="s">
        <v>625</v>
      </c>
      <c r="B300" s="31" t="s">
        <v>626</v>
      </c>
      <c r="C300" s="32" t="s">
        <v>624</v>
      </c>
      <c r="D300" s="24">
        <v>6215.68</v>
      </c>
      <c r="E300" s="24">
        <v>4.83</v>
      </c>
      <c r="F300" s="26">
        <v>30021.73</v>
      </c>
      <c r="G300" s="27">
        <v>3448.45</v>
      </c>
      <c r="H300" s="24">
        <v>18205.82</v>
      </c>
      <c r="I300" s="24">
        <v>8367.4600000000009</v>
      </c>
      <c r="J300" s="25">
        <v>0</v>
      </c>
      <c r="K300" s="22">
        <v>30021.73</v>
      </c>
    </row>
    <row r="301" spans="1:11" x14ac:dyDescent="0.3">
      <c r="A301" s="30" t="s">
        <v>627</v>
      </c>
      <c r="B301" s="31" t="s">
        <v>628</v>
      </c>
      <c r="C301" s="32" t="s">
        <v>624</v>
      </c>
      <c r="D301" s="24">
        <v>0.42</v>
      </c>
      <c r="E301" s="24">
        <v>4.83</v>
      </c>
      <c r="F301" s="26">
        <v>2.0299999999999998</v>
      </c>
      <c r="G301" s="27">
        <v>0</v>
      </c>
      <c r="H301" s="24">
        <v>0</v>
      </c>
      <c r="I301" s="24">
        <v>2.0299999999999998</v>
      </c>
      <c r="J301" s="25">
        <v>0</v>
      </c>
      <c r="K301" s="22">
        <v>2.0299999999999998</v>
      </c>
    </row>
    <row r="302" spans="1:11" x14ac:dyDescent="0.3">
      <c r="A302" s="30" t="s">
        <v>629</v>
      </c>
      <c r="B302" s="31" t="s">
        <v>630</v>
      </c>
      <c r="C302" s="32" t="s">
        <v>45</v>
      </c>
      <c r="D302" s="24">
        <v>1</v>
      </c>
      <c r="E302" s="24">
        <v>12.71</v>
      </c>
      <c r="F302" s="26">
        <v>12.71</v>
      </c>
      <c r="G302" s="27">
        <v>0</v>
      </c>
      <c r="H302" s="24">
        <v>0</v>
      </c>
      <c r="I302" s="24">
        <v>0</v>
      </c>
      <c r="J302" s="25">
        <v>12.71</v>
      </c>
      <c r="K302" s="22">
        <v>12.71</v>
      </c>
    </row>
    <row r="303" spans="1:11" x14ac:dyDescent="0.3">
      <c r="A303" s="30" t="s">
        <v>631</v>
      </c>
      <c r="B303" s="31" t="s">
        <v>632</v>
      </c>
      <c r="C303" s="32" t="s">
        <v>45</v>
      </c>
      <c r="D303" s="24">
        <v>1</v>
      </c>
      <c r="E303" s="24">
        <v>261.02</v>
      </c>
      <c r="F303" s="26">
        <v>261.02</v>
      </c>
      <c r="G303" s="27">
        <v>0</v>
      </c>
      <c r="H303" s="24">
        <v>0</v>
      </c>
      <c r="I303" s="24">
        <v>261.02</v>
      </c>
      <c r="J303" s="25">
        <v>0</v>
      </c>
      <c r="K303" s="22">
        <v>261.02</v>
      </c>
    </row>
    <row r="304" spans="1:11" x14ac:dyDescent="0.3">
      <c r="A304" s="30" t="s">
        <v>633</v>
      </c>
      <c r="B304" s="31" t="s">
        <v>634</v>
      </c>
      <c r="C304" s="32" t="s">
        <v>624</v>
      </c>
      <c r="D304" s="24">
        <v>32.54</v>
      </c>
      <c r="E304" s="24">
        <v>8.5</v>
      </c>
      <c r="F304" s="26">
        <v>276.58999999999997</v>
      </c>
      <c r="G304" s="27">
        <v>276.58999999999997</v>
      </c>
      <c r="H304" s="24">
        <v>0</v>
      </c>
      <c r="I304" s="24">
        <v>0</v>
      </c>
      <c r="J304" s="25">
        <v>0</v>
      </c>
      <c r="K304" s="22">
        <v>276.58999999999997</v>
      </c>
    </row>
    <row r="305" spans="1:11" x14ac:dyDescent="0.3">
      <c r="A305" s="30" t="s">
        <v>635</v>
      </c>
      <c r="B305" s="31" t="s">
        <v>636</v>
      </c>
      <c r="C305" s="32" t="s">
        <v>45</v>
      </c>
      <c r="D305" s="24">
        <v>3.68</v>
      </c>
      <c r="E305" s="24">
        <v>27.88</v>
      </c>
      <c r="F305" s="26">
        <v>102.6</v>
      </c>
      <c r="G305" s="27">
        <v>102.6</v>
      </c>
      <c r="H305" s="24">
        <v>0</v>
      </c>
      <c r="I305" s="24">
        <v>0</v>
      </c>
      <c r="J305" s="25">
        <v>0</v>
      </c>
      <c r="K305" s="22">
        <v>102.6</v>
      </c>
    </row>
    <row r="306" spans="1:11" x14ac:dyDescent="0.3">
      <c r="A306" s="30" t="s">
        <v>637</v>
      </c>
      <c r="B306" s="31" t="s">
        <v>638</v>
      </c>
      <c r="C306" s="32" t="s">
        <v>639</v>
      </c>
      <c r="D306" s="24">
        <v>1</v>
      </c>
      <c r="E306" s="24">
        <v>38.35</v>
      </c>
      <c r="F306" s="26">
        <v>38.35</v>
      </c>
      <c r="G306" s="27">
        <v>0</v>
      </c>
      <c r="H306" s="24">
        <v>0</v>
      </c>
      <c r="I306" s="24">
        <v>38.35</v>
      </c>
      <c r="J306" s="25">
        <v>0</v>
      </c>
      <c r="K306" s="22">
        <v>38.35</v>
      </c>
    </row>
    <row r="307" spans="1:11" x14ac:dyDescent="0.3">
      <c r="A307" s="30" t="s">
        <v>640</v>
      </c>
      <c r="B307" s="31" t="s">
        <v>641</v>
      </c>
      <c r="C307" s="32" t="s">
        <v>128</v>
      </c>
      <c r="D307" s="24">
        <v>2.83</v>
      </c>
      <c r="E307" s="24">
        <v>126.28</v>
      </c>
      <c r="F307" s="26">
        <v>357.37</v>
      </c>
      <c r="G307" s="27">
        <v>0</v>
      </c>
      <c r="H307" s="24">
        <v>0</v>
      </c>
      <c r="I307" s="24">
        <v>357.37</v>
      </c>
      <c r="J307" s="25">
        <v>0</v>
      </c>
      <c r="K307" s="22">
        <v>357.37</v>
      </c>
    </row>
    <row r="308" spans="1:11" x14ac:dyDescent="0.3">
      <c r="A308" s="30" t="s">
        <v>642</v>
      </c>
      <c r="B308" s="31" t="s">
        <v>643</v>
      </c>
      <c r="C308" s="32" t="s">
        <v>39</v>
      </c>
      <c r="D308" s="24">
        <v>0.67</v>
      </c>
      <c r="E308" s="24">
        <v>205.92</v>
      </c>
      <c r="F308" s="26">
        <v>137.97</v>
      </c>
      <c r="G308" s="27">
        <v>0</v>
      </c>
      <c r="H308" s="24">
        <v>0</v>
      </c>
      <c r="I308" s="24">
        <v>118.8</v>
      </c>
      <c r="J308" s="25">
        <v>19.170000000000002</v>
      </c>
      <c r="K308" s="22">
        <v>137.97</v>
      </c>
    </row>
    <row r="309" spans="1:11" x14ac:dyDescent="0.3">
      <c r="A309" s="30" t="s">
        <v>644</v>
      </c>
      <c r="B309" s="31" t="s">
        <v>645</v>
      </c>
      <c r="C309" s="32" t="s">
        <v>366</v>
      </c>
      <c r="D309" s="24">
        <v>0.75</v>
      </c>
      <c r="E309" s="24">
        <v>89.87</v>
      </c>
      <c r="F309" s="26">
        <v>67.400000000000006</v>
      </c>
      <c r="G309" s="27">
        <v>0</v>
      </c>
      <c r="H309" s="24">
        <v>0</v>
      </c>
      <c r="I309" s="24">
        <v>0</v>
      </c>
      <c r="J309" s="25">
        <v>67.400000000000006</v>
      </c>
      <c r="K309" s="22">
        <v>67.400000000000006</v>
      </c>
    </row>
    <row r="310" spans="1:11" x14ac:dyDescent="0.3">
      <c r="A310" s="30" t="s">
        <v>646</v>
      </c>
      <c r="B310" s="31" t="s">
        <v>647</v>
      </c>
      <c r="C310" s="32" t="s">
        <v>39</v>
      </c>
      <c r="D310" s="24">
        <v>0.03</v>
      </c>
      <c r="E310" s="24">
        <v>152.54</v>
      </c>
      <c r="F310" s="26">
        <v>4.58</v>
      </c>
      <c r="G310" s="27">
        <v>0</v>
      </c>
      <c r="H310" s="24">
        <v>0</v>
      </c>
      <c r="I310" s="24">
        <v>0</v>
      </c>
      <c r="J310" s="25">
        <v>4.58</v>
      </c>
      <c r="K310" s="22">
        <v>4.58</v>
      </c>
    </row>
    <row r="311" spans="1:11" x14ac:dyDescent="0.3">
      <c r="A311" s="30" t="s">
        <v>648</v>
      </c>
      <c r="B311" s="31" t="s">
        <v>649</v>
      </c>
      <c r="C311" s="32" t="s">
        <v>366</v>
      </c>
      <c r="D311" s="24">
        <v>0.67</v>
      </c>
      <c r="E311" s="24">
        <v>211.86</v>
      </c>
      <c r="F311" s="26">
        <v>141.94999999999999</v>
      </c>
      <c r="G311" s="27">
        <v>0</v>
      </c>
      <c r="H311" s="24">
        <v>0</v>
      </c>
      <c r="I311" s="24">
        <v>122.23</v>
      </c>
      <c r="J311" s="25">
        <v>19.72</v>
      </c>
      <c r="K311" s="22">
        <v>141.94999999999999</v>
      </c>
    </row>
    <row r="312" spans="1:11" x14ac:dyDescent="0.3">
      <c r="A312" s="30" t="s">
        <v>650</v>
      </c>
      <c r="B312" s="31" t="s">
        <v>651</v>
      </c>
      <c r="C312" s="32" t="s">
        <v>366</v>
      </c>
      <c r="D312" s="24">
        <v>0.54</v>
      </c>
      <c r="E312" s="24">
        <v>30.8</v>
      </c>
      <c r="F312" s="26">
        <v>16.63</v>
      </c>
      <c r="G312" s="27">
        <v>0</v>
      </c>
      <c r="H312" s="24">
        <v>0</v>
      </c>
      <c r="I312" s="24">
        <v>0</v>
      </c>
      <c r="J312" s="25">
        <v>16.63</v>
      </c>
      <c r="K312" s="22">
        <v>16.63</v>
      </c>
    </row>
    <row r="313" spans="1:11" x14ac:dyDescent="0.3">
      <c r="A313" s="30" t="s">
        <v>652</v>
      </c>
      <c r="B313" s="31" t="s">
        <v>653</v>
      </c>
      <c r="C313" s="32" t="s">
        <v>39</v>
      </c>
      <c r="D313" s="24">
        <v>42.14</v>
      </c>
      <c r="E313" s="24">
        <v>57.59</v>
      </c>
      <c r="F313" s="26">
        <v>2426.84</v>
      </c>
      <c r="G313" s="27">
        <v>0</v>
      </c>
      <c r="H313" s="24">
        <v>518.84</v>
      </c>
      <c r="I313" s="24">
        <v>402.56</v>
      </c>
      <c r="J313" s="25">
        <v>1505.44</v>
      </c>
      <c r="K313" s="22">
        <v>2426.84</v>
      </c>
    </row>
    <row r="314" spans="1:11" x14ac:dyDescent="0.3">
      <c r="A314" s="30" t="s">
        <v>654</v>
      </c>
      <c r="B314" s="31" t="s">
        <v>655</v>
      </c>
      <c r="C314" s="32" t="s">
        <v>366</v>
      </c>
      <c r="D314" s="24">
        <v>1.92</v>
      </c>
      <c r="E314" s="24">
        <v>52.77</v>
      </c>
      <c r="F314" s="26">
        <v>101.32</v>
      </c>
      <c r="G314" s="27">
        <v>0</v>
      </c>
      <c r="H314" s="24">
        <v>0</v>
      </c>
      <c r="I314" s="24">
        <v>101.32</v>
      </c>
      <c r="J314" s="25">
        <v>0</v>
      </c>
      <c r="K314" s="22">
        <v>101.32</v>
      </c>
    </row>
    <row r="315" spans="1:11" x14ac:dyDescent="0.3">
      <c r="A315" s="30" t="s">
        <v>656</v>
      </c>
      <c r="B315" s="31" t="s">
        <v>657</v>
      </c>
      <c r="C315" s="32" t="s">
        <v>366</v>
      </c>
      <c r="D315" s="24">
        <v>0.23</v>
      </c>
      <c r="E315" s="24">
        <v>24.2</v>
      </c>
      <c r="F315" s="26">
        <v>5.57</v>
      </c>
      <c r="G315" s="27">
        <v>0</v>
      </c>
      <c r="H315" s="24">
        <v>0</v>
      </c>
      <c r="I315" s="24">
        <v>0</v>
      </c>
      <c r="J315" s="25">
        <v>5.57</v>
      </c>
      <c r="K315" s="22">
        <v>5.57</v>
      </c>
    </row>
    <row r="316" spans="1:11" x14ac:dyDescent="0.3">
      <c r="A316" s="30" t="s">
        <v>658</v>
      </c>
      <c r="B316" s="31" t="s">
        <v>659</v>
      </c>
      <c r="C316" s="32" t="s">
        <v>366</v>
      </c>
      <c r="D316" s="24">
        <v>0.25</v>
      </c>
      <c r="E316" s="24">
        <v>61.44</v>
      </c>
      <c r="F316" s="26">
        <v>15.36</v>
      </c>
      <c r="G316" s="27">
        <v>0</v>
      </c>
      <c r="H316" s="24">
        <v>0</v>
      </c>
      <c r="I316" s="24">
        <v>0</v>
      </c>
      <c r="J316" s="25">
        <v>15.36</v>
      </c>
      <c r="K316" s="22">
        <v>15.36</v>
      </c>
    </row>
    <row r="317" spans="1:11" x14ac:dyDescent="0.3">
      <c r="A317" s="30" t="s">
        <v>660</v>
      </c>
      <c r="B317" s="31" t="s">
        <v>661</v>
      </c>
      <c r="C317" s="32" t="s">
        <v>484</v>
      </c>
      <c r="D317" s="24">
        <v>6.34</v>
      </c>
      <c r="E317" s="24">
        <v>25.34</v>
      </c>
      <c r="F317" s="26">
        <v>160.66</v>
      </c>
      <c r="G317" s="27">
        <v>160.66</v>
      </c>
      <c r="H317" s="24">
        <v>0</v>
      </c>
      <c r="I317" s="24">
        <v>0</v>
      </c>
      <c r="J317" s="25">
        <v>0</v>
      </c>
      <c r="K317" s="22">
        <v>160.66</v>
      </c>
    </row>
    <row r="318" spans="1:11" x14ac:dyDescent="0.3">
      <c r="A318" s="30" t="s">
        <v>662</v>
      </c>
      <c r="B318" s="31" t="s">
        <v>663</v>
      </c>
      <c r="C318" s="32" t="s">
        <v>123</v>
      </c>
      <c r="D318" s="24">
        <v>18.29</v>
      </c>
      <c r="E318" s="24">
        <v>8.39</v>
      </c>
      <c r="F318" s="26">
        <v>153.44999999999999</v>
      </c>
      <c r="G318" s="27">
        <v>0</v>
      </c>
      <c r="H318" s="24">
        <v>0</v>
      </c>
      <c r="I318" s="24">
        <v>128.41999999999999</v>
      </c>
      <c r="J318" s="25">
        <v>25.03</v>
      </c>
      <c r="K318" s="22">
        <v>153.44999999999999</v>
      </c>
    </row>
    <row r="319" spans="1:11" x14ac:dyDescent="0.3">
      <c r="A319" s="30" t="s">
        <v>664</v>
      </c>
      <c r="B319" s="31" t="s">
        <v>665</v>
      </c>
      <c r="C319" s="32" t="s">
        <v>45</v>
      </c>
      <c r="D319" s="24">
        <v>1</v>
      </c>
      <c r="E319" s="24">
        <v>168.3</v>
      </c>
      <c r="F319" s="26">
        <v>168.3</v>
      </c>
      <c r="G319" s="27">
        <v>0</v>
      </c>
      <c r="H319" s="24">
        <v>0</v>
      </c>
      <c r="I319" s="24">
        <v>0</v>
      </c>
      <c r="J319" s="25">
        <v>168.3</v>
      </c>
      <c r="K319" s="22">
        <v>168.3</v>
      </c>
    </row>
    <row r="320" spans="1:11" x14ac:dyDescent="0.3">
      <c r="A320" s="30" t="s">
        <v>666</v>
      </c>
      <c r="B320" s="31" t="s">
        <v>667</v>
      </c>
      <c r="C320" s="32" t="s">
        <v>484</v>
      </c>
      <c r="D320" s="24">
        <v>18.010000000000002</v>
      </c>
      <c r="E320" s="24">
        <v>67</v>
      </c>
      <c r="F320" s="26">
        <v>1206.67</v>
      </c>
      <c r="G320" s="27">
        <v>0</v>
      </c>
      <c r="H320" s="24">
        <v>0</v>
      </c>
      <c r="I320" s="24">
        <v>1206.67</v>
      </c>
      <c r="J320" s="25">
        <v>0</v>
      </c>
      <c r="K320" s="22">
        <v>1206.67</v>
      </c>
    </row>
    <row r="321" spans="1:11" x14ac:dyDescent="0.3">
      <c r="A321" s="30" t="s">
        <v>668</v>
      </c>
      <c r="B321" s="31" t="s">
        <v>669</v>
      </c>
      <c r="C321" s="32" t="s">
        <v>128</v>
      </c>
      <c r="D321" s="24">
        <v>4.47</v>
      </c>
      <c r="E321" s="24">
        <v>26.78</v>
      </c>
      <c r="F321" s="26">
        <v>119.71</v>
      </c>
      <c r="G321" s="27">
        <v>0</v>
      </c>
      <c r="H321" s="24">
        <v>0</v>
      </c>
      <c r="I321" s="24">
        <v>119.71</v>
      </c>
      <c r="J321" s="25">
        <v>0</v>
      </c>
      <c r="K321" s="22">
        <v>119.71</v>
      </c>
    </row>
    <row r="322" spans="1:11" x14ac:dyDescent="0.3">
      <c r="A322" s="30" t="s">
        <v>670</v>
      </c>
      <c r="B322" s="31" t="s">
        <v>671</v>
      </c>
      <c r="C322" s="32" t="s">
        <v>128</v>
      </c>
      <c r="D322" s="24">
        <v>3.25</v>
      </c>
      <c r="E322" s="24">
        <v>42</v>
      </c>
      <c r="F322" s="26">
        <v>136.5</v>
      </c>
      <c r="G322" s="27">
        <v>0</v>
      </c>
      <c r="H322" s="24">
        <v>0</v>
      </c>
      <c r="I322" s="24">
        <v>0</v>
      </c>
      <c r="J322" s="25">
        <v>136.5</v>
      </c>
      <c r="K322" s="22">
        <v>136.5</v>
      </c>
    </row>
    <row r="323" spans="1:11" x14ac:dyDescent="0.3">
      <c r="A323" s="30" t="s">
        <v>672</v>
      </c>
      <c r="B323" s="31" t="s">
        <v>673</v>
      </c>
      <c r="C323" s="32" t="s">
        <v>674</v>
      </c>
      <c r="D323" s="24">
        <v>1.71</v>
      </c>
      <c r="E323" s="24">
        <v>7.2</v>
      </c>
      <c r="F323" s="26">
        <v>12.31</v>
      </c>
      <c r="G323" s="27">
        <v>0</v>
      </c>
      <c r="H323" s="24">
        <v>0.32</v>
      </c>
      <c r="I323" s="24">
        <v>3.25</v>
      </c>
      <c r="J323" s="25">
        <v>8.74</v>
      </c>
      <c r="K323" s="22">
        <v>12.31</v>
      </c>
    </row>
    <row r="324" spans="1:11" x14ac:dyDescent="0.3">
      <c r="A324" s="30" t="s">
        <v>675</v>
      </c>
      <c r="B324" s="31" t="s">
        <v>676</v>
      </c>
      <c r="C324" s="32" t="s">
        <v>45</v>
      </c>
      <c r="D324" s="24">
        <v>2.2400000000000002</v>
      </c>
      <c r="E324" s="24">
        <v>506.25</v>
      </c>
      <c r="F324" s="26">
        <v>1134</v>
      </c>
      <c r="G324" s="27">
        <v>0</v>
      </c>
      <c r="H324" s="24">
        <v>0</v>
      </c>
      <c r="I324" s="24">
        <v>283.5</v>
      </c>
      <c r="J324" s="25">
        <v>850.5</v>
      </c>
      <c r="K324" s="22">
        <v>1134</v>
      </c>
    </row>
    <row r="325" spans="1:11" x14ac:dyDescent="0.3">
      <c r="A325" s="30" t="s">
        <v>677</v>
      </c>
      <c r="B325" s="31" t="s">
        <v>678</v>
      </c>
      <c r="C325" s="32" t="s">
        <v>45</v>
      </c>
      <c r="D325" s="24">
        <v>22.01</v>
      </c>
      <c r="E325" s="24">
        <v>1.05</v>
      </c>
      <c r="F325" s="26">
        <v>23.11</v>
      </c>
      <c r="G325" s="27">
        <v>0</v>
      </c>
      <c r="H325" s="24">
        <v>0</v>
      </c>
      <c r="I325" s="24">
        <v>0</v>
      </c>
      <c r="J325" s="25">
        <v>23.11</v>
      </c>
      <c r="K325" s="22">
        <v>23.11</v>
      </c>
    </row>
    <row r="326" spans="1:11" x14ac:dyDescent="0.3">
      <c r="A326" s="30" t="s">
        <v>679</v>
      </c>
      <c r="B326" s="31" t="s">
        <v>680</v>
      </c>
      <c r="C326" s="32" t="s">
        <v>128</v>
      </c>
      <c r="D326" s="24">
        <v>4</v>
      </c>
      <c r="E326" s="24">
        <v>9.35</v>
      </c>
      <c r="F326" s="26">
        <v>37.4</v>
      </c>
      <c r="G326" s="27">
        <v>0</v>
      </c>
      <c r="H326" s="24">
        <v>0</v>
      </c>
      <c r="I326" s="24">
        <v>0</v>
      </c>
      <c r="J326" s="25">
        <v>37.4</v>
      </c>
      <c r="K326" s="22">
        <v>37.4</v>
      </c>
    </row>
    <row r="327" spans="1:11" x14ac:dyDescent="0.3">
      <c r="A327" s="30" t="s">
        <v>681</v>
      </c>
      <c r="B327" s="31" t="s">
        <v>682</v>
      </c>
      <c r="C327" s="32" t="s">
        <v>45</v>
      </c>
      <c r="D327" s="24">
        <v>3</v>
      </c>
      <c r="E327" s="24">
        <v>11</v>
      </c>
      <c r="F327" s="26">
        <v>33</v>
      </c>
      <c r="G327" s="27">
        <v>0</v>
      </c>
      <c r="H327" s="24">
        <v>33</v>
      </c>
      <c r="I327" s="24">
        <v>0</v>
      </c>
      <c r="J327" s="25">
        <v>0</v>
      </c>
      <c r="K327" s="22">
        <v>33</v>
      </c>
    </row>
    <row r="328" spans="1:11" x14ac:dyDescent="0.3">
      <c r="A328" s="30" t="s">
        <v>683</v>
      </c>
      <c r="B328" s="31" t="s">
        <v>684</v>
      </c>
      <c r="C328" s="32" t="s">
        <v>128</v>
      </c>
      <c r="D328" s="24">
        <v>10</v>
      </c>
      <c r="E328" s="24">
        <v>35.42</v>
      </c>
      <c r="F328" s="26">
        <v>354.2</v>
      </c>
      <c r="G328" s="27">
        <v>0</v>
      </c>
      <c r="H328" s="24">
        <v>0</v>
      </c>
      <c r="I328" s="24">
        <v>354.2</v>
      </c>
      <c r="J328" s="25">
        <v>0</v>
      </c>
      <c r="K328" s="22">
        <v>354.2</v>
      </c>
    </row>
    <row r="329" spans="1:11" x14ac:dyDescent="0.3">
      <c r="A329" s="30" t="s">
        <v>685</v>
      </c>
      <c r="B329" s="31" t="s">
        <v>686</v>
      </c>
      <c r="C329" s="32" t="s">
        <v>128</v>
      </c>
      <c r="D329" s="24">
        <v>7</v>
      </c>
      <c r="E329" s="24">
        <v>25.62</v>
      </c>
      <c r="F329" s="26">
        <v>179.34</v>
      </c>
      <c r="G329" s="27">
        <v>0</v>
      </c>
      <c r="H329" s="24">
        <v>0</v>
      </c>
      <c r="I329" s="24">
        <v>179.34</v>
      </c>
      <c r="J329" s="25">
        <v>0</v>
      </c>
      <c r="K329" s="22">
        <v>179.34</v>
      </c>
    </row>
    <row r="330" spans="1:11" x14ac:dyDescent="0.3">
      <c r="A330" s="30" t="s">
        <v>687</v>
      </c>
      <c r="B330" s="31" t="s">
        <v>688</v>
      </c>
      <c r="C330" s="32" t="s">
        <v>128</v>
      </c>
      <c r="D330" s="24">
        <v>16</v>
      </c>
      <c r="E330" s="24">
        <v>13.99</v>
      </c>
      <c r="F330" s="26">
        <v>223.84</v>
      </c>
      <c r="G330" s="27">
        <v>27.98</v>
      </c>
      <c r="H330" s="24">
        <v>0</v>
      </c>
      <c r="I330" s="24">
        <v>195.86</v>
      </c>
      <c r="J330" s="25">
        <v>0</v>
      </c>
      <c r="K330" s="22">
        <v>223.84</v>
      </c>
    </row>
    <row r="331" spans="1:11" x14ac:dyDescent="0.3">
      <c r="A331" s="30" t="s">
        <v>689</v>
      </c>
      <c r="B331" s="31" t="s">
        <v>690</v>
      </c>
      <c r="C331" s="32" t="s">
        <v>45</v>
      </c>
      <c r="D331" s="24">
        <v>65</v>
      </c>
      <c r="E331" s="24">
        <v>5.72</v>
      </c>
      <c r="F331" s="26">
        <v>371.8</v>
      </c>
      <c r="G331" s="27">
        <v>97.24</v>
      </c>
      <c r="H331" s="24">
        <v>274.56</v>
      </c>
      <c r="I331" s="24">
        <v>0</v>
      </c>
      <c r="J331" s="25">
        <v>0</v>
      </c>
      <c r="K331" s="22">
        <v>371.8</v>
      </c>
    </row>
    <row r="332" spans="1:11" x14ac:dyDescent="0.3">
      <c r="A332" s="30" t="s">
        <v>691</v>
      </c>
      <c r="B332" s="31" t="s">
        <v>692</v>
      </c>
      <c r="C332" s="32" t="s">
        <v>45</v>
      </c>
      <c r="D332" s="24">
        <v>35.61</v>
      </c>
      <c r="E332" s="24">
        <v>1.21</v>
      </c>
      <c r="F332" s="26">
        <v>43.09</v>
      </c>
      <c r="G332" s="27">
        <v>0</v>
      </c>
      <c r="H332" s="24">
        <v>43.09</v>
      </c>
      <c r="I332" s="24">
        <v>0</v>
      </c>
      <c r="J332" s="25">
        <v>0</v>
      </c>
      <c r="K332" s="22">
        <v>43.09</v>
      </c>
    </row>
    <row r="333" spans="1:11" x14ac:dyDescent="0.3">
      <c r="A333" s="30" t="s">
        <v>693</v>
      </c>
      <c r="B333" s="31" t="s">
        <v>694</v>
      </c>
      <c r="C333" s="32" t="s">
        <v>45</v>
      </c>
      <c r="D333" s="24">
        <v>37.159999999999997</v>
      </c>
      <c r="E333" s="24">
        <v>1.54</v>
      </c>
      <c r="F333" s="26">
        <v>57.23</v>
      </c>
      <c r="G333" s="27">
        <v>27.25</v>
      </c>
      <c r="H333" s="24">
        <v>29.98</v>
      </c>
      <c r="I333" s="24">
        <v>0</v>
      </c>
      <c r="J333" s="25">
        <v>0</v>
      </c>
      <c r="K333" s="22">
        <v>57.23</v>
      </c>
    </row>
    <row r="334" spans="1:11" x14ac:dyDescent="0.3">
      <c r="A334" s="30" t="s">
        <v>695</v>
      </c>
      <c r="B334" s="31" t="s">
        <v>696</v>
      </c>
      <c r="C334" s="32" t="s">
        <v>45</v>
      </c>
      <c r="D334" s="24">
        <v>9.43</v>
      </c>
      <c r="E334" s="24">
        <v>1.76</v>
      </c>
      <c r="F334" s="26">
        <v>16.600000000000001</v>
      </c>
      <c r="G334" s="27">
        <v>0</v>
      </c>
      <c r="H334" s="24">
        <v>16.600000000000001</v>
      </c>
      <c r="I334" s="24">
        <v>0</v>
      </c>
      <c r="J334" s="25">
        <v>0</v>
      </c>
      <c r="K334" s="22">
        <v>16.600000000000001</v>
      </c>
    </row>
    <row r="335" spans="1:11" x14ac:dyDescent="0.3">
      <c r="A335" s="30" t="s">
        <v>697</v>
      </c>
      <c r="B335" s="31" t="s">
        <v>698</v>
      </c>
      <c r="C335" s="32" t="s">
        <v>128</v>
      </c>
      <c r="D335" s="24">
        <v>4</v>
      </c>
      <c r="E335" s="24">
        <v>13.97</v>
      </c>
      <c r="F335" s="26">
        <v>55.88</v>
      </c>
      <c r="G335" s="27">
        <v>0</v>
      </c>
      <c r="H335" s="24">
        <v>0</v>
      </c>
      <c r="I335" s="24">
        <v>0</v>
      </c>
      <c r="J335" s="25">
        <v>55.88</v>
      </c>
      <c r="K335" s="22">
        <v>55.88</v>
      </c>
    </row>
    <row r="336" spans="1:11" x14ac:dyDescent="0.3">
      <c r="A336" s="30" t="s">
        <v>699</v>
      </c>
      <c r="B336" s="31" t="s">
        <v>700</v>
      </c>
      <c r="C336" s="32" t="s">
        <v>128</v>
      </c>
      <c r="D336" s="24">
        <v>2</v>
      </c>
      <c r="E336" s="24">
        <v>11.22</v>
      </c>
      <c r="F336" s="26">
        <v>22.44</v>
      </c>
      <c r="G336" s="27">
        <v>0</v>
      </c>
      <c r="H336" s="24">
        <v>22.44</v>
      </c>
      <c r="I336" s="24">
        <v>0</v>
      </c>
      <c r="J336" s="25">
        <v>0</v>
      </c>
      <c r="K336" s="22">
        <v>22.44</v>
      </c>
    </row>
    <row r="337" spans="1:11" x14ac:dyDescent="0.3">
      <c r="A337" s="30" t="s">
        <v>701</v>
      </c>
      <c r="B337" s="31" t="s">
        <v>702</v>
      </c>
      <c r="C337" s="32" t="s">
        <v>128</v>
      </c>
      <c r="D337" s="24">
        <v>1</v>
      </c>
      <c r="E337" s="24">
        <v>23.32</v>
      </c>
      <c r="F337" s="26">
        <v>23.32</v>
      </c>
      <c r="G337" s="27">
        <v>0</v>
      </c>
      <c r="H337" s="24">
        <v>0</v>
      </c>
      <c r="I337" s="24">
        <v>23.32</v>
      </c>
      <c r="J337" s="25">
        <v>0</v>
      </c>
      <c r="K337" s="22">
        <v>23.32</v>
      </c>
    </row>
    <row r="338" spans="1:11" x14ac:dyDescent="0.3">
      <c r="A338" s="30" t="s">
        <v>703</v>
      </c>
      <c r="B338" s="31" t="s">
        <v>704</v>
      </c>
      <c r="C338" s="32" t="s">
        <v>128</v>
      </c>
      <c r="D338" s="24">
        <v>3</v>
      </c>
      <c r="E338" s="24">
        <v>20.52</v>
      </c>
      <c r="F338" s="26">
        <v>61.56</v>
      </c>
      <c r="G338" s="27">
        <v>0</v>
      </c>
      <c r="H338" s="24">
        <v>0</v>
      </c>
      <c r="I338" s="24">
        <v>61.56</v>
      </c>
      <c r="J338" s="25">
        <v>0</v>
      </c>
      <c r="K338" s="22">
        <v>61.56</v>
      </c>
    </row>
    <row r="339" spans="1:11" x14ac:dyDescent="0.3">
      <c r="A339" s="30" t="s">
        <v>705</v>
      </c>
      <c r="B339" s="31" t="s">
        <v>706</v>
      </c>
      <c r="C339" s="32" t="s">
        <v>128</v>
      </c>
      <c r="D339" s="24">
        <v>4.2</v>
      </c>
      <c r="E339" s="24">
        <v>9.35</v>
      </c>
      <c r="F339" s="26">
        <v>39.270000000000003</v>
      </c>
      <c r="G339" s="27">
        <v>0</v>
      </c>
      <c r="H339" s="24">
        <v>39.270000000000003</v>
      </c>
      <c r="I339" s="24">
        <v>0</v>
      </c>
      <c r="J339" s="25">
        <v>0</v>
      </c>
      <c r="K339" s="22">
        <v>39.270000000000003</v>
      </c>
    </row>
    <row r="340" spans="1:11" x14ac:dyDescent="0.3">
      <c r="A340" s="30" t="s">
        <v>707</v>
      </c>
      <c r="B340" s="31" t="s">
        <v>708</v>
      </c>
      <c r="C340" s="32" t="s">
        <v>128</v>
      </c>
      <c r="D340" s="24">
        <v>2</v>
      </c>
      <c r="E340" s="24">
        <v>24.31</v>
      </c>
      <c r="F340" s="26">
        <v>48.62</v>
      </c>
      <c r="G340" s="27">
        <v>0</v>
      </c>
      <c r="H340" s="24">
        <v>48.62</v>
      </c>
      <c r="I340" s="24">
        <v>0</v>
      </c>
      <c r="J340" s="25">
        <v>0</v>
      </c>
      <c r="K340" s="22">
        <v>48.62</v>
      </c>
    </row>
    <row r="341" spans="1:11" x14ac:dyDescent="0.3">
      <c r="A341" s="30" t="s">
        <v>709</v>
      </c>
      <c r="B341" s="31" t="s">
        <v>710</v>
      </c>
      <c r="C341" s="32" t="s">
        <v>32</v>
      </c>
      <c r="D341" s="24">
        <v>1</v>
      </c>
      <c r="E341" s="24">
        <v>22</v>
      </c>
      <c r="F341" s="26">
        <v>22</v>
      </c>
      <c r="G341" s="27">
        <v>0</v>
      </c>
      <c r="H341" s="24">
        <v>0</v>
      </c>
      <c r="I341" s="24">
        <v>0</v>
      </c>
      <c r="J341" s="25">
        <v>22</v>
      </c>
      <c r="K341" s="22">
        <v>22</v>
      </c>
    </row>
    <row r="342" spans="1:11" x14ac:dyDescent="0.3">
      <c r="A342" s="30" t="s">
        <v>711</v>
      </c>
      <c r="B342" s="31" t="s">
        <v>712</v>
      </c>
      <c r="C342" s="32" t="s">
        <v>45</v>
      </c>
      <c r="D342" s="24">
        <v>1</v>
      </c>
      <c r="E342" s="24">
        <v>18.649999999999999</v>
      </c>
      <c r="F342" s="26">
        <v>18.649999999999999</v>
      </c>
      <c r="G342" s="27">
        <v>0</v>
      </c>
      <c r="H342" s="24">
        <v>0</v>
      </c>
      <c r="I342" s="24">
        <v>18.649999999999999</v>
      </c>
      <c r="J342" s="25">
        <v>0</v>
      </c>
      <c r="K342" s="22">
        <v>18.649999999999999</v>
      </c>
    </row>
    <row r="343" spans="1:11" x14ac:dyDescent="0.3">
      <c r="A343" s="30" t="s">
        <v>713</v>
      </c>
      <c r="B343" s="31" t="s">
        <v>714</v>
      </c>
      <c r="C343" s="32" t="s">
        <v>128</v>
      </c>
      <c r="D343" s="24">
        <v>4</v>
      </c>
      <c r="E343" s="24">
        <v>23.32</v>
      </c>
      <c r="F343" s="26">
        <v>93.28</v>
      </c>
      <c r="G343" s="27">
        <v>0</v>
      </c>
      <c r="H343" s="24">
        <v>0</v>
      </c>
      <c r="I343" s="24">
        <v>93.28</v>
      </c>
      <c r="J343" s="25">
        <v>0</v>
      </c>
      <c r="K343" s="22">
        <v>93.28</v>
      </c>
    </row>
    <row r="344" spans="1:11" x14ac:dyDescent="0.3">
      <c r="A344" s="30" t="s">
        <v>715</v>
      </c>
      <c r="B344" s="31" t="s">
        <v>716</v>
      </c>
      <c r="C344" s="32" t="s">
        <v>128</v>
      </c>
      <c r="D344" s="24">
        <v>7</v>
      </c>
      <c r="E344" s="24">
        <v>29.83</v>
      </c>
      <c r="F344" s="26">
        <v>208.81</v>
      </c>
      <c r="G344" s="27">
        <v>0</v>
      </c>
      <c r="H344" s="24">
        <v>0</v>
      </c>
      <c r="I344" s="24">
        <v>208.81</v>
      </c>
      <c r="J344" s="25">
        <v>0</v>
      </c>
      <c r="K344" s="22">
        <v>208.81</v>
      </c>
    </row>
    <row r="345" spans="1:11" x14ac:dyDescent="0.3">
      <c r="A345" s="30" t="s">
        <v>717</v>
      </c>
      <c r="B345" s="31" t="s">
        <v>718</v>
      </c>
      <c r="C345" s="32" t="s">
        <v>128</v>
      </c>
      <c r="D345" s="24">
        <v>10</v>
      </c>
      <c r="E345" s="24">
        <v>11.22</v>
      </c>
      <c r="F345" s="26">
        <v>112.2</v>
      </c>
      <c r="G345" s="27">
        <v>22.44</v>
      </c>
      <c r="H345" s="24">
        <v>0</v>
      </c>
      <c r="I345" s="24">
        <v>89.76</v>
      </c>
      <c r="J345" s="25">
        <v>0</v>
      </c>
      <c r="K345" s="22">
        <v>112.2</v>
      </c>
    </row>
    <row r="346" spans="1:11" x14ac:dyDescent="0.3">
      <c r="A346" s="30" t="s">
        <v>719</v>
      </c>
      <c r="B346" s="31" t="s">
        <v>720</v>
      </c>
      <c r="C346" s="32" t="s">
        <v>45</v>
      </c>
      <c r="D346" s="24">
        <v>2</v>
      </c>
      <c r="E346" s="24">
        <v>39.159999999999997</v>
      </c>
      <c r="F346" s="26">
        <v>78.319999999999993</v>
      </c>
      <c r="G346" s="27">
        <v>0</v>
      </c>
      <c r="H346" s="24">
        <v>78.319999999999993</v>
      </c>
      <c r="I346" s="24">
        <v>0</v>
      </c>
      <c r="J346" s="25">
        <v>0</v>
      </c>
      <c r="K346" s="22">
        <v>78.319999999999993</v>
      </c>
    </row>
    <row r="347" spans="1:11" x14ac:dyDescent="0.3">
      <c r="A347" s="30" t="s">
        <v>721</v>
      </c>
      <c r="B347" s="31" t="s">
        <v>722</v>
      </c>
      <c r="C347" s="32" t="s">
        <v>128</v>
      </c>
      <c r="D347" s="24">
        <v>3.86</v>
      </c>
      <c r="E347" s="24">
        <v>60.61</v>
      </c>
      <c r="F347" s="26">
        <v>233.95</v>
      </c>
      <c r="G347" s="27">
        <v>0</v>
      </c>
      <c r="H347" s="24">
        <v>233.95</v>
      </c>
      <c r="I347" s="24">
        <v>0</v>
      </c>
      <c r="J347" s="25">
        <v>0</v>
      </c>
      <c r="K347" s="22">
        <v>233.95</v>
      </c>
    </row>
    <row r="348" spans="1:11" x14ac:dyDescent="0.3">
      <c r="A348" s="30" t="s">
        <v>723</v>
      </c>
      <c r="B348" s="31" t="s">
        <v>724</v>
      </c>
      <c r="C348" s="32" t="s">
        <v>45</v>
      </c>
      <c r="D348" s="24">
        <v>15</v>
      </c>
      <c r="E348" s="24">
        <v>17.8</v>
      </c>
      <c r="F348" s="26">
        <v>267</v>
      </c>
      <c r="G348" s="27">
        <v>0</v>
      </c>
      <c r="H348" s="24">
        <v>267</v>
      </c>
      <c r="I348" s="24">
        <v>0</v>
      </c>
      <c r="J348" s="25">
        <v>0</v>
      </c>
      <c r="K348" s="22">
        <v>267</v>
      </c>
    </row>
    <row r="349" spans="1:11" x14ac:dyDescent="0.3">
      <c r="A349" s="30" t="s">
        <v>725</v>
      </c>
      <c r="B349" s="31" t="s">
        <v>726</v>
      </c>
      <c r="C349" s="32" t="s">
        <v>45</v>
      </c>
      <c r="D349" s="24">
        <v>19.29</v>
      </c>
      <c r="E349" s="24">
        <v>10.25</v>
      </c>
      <c r="F349" s="26">
        <v>197.72</v>
      </c>
      <c r="G349" s="27">
        <v>0</v>
      </c>
      <c r="H349" s="24">
        <v>197.72</v>
      </c>
      <c r="I349" s="24">
        <v>0</v>
      </c>
      <c r="J349" s="25">
        <v>0</v>
      </c>
      <c r="K349" s="22">
        <v>197.72</v>
      </c>
    </row>
    <row r="350" spans="1:11" x14ac:dyDescent="0.3">
      <c r="A350" s="30" t="s">
        <v>727</v>
      </c>
      <c r="B350" s="31" t="s">
        <v>728</v>
      </c>
      <c r="C350" s="32" t="s">
        <v>45</v>
      </c>
      <c r="D350" s="24">
        <v>25.99</v>
      </c>
      <c r="E350" s="24">
        <v>12.17</v>
      </c>
      <c r="F350" s="26">
        <v>316.3</v>
      </c>
      <c r="G350" s="27">
        <v>150.61000000000001</v>
      </c>
      <c r="H350" s="24">
        <v>165.69</v>
      </c>
      <c r="I350" s="24">
        <v>0</v>
      </c>
      <c r="J350" s="25">
        <v>0</v>
      </c>
      <c r="K350" s="22">
        <v>316.3</v>
      </c>
    </row>
    <row r="351" spans="1:11" x14ac:dyDescent="0.3">
      <c r="A351" s="30" t="s">
        <v>729</v>
      </c>
      <c r="B351" s="31" t="s">
        <v>730</v>
      </c>
      <c r="C351" s="32" t="s">
        <v>45</v>
      </c>
      <c r="D351" s="24">
        <v>6.6</v>
      </c>
      <c r="E351" s="24">
        <v>15.25</v>
      </c>
      <c r="F351" s="26">
        <v>100.65</v>
      </c>
      <c r="G351" s="27">
        <v>0</v>
      </c>
      <c r="H351" s="24">
        <v>100.65</v>
      </c>
      <c r="I351" s="24">
        <v>0</v>
      </c>
      <c r="J351" s="25">
        <v>0</v>
      </c>
      <c r="K351" s="22">
        <v>100.65</v>
      </c>
    </row>
    <row r="352" spans="1:11" x14ac:dyDescent="0.3">
      <c r="A352" s="30" t="s">
        <v>731</v>
      </c>
      <c r="B352" s="31" t="s">
        <v>732</v>
      </c>
      <c r="C352" s="32" t="s">
        <v>45</v>
      </c>
      <c r="D352" s="24">
        <v>81</v>
      </c>
      <c r="E352" s="24">
        <v>12.17</v>
      </c>
      <c r="F352" s="26">
        <v>985.77</v>
      </c>
      <c r="G352" s="27">
        <v>0</v>
      </c>
      <c r="H352" s="24">
        <v>985.77</v>
      </c>
      <c r="I352" s="24">
        <v>0</v>
      </c>
      <c r="J352" s="25">
        <v>0</v>
      </c>
      <c r="K352" s="22">
        <v>985.77</v>
      </c>
    </row>
    <row r="353" spans="1:11" x14ac:dyDescent="0.3">
      <c r="A353" s="30" t="s">
        <v>733</v>
      </c>
      <c r="B353" s="31" t="s">
        <v>734</v>
      </c>
      <c r="C353" s="32" t="s">
        <v>123</v>
      </c>
      <c r="D353" s="24">
        <v>29</v>
      </c>
      <c r="E353" s="24">
        <v>9.7899999999999991</v>
      </c>
      <c r="F353" s="26">
        <v>283.91000000000003</v>
      </c>
      <c r="G353" s="27">
        <v>166.43</v>
      </c>
      <c r="H353" s="24">
        <v>117.48</v>
      </c>
      <c r="I353" s="24">
        <v>0</v>
      </c>
      <c r="J353" s="25">
        <v>0</v>
      </c>
      <c r="K353" s="22">
        <v>283.91000000000003</v>
      </c>
    </row>
    <row r="354" spans="1:11" x14ac:dyDescent="0.3">
      <c r="A354" s="30" t="s">
        <v>735</v>
      </c>
      <c r="B354" s="31" t="s">
        <v>736</v>
      </c>
      <c r="C354" s="32" t="s">
        <v>123</v>
      </c>
      <c r="D354" s="24">
        <v>27.29</v>
      </c>
      <c r="E354" s="24">
        <v>47.19</v>
      </c>
      <c r="F354" s="26">
        <v>1287.82</v>
      </c>
      <c r="G354" s="27">
        <v>0</v>
      </c>
      <c r="H354" s="24">
        <v>0</v>
      </c>
      <c r="I354" s="24">
        <v>1287.82</v>
      </c>
      <c r="J354" s="25">
        <v>0</v>
      </c>
      <c r="K354" s="22">
        <v>1287.82</v>
      </c>
    </row>
    <row r="355" spans="1:11" x14ac:dyDescent="0.3">
      <c r="A355" s="30" t="s">
        <v>737</v>
      </c>
      <c r="B355" s="31" t="s">
        <v>738</v>
      </c>
      <c r="C355" s="32" t="s">
        <v>123</v>
      </c>
      <c r="D355" s="24">
        <v>11.36</v>
      </c>
      <c r="E355" s="24">
        <v>41.95</v>
      </c>
      <c r="F355" s="26">
        <v>476.55</v>
      </c>
      <c r="G355" s="27">
        <v>0</v>
      </c>
      <c r="H355" s="24">
        <v>0</v>
      </c>
      <c r="I355" s="24">
        <v>476.55</v>
      </c>
      <c r="J355" s="25">
        <v>0</v>
      </c>
      <c r="K355" s="22">
        <v>476.55</v>
      </c>
    </row>
    <row r="356" spans="1:11" x14ac:dyDescent="0.3">
      <c r="A356" s="30" t="s">
        <v>739</v>
      </c>
      <c r="B356" s="31" t="s">
        <v>740</v>
      </c>
      <c r="C356" s="32" t="s">
        <v>123</v>
      </c>
      <c r="D356" s="24">
        <v>9.8699999999999992</v>
      </c>
      <c r="E356" s="24">
        <v>33.56</v>
      </c>
      <c r="F356" s="26">
        <v>331.24</v>
      </c>
      <c r="G356" s="27">
        <v>68.459999999999994</v>
      </c>
      <c r="H356" s="24">
        <v>68.459999999999994</v>
      </c>
      <c r="I356" s="24">
        <v>194.32</v>
      </c>
      <c r="J356" s="25">
        <v>0</v>
      </c>
      <c r="K356" s="22">
        <v>331.24</v>
      </c>
    </row>
    <row r="357" spans="1:11" x14ac:dyDescent="0.3">
      <c r="A357" s="30" t="s">
        <v>741</v>
      </c>
      <c r="B357" s="31" t="s">
        <v>742</v>
      </c>
      <c r="C357" s="32" t="s">
        <v>128</v>
      </c>
      <c r="D357" s="24">
        <v>16</v>
      </c>
      <c r="E357" s="24">
        <v>4.66</v>
      </c>
      <c r="F357" s="26">
        <v>74.56</v>
      </c>
      <c r="G357" s="27">
        <v>0</v>
      </c>
      <c r="H357" s="24">
        <v>74.56</v>
      </c>
      <c r="I357" s="24">
        <v>0</v>
      </c>
      <c r="J357" s="25">
        <v>0</v>
      </c>
      <c r="K357" s="22">
        <v>74.56</v>
      </c>
    </row>
    <row r="358" spans="1:11" x14ac:dyDescent="0.3">
      <c r="A358" s="30" t="s">
        <v>743</v>
      </c>
      <c r="B358" s="31" t="s">
        <v>744</v>
      </c>
      <c r="C358" s="32" t="s">
        <v>123</v>
      </c>
      <c r="D358" s="24">
        <v>1.51</v>
      </c>
      <c r="E358" s="24">
        <v>14.3</v>
      </c>
      <c r="F358" s="26">
        <v>21.59</v>
      </c>
      <c r="G358" s="27">
        <v>21.59</v>
      </c>
      <c r="H358" s="24">
        <v>0</v>
      </c>
      <c r="I358" s="24">
        <v>0</v>
      </c>
      <c r="J358" s="25">
        <v>0</v>
      </c>
      <c r="K358" s="22">
        <v>21.59</v>
      </c>
    </row>
    <row r="359" spans="1:11" x14ac:dyDescent="0.3">
      <c r="A359" s="30" t="s">
        <v>745</v>
      </c>
      <c r="B359" s="31" t="s">
        <v>746</v>
      </c>
      <c r="C359" s="32" t="s">
        <v>128</v>
      </c>
      <c r="D359" s="24">
        <v>10.36</v>
      </c>
      <c r="E359" s="24">
        <v>25.19</v>
      </c>
      <c r="F359" s="26">
        <v>260.97000000000003</v>
      </c>
      <c r="G359" s="27">
        <v>0</v>
      </c>
      <c r="H359" s="24">
        <v>260.97000000000003</v>
      </c>
      <c r="I359" s="24">
        <v>0</v>
      </c>
      <c r="J359" s="25">
        <v>0</v>
      </c>
      <c r="K359" s="22">
        <v>260.97000000000003</v>
      </c>
    </row>
    <row r="360" spans="1:11" x14ac:dyDescent="0.3">
      <c r="A360" s="30" t="s">
        <v>747</v>
      </c>
      <c r="B360" s="31" t="s">
        <v>748</v>
      </c>
      <c r="C360" s="32" t="s">
        <v>128</v>
      </c>
      <c r="D360" s="24">
        <v>2</v>
      </c>
      <c r="E360" s="24">
        <v>48.51</v>
      </c>
      <c r="F360" s="26">
        <v>97.02</v>
      </c>
      <c r="G360" s="27">
        <v>0</v>
      </c>
      <c r="H360" s="24">
        <v>97.02</v>
      </c>
      <c r="I360" s="24">
        <v>0</v>
      </c>
      <c r="J360" s="25">
        <v>0</v>
      </c>
      <c r="K360" s="22">
        <v>97.02</v>
      </c>
    </row>
    <row r="361" spans="1:11" x14ac:dyDescent="0.3">
      <c r="A361" s="30" t="s">
        <v>749</v>
      </c>
      <c r="B361" s="31" t="s">
        <v>750</v>
      </c>
      <c r="C361" s="32" t="s">
        <v>217</v>
      </c>
      <c r="D361" s="24">
        <v>28.86</v>
      </c>
      <c r="E361" s="24">
        <v>8.93</v>
      </c>
      <c r="F361" s="26">
        <v>257.72000000000003</v>
      </c>
      <c r="G361" s="27">
        <v>0</v>
      </c>
      <c r="H361" s="24">
        <v>171.81</v>
      </c>
      <c r="I361" s="24">
        <v>85.91</v>
      </c>
      <c r="J361" s="25">
        <v>0</v>
      </c>
      <c r="K361" s="22">
        <v>257.72000000000003</v>
      </c>
    </row>
    <row r="362" spans="1:11" x14ac:dyDescent="0.3">
      <c r="A362" s="30" t="s">
        <v>751</v>
      </c>
      <c r="B362" s="31" t="s">
        <v>752</v>
      </c>
      <c r="C362" s="32" t="s">
        <v>217</v>
      </c>
      <c r="D362" s="24">
        <v>21.41</v>
      </c>
      <c r="E362" s="24">
        <v>83.93</v>
      </c>
      <c r="F362" s="26">
        <v>1796.94</v>
      </c>
      <c r="G362" s="27">
        <v>0</v>
      </c>
      <c r="H362" s="24">
        <v>1692.67</v>
      </c>
      <c r="I362" s="24">
        <v>104.27</v>
      </c>
      <c r="J362" s="25">
        <v>0</v>
      </c>
      <c r="K362" s="22">
        <v>1796.94</v>
      </c>
    </row>
    <row r="363" spans="1:11" x14ac:dyDescent="0.3">
      <c r="A363" s="30" t="s">
        <v>753</v>
      </c>
      <c r="B363" s="31" t="s">
        <v>754</v>
      </c>
      <c r="C363" s="32" t="s">
        <v>45</v>
      </c>
      <c r="D363" s="24">
        <v>2.5</v>
      </c>
      <c r="E363" s="24">
        <v>41.95</v>
      </c>
      <c r="F363" s="26">
        <v>104.88</v>
      </c>
      <c r="G363" s="27">
        <v>0</v>
      </c>
      <c r="H363" s="24">
        <v>104.88</v>
      </c>
      <c r="I363" s="24">
        <v>0</v>
      </c>
      <c r="J363" s="25">
        <v>0</v>
      </c>
      <c r="K363" s="22">
        <v>104.88</v>
      </c>
    </row>
    <row r="364" spans="1:11" x14ac:dyDescent="0.3">
      <c r="A364" s="30" t="s">
        <v>755</v>
      </c>
      <c r="B364" s="31" t="s">
        <v>756</v>
      </c>
      <c r="C364" s="32" t="s">
        <v>45</v>
      </c>
      <c r="D364" s="24">
        <v>2</v>
      </c>
      <c r="E364" s="24">
        <v>29.92</v>
      </c>
      <c r="F364" s="26">
        <v>59.84</v>
      </c>
      <c r="G364" s="27">
        <v>0</v>
      </c>
      <c r="H364" s="24">
        <v>0</v>
      </c>
      <c r="I364" s="24">
        <v>59.84</v>
      </c>
      <c r="J364" s="25">
        <v>0</v>
      </c>
      <c r="K364" s="22">
        <v>59.84</v>
      </c>
    </row>
    <row r="365" spans="1:11" x14ac:dyDescent="0.3">
      <c r="A365" s="30" t="s">
        <v>757</v>
      </c>
      <c r="B365" s="31" t="s">
        <v>758</v>
      </c>
      <c r="C365" s="32" t="s">
        <v>128</v>
      </c>
      <c r="D365" s="24">
        <v>4.2</v>
      </c>
      <c r="E365" s="24">
        <v>20.57</v>
      </c>
      <c r="F365" s="26">
        <v>86.39</v>
      </c>
      <c r="G365" s="27">
        <v>0</v>
      </c>
      <c r="H365" s="24">
        <v>86.39</v>
      </c>
      <c r="I365" s="24">
        <v>0</v>
      </c>
      <c r="J365" s="25">
        <v>0</v>
      </c>
      <c r="K365" s="22">
        <v>86.39</v>
      </c>
    </row>
    <row r="366" spans="1:11" x14ac:dyDescent="0.3">
      <c r="A366" s="30" t="s">
        <v>759</v>
      </c>
      <c r="B366" s="31" t="s">
        <v>760</v>
      </c>
      <c r="C366" s="32" t="s">
        <v>128</v>
      </c>
      <c r="D366" s="24">
        <v>7.26</v>
      </c>
      <c r="E366" s="24">
        <v>51.37</v>
      </c>
      <c r="F366" s="26">
        <v>372.95</v>
      </c>
      <c r="G366" s="27">
        <v>0</v>
      </c>
      <c r="H366" s="24">
        <v>372.95</v>
      </c>
      <c r="I366" s="24">
        <v>0</v>
      </c>
      <c r="J366" s="25">
        <v>0</v>
      </c>
      <c r="K366" s="22">
        <v>372.95</v>
      </c>
    </row>
    <row r="367" spans="1:11" x14ac:dyDescent="0.3">
      <c r="A367" s="30" t="s">
        <v>761</v>
      </c>
      <c r="B367" s="31" t="s">
        <v>762</v>
      </c>
      <c r="C367" s="32" t="s">
        <v>128</v>
      </c>
      <c r="D367" s="24">
        <v>3</v>
      </c>
      <c r="E367" s="24">
        <v>13.89</v>
      </c>
      <c r="F367" s="26">
        <v>41.67</v>
      </c>
      <c r="G367" s="27">
        <v>0</v>
      </c>
      <c r="H367" s="24">
        <v>0</v>
      </c>
      <c r="I367" s="24">
        <v>41.67</v>
      </c>
      <c r="J367" s="25">
        <v>0</v>
      </c>
      <c r="K367" s="22">
        <v>41.67</v>
      </c>
    </row>
    <row r="368" spans="1:11" x14ac:dyDescent="0.3">
      <c r="A368" s="30" t="s">
        <v>763</v>
      </c>
      <c r="B368" s="31" t="s">
        <v>764</v>
      </c>
      <c r="C368" s="32" t="s">
        <v>45</v>
      </c>
      <c r="D368" s="24">
        <v>30</v>
      </c>
      <c r="E368" s="24">
        <v>1.1000000000000001</v>
      </c>
      <c r="F368" s="26">
        <v>33</v>
      </c>
      <c r="G368" s="27">
        <v>0</v>
      </c>
      <c r="H368" s="24">
        <v>33</v>
      </c>
      <c r="I368" s="24">
        <v>0</v>
      </c>
      <c r="J368" s="25">
        <v>0</v>
      </c>
      <c r="K368" s="22">
        <v>33</v>
      </c>
    </row>
    <row r="369" spans="1:11" x14ac:dyDescent="0.3">
      <c r="A369" s="30" t="s">
        <v>765</v>
      </c>
      <c r="B369" s="31" t="s">
        <v>766</v>
      </c>
      <c r="C369" s="32" t="s">
        <v>590</v>
      </c>
      <c r="D369" s="24">
        <v>12</v>
      </c>
      <c r="E369" s="24">
        <v>13.34</v>
      </c>
      <c r="F369" s="26">
        <v>160.08000000000001</v>
      </c>
      <c r="G369" s="27">
        <v>0</v>
      </c>
      <c r="H369" s="24">
        <v>160.08000000000001</v>
      </c>
      <c r="I369" s="24">
        <v>0</v>
      </c>
      <c r="J369" s="25">
        <v>0</v>
      </c>
      <c r="K369" s="22">
        <v>160.08000000000001</v>
      </c>
    </row>
    <row r="370" spans="1:11" x14ac:dyDescent="0.3">
      <c r="A370" s="30" t="s">
        <v>767</v>
      </c>
      <c r="B370" s="31" t="s">
        <v>768</v>
      </c>
      <c r="C370" s="32" t="s">
        <v>45</v>
      </c>
      <c r="D370" s="24">
        <v>37.200000000000003</v>
      </c>
      <c r="E370" s="24">
        <v>0.54</v>
      </c>
      <c r="F370" s="26">
        <v>20.09</v>
      </c>
      <c r="G370" s="27">
        <v>0</v>
      </c>
      <c r="H370" s="24">
        <v>20.09</v>
      </c>
      <c r="I370" s="24">
        <v>0</v>
      </c>
      <c r="J370" s="25">
        <v>0</v>
      </c>
      <c r="K370" s="22">
        <v>20.09</v>
      </c>
    </row>
    <row r="371" spans="1:11" x14ac:dyDescent="0.3">
      <c r="A371" s="30" t="s">
        <v>769</v>
      </c>
      <c r="B371" s="31" t="s">
        <v>770</v>
      </c>
      <c r="C371" s="32" t="s">
        <v>128</v>
      </c>
      <c r="D371" s="24">
        <v>8</v>
      </c>
      <c r="E371" s="24">
        <v>8.01</v>
      </c>
      <c r="F371" s="26">
        <v>64.08</v>
      </c>
      <c r="G371" s="27">
        <v>0</v>
      </c>
      <c r="H371" s="24">
        <v>64.08</v>
      </c>
      <c r="I371" s="24">
        <v>0</v>
      </c>
      <c r="J371" s="25">
        <v>0</v>
      </c>
      <c r="K371" s="22">
        <v>64.08</v>
      </c>
    </row>
    <row r="372" spans="1:11" x14ac:dyDescent="0.3">
      <c r="A372" s="30" t="s">
        <v>771</v>
      </c>
      <c r="B372" s="31" t="s">
        <v>772</v>
      </c>
      <c r="C372" s="32" t="s">
        <v>45</v>
      </c>
      <c r="D372" s="24">
        <v>1</v>
      </c>
      <c r="E372" s="24">
        <v>39.47</v>
      </c>
      <c r="F372" s="26">
        <v>39.47</v>
      </c>
      <c r="G372" s="27">
        <v>0</v>
      </c>
      <c r="H372" s="24">
        <v>39.47</v>
      </c>
      <c r="I372" s="24">
        <v>0</v>
      </c>
      <c r="J372" s="25">
        <v>0</v>
      </c>
      <c r="K372" s="22">
        <v>39.47</v>
      </c>
    </row>
    <row r="373" spans="1:11" x14ac:dyDescent="0.3">
      <c r="A373" s="30" t="s">
        <v>773</v>
      </c>
      <c r="B373" s="31" t="s">
        <v>774</v>
      </c>
      <c r="C373" s="32" t="s">
        <v>45</v>
      </c>
      <c r="D373" s="24">
        <v>2</v>
      </c>
      <c r="E373" s="24">
        <v>11.1</v>
      </c>
      <c r="F373" s="26">
        <v>22.2</v>
      </c>
      <c r="G373" s="27">
        <v>0</v>
      </c>
      <c r="H373" s="24">
        <v>0</v>
      </c>
      <c r="I373" s="24">
        <v>0</v>
      </c>
      <c r="J373" s="25">
        <v>22.2</v>
      </c>
      <c r="K373" s="22">
        <v>22.2</v>
      </c>
    </row>
    <row r="374" spans="1:11" x14ac:dyDescent="0.3">
      <c r="A374" s="30" t="s">
        <v>775</v>
      </c>
      <c r="B374" s="31" t="s">
        <v>776</v>
      </c>
      <c r="C374" s="32" t="s">
        <v>45</v>
      </c>
      <c r="D374" s="24">
        <v>25</v>
      </c>
      <c r="E374" s="24">
        <v>8.31</v>
      </c>
      <c r="F374" s="26">
        <v>207.75</v>
      </c>
      <c r="G374" s="27">
        <v>0</v>
      </c>
      <c r="H374" s="24">
        <v>0</v>
      </c>
      <c r="I374" s="24">
        <v>207.75</v>
      </c>
      <c r="J374" s="25">
        <v>0</v>
      </c>
      <c r="K374" s="22">
        <v>207.75</v>
      </c>
    </row>
    <row r="375" spans="1:11" x14ac:dyDescent="0.3">
      <c r="A375" s="30" t="s">
        <v>777</v>
      </c>
      <c r="B375" s="31" t="s">
        <v>778</v>
      </c>
      <c r="C375" s="32" t="s">
        <v>102</v>
      </c>
      <c r="D375" s="24">
        <v>3</v>
      </c>
      <c r="E375" s="24">
        <v>145</v>
      </c>
      <c r="F375" s="26">
        <v>435</v>
      </c>
      <c r="G375" s="27">
        <v>0</v>
      </c>
      <c r="H375" s="24">
        <v>0</v>
      </c>
      <c r="I375" s="24">
        <v>435</v>
      </c>
      <c r="J375" s="25">
        <v>0</v>
      </c>
      <c r="K375" s="22">
        <v>435</v>
      </c>
    </row>
    <row r="376" spans="1:11" x14ac:dyDescent="0.3">
      <c r="A376" s="30" t="s">
        <v>779</v>
      </c>
      <c r="B376" s="31" t="s">
        <v>780</v>
      </c>
      <c r="C376" s="32" t="s">
        <v>45</v>
      </c>
      <c r="D376" s="24">
        <v>0.46</v>
      </c>
      <c r="E376" s="24">
        <v>291.99</v>
      </c>
      <c r="F376" s="26">
        <v>134.32</v>
      </c>
      <c r="G376" s="27">
        <v>0</v>
      </c>
      <c r="H376" s="24">
        <v>134.32</v>
      </c>
      <c r="I376" s="24">
        <v>0</v>
      </c>
      <c r="J376" s="25">
        <v>0</v>
      </c>
      <c r="K376" s="22">
        <v>134.32</v>
      </c>
    </row>
    <row r="377" spans="1:11" x14ac:dyDescent="0.3">
      <c r="A377" s="23"/>
      <c r="B377" s="29" t="s">
        <v>781</v>
      </c>
      <c r="C377" s="24"/>
      <c r="D377" s="24"/>
      <c r="E377" s="24"/>
      <c r="F377" s="26"/>
      <c r="G377" s="27"/>
      <c r="H377" s="24"/>
      <c r="I377" s="24"/>
      <c r="J377" s="25"/>
      <c r="K377" s="22"/>
    </row>
    <row r="378" spans="1:11" x14ac:dyDescent="0.3">
      <c r="A378" s="30" t="s">
        <v>782</v>
      </c>
      <c r="B378" s="31" t="s">
        <v>783</v>
      </c>
      <c r="C378" s="32" t="s">
        <v>784</v>
      </c>
      <c r="D378" s="24">
        <v>7.0000000000000007E-2</v>
      </c>
      <c r="E378" s="24">
        <v>84.75</v>
      </c>
      <c r="F378" s="26">
        <v>5.93</v>
      </c>
      <c r="G378" s="27">
        <v>0</v>
      </c>
      <c r="H378" s="24">
        <v>0</v>
      </c>
      <c r="I378" s="24">
        <v>0</v>
      </c>
      <c r="J378" s="25">
        <v>5.93</v>
      </c>
      <c r="K378" s="22">
        <v>5.93</v>
      </c>
    </row>
    <row r="379" spans="1:11" x14ac:dyDescent="0.3">
      <c r="A379" s="30" t="s">
        <v>785</v>
      </c>
      <c r="B379" s="31" t="s">
        <v>786</v>
      </c>
      <c r="C379" s="32" t="s">
        <v>784</v>
      </c>
      <c r="D379" s="24">
        <v>1.1399999999999999</v>
      </c>
      <c r="E379" s="24">
        <v>26.06</v>
      </c>
      <c r="F379" s="26">
        <v>29.71</v>
      </c>
      <c r="G379" s="27">
        <v>0</v>
      </c>
      <c r="H379" s="24">
        <v>0</v>
      </c>
      <c r="I379" s="24">
        <v>0</v>
      </c>
      <c r="J379" s="25">
        <v>29.71</v>
      </c>
      <c r="K379" s="22">
        <v>29.71</v>
      </c>
    </row>
    <row r="380" spans="1:11" x14ac:dyDescent="0.3">
      <c r="A380" s="30" t="s">
        <v>787</v>
      </c>
      <c r="B380" s="31" t="s">
        <v>788</v>
      </c>
      <c r="C380" s="32" t="s">
        <v>789</v>
      </c>
      <c r="D380" s="24"/>
      <c r="E380" s="24"/>
      <c r="F380" s="26">
        <v>9.4600000000000009</v>
      </c>
      <c r="G380" s="27">
        <v>0</v>
      </c>
      <c r="H380" s="24">
        <v>0</v>
      </c>
      <c r="I380" s="24">
        <v>0</v>
      </c>
      <c r="J380" s="25">
        <v>9.4600000000000009</v>
      </c>
      <c r="K380" s="22">
        <v>9.4600000000000009</v>
      </c>
    </row>
    <row r="381" spans="1:11" x14ac:dyDescent="0.3">
      <c r="A381" s="30" t="s">
        <v>790</v>
      </c>
      <c r="B381" s="31" t="s">
        <v>791</v>
      </c>
      <c r="C381" s="32" t="s">
        <v>789</v>
      </c>
      <c r="D381" s="24"/>
      <c r="E381" s="24"/>
      <c r="F381" s="26">
        <v>9169.18</v>
      </c>
      <c r="G381" s="27">
        <v>1549.56</v>
      </c>
      <c r="H381" s="24">
        <v>3328.04</v>
      </c>
      <c r="I381" s="24">
        <v>3395.92</v>
      </c>
      <c r="J381" s="25">
        <v>895.66</v>
      </c>
      <c r="K381" s="22">
        <v>9169.18</v>
      </c>
    </row>
    <row r="382" spans="1:11" x14ac:dyDescent="0.3">
      <c r="A382" s="30" t="s">
        <v>792</v>
      </c>
      <c r="B382" s="31" t="s">
        <v>793</v>
      </c>
      <c r="C382" s="32" t="s">
        <v>45</v>
      </c>
      <c r="D382" s="24">
        <v>1.59</v>
      </c>
      <c r="E382" s="24">
        <v>44</v>
      </c>
      <c r="F382" s="26">
        <v>69.959999999999994</v>
      </c>
      <c r="G382" s="27">
        <v>69.959999999999994</v>
      </c>
      <c r="H382" s="24">
        <v>0</v>
      </c>
      <c r="I382" s="24">
        <v>0</v>
      </c>
      <c r="J382" s="25">
        <v>0</v>
      </c>
      <c r="K382" s="22">
        <v>69.959999999999994</v>
      </c>
    </row>
    <row r="383" spans="1:11" x14ac:dyDescent="0.3">
      <c r="A383" s="30" t="s">
        <v>794</v>
      </c>
      <c r="B383" s="31" t="s">
        <v>795</v>
      </c>
      <c r="C383" s="32" t="s">
        <v>45</v>
      </c>
      <c r="D383" s="24">
        <v>2.4500000000000002</v>
      </c>
      <c r="E383" s="24">
        <v>81.540000000000006</v>
      </c>
      <c r="F383" s="26">
        <v>199.77</v>
      </c>
      <c r="G383" s="27">
        <v>0</v>
      </c>
      <c r="H383" s="24">
        <v>0</v>
      </c>
      <c r="I383" s="24">
        <v>23.97</v>
      </c>
      <c r="J383" s="25">
        <v>175.8</v>
      </c>
      <c r="K383" s="22">
        <v>199.77</v>
      </c>
    </row>
    <row r="384" spans="1:11" x14ac:dyDescent="0.3">
      <c r="A384" s="30" t="s">
        <v>796</v>
      </c>
      <c r="B384" s="31" t="s">
        <v>797</v>
      </c>
      <c r="C384" s="32" t="s">
        <v>784</v>
      </c>
      <c r="D384" s="24">
        <v>381.44</v>
      </c>
      <c r="E384" s="24">
        <v>11.25</v>
      </c>
      <c r="F384" s="26">
        <v>4291.2</v>
      </c>
      <c r="G384" s="27">
        <v>0</v>
      </c>
      <c r="H384" s="24">
        <v>207.86</v>
      </c>
      <c r="I384" s="24">
        <v>2151.42</v>
      </c>
      <c r="J384" s="25">
        <v>1931.92</v>
      </c>
      <c r="K384" s="22">
        <v>4291.2</v>
      </c>
    </row>
    <row r="385" spans="1:11" x14ac:dyDescent="0.3">
      <c r="A385" s="30" t="s">
        <v>798</v>
      </c>
      <c r="B385" s="31" t="s">
        <v>799</v>
      </c>
      <c r="C385" s="32" t="s">
        <v>784</v>
      </c>
      <c r="D385" s="24">
        <v>15.44</v>
      </c>
      <c r="E385" s="24">
        <v>359.79</v>
      </c>
      <c r="F385" s="26">
        <v>5555.16</v>
      </c>
      <c r="G385" s="27">
        <v>3420.77</v>
      </c>
      <c r="H385" s="24">
        <v>17.93</v>
      </c>
      <c r="I385" s="24">
        <v>0</v>
      </c>
      <c r="J385" s="25">
        <v>2116.46</v>
      </c>
      <c r="K385" s="22">
        <v>5555.16</v>
      </c>
    </row>
    <row r="386" spans="1:11" x14ac:dyDescent="0.3">
      <c r="A386" s="30" t="s">
        <v>800</v>
      </c>
      <c r="B386" s="31" t="s">
        <v>801</v>
      </c>
      <c r="C386" s="32" t="s">
        <v>784</v>
      </c>
      <c r="D386" s="24">
        <v>7.39</v>
      </c>
      <c r="E386" s="24">
        <v>329.82</v>
      </c>
      <c r="F386" s="26">
        <v>2437.37</v>
      </c>
      <c r="G386" s="27">
        <v>2433.48</v>
      </c>
      <c r="H386" s="24">
        <v>3.89</v>
      </c>
      <c r="I386" s="24">
        <v>0</v>
      </c>
      <c r="J386" s="25">
        <v>0</v>
      </c>
      <c r="K386" s="22">
        <v>2437.37</v>
      </c>
    </row>
    <row r="387" spans="1:11" x14ac:dyDescent="0.3">
      <c r="A387" s="30" t="s">
        <v>802</v>
      </c>
      <c r="B387" s="31" t="s">
        <v>803</v>
      </c>
      <c r="C387" s="32" t="s">
        <v>784</v>
      </c>
      <c r="D387" s="24">
        <v>233.39</v>
      </c>
      <c r="E387" s="24">
        <v>3.24</v>
      </c>
      <c r="F387" s="26">
        <v>756.18</v>
      </c>
      <c r="G387" s="27">
        <v>299.7</v>
      </c>
      <c r="H387" s="24">
        <v>327.64999999999998</v>
      </c>
      <c r="I387" s="24">
        <v>128.82999999999998</v>
      </c>
      <c r="J387" s="25">
        <v>0</v>
      </c>
      <c r="K387" s="22">
        <v>756.18</v>
      </c>
    </row>
    <row r="388" spans="1:11" x14ac:dyDescent="0.3">
      <c r="A388" s="30" t="s">
        <v>804</v>
      </c>
      <c r="B388" s="31" t="s">
        <v>805</v>
      </c>
      <c r="C388" s="32" t="s">
        <v>806</v>
      </c>
      <c r="D388" s="24">
        <v>26.75</v>
      </c>
      <c r="E388" s="24">
        <v>42.52</v>
      </c>
      <c r="F388" s="26">
        <v>1137.4100000000001</v>
      </c>
      <c r="G388" s="27">
        <v>0</v>
      </c>
      <c r="H388" s="24">
        <v>925.27</v>
      </c>
      <c r="I388" s="24">
        <v>0</v>
      </c>
      <c r="J388" s="25">
        <v>212.14</v>
      </c>
      <c r="K388" s="22">
        <v>1137.4100000000001</v>
      </c>
    </row>
    <row r="389" spans="1:11" x14ac:dyDescent="0.3">
      <c r="A389" s="30" t="s">
        <v>807</v>
      </c>
      <c r="B389" s="31" t="s">
        <v>808</v>
      </c>
      <c r="C389" s="32" t="s">
        <v>784</v>
      </c>
      <c r="D389" s="24">
        <v>20.46</v>
      </c>
      <c r="E389" s="24">
        <v>21.24</v>
      </c>
      <c r="F389" s="26">
        <v>434.57</v>
      </c>
      <c r="G389" s="27">
        <v>0</v>
      </c>
      <c r="H389" s="24">
        <v>0</v>
      </c>
      <c r="I389" s="24">
        <v>15.45</v>
      </c>
      <c r="J389" s="25">
        <v>419.12</v>
      </c>
      <c r="K389" s="22">
        <v>434.57</v>
      </c>
    </row>
    <row r="390" spans="1:11" x14ac:dyDescent="0.3">
      <c r="A390" s="30" t="s">
        <v>809</v>
      </c>
      <c r="B390" s="31" t="s">
        <v>810</v>
      </c>
      <c r="C390" s="32" t="s">
        <v>784</v>
      </c>
      <c r="D390" s="24">
        <v>14.1</v>
      </c>
      <c r="E390" s="24">
        <v>12.26</v>
      </c>
      <c r="F390" s="26">
        <v>172.87</v>
      </c>
      <c r="G390" s="27">
        <v>0</v>
      </c>
      <c r="H390" s="24">
        <v>0</v>
      </c>
      <c r="I390" s="24">
        <v>172.87</v>
      </c>
      <c r="J390" s="25">
        <v>0</v>
      </c>
      <c r="K390" s="22">
        <v>172.87</v>
      </c>
    </row>
    <row r="391" spans="1:11" x14ac:dyDescent="0.3">
      <c r="A391" s="30" t="s">
        <v>811</v>
      </c>
      <c r="B391" s="31" t="s">
        <v>812</v>
      </c>
      <c r="C391" s="32" t="s">
        <v>806</v>
      </c>
      <c r="D391" s="24">
        <v>0.25</v>
      </c>
      <c r="E391" s="24">
        <v>7.24</v>
      </c>
      <c r="F391" s="26">
        <v>1.81</v>
      </c>
      <c r="G391" s="27">
        <v>0</v>
      </c>
      <c r="H391" s="24">
        <v>1.81</v>
      </c>
      <c r="I391" s="24">
        <v>0</v>
      </c>
      <c r="J391" s="25">
        <v>0</v>
      </c>
      <c r="K391" s="22">
        <v>1.81</v>
      </c>
    </row>
    <row r="392" spans="1:11" x14ac:dyDescent="0.3">
      <c r="A392" s="30" t="s">
        <v>813</v>
      </c>
      <c r="B392" s="31" t="s">
        <v>814</v>
      </c>
      <c r="C392" s="32" t="s">
        <v>784</v>
      </c>
      <c r="D392" s="24">
        <v>2.41</v>
      </c>
      <c r="E392" s="24">
        <v>290</v>
      </c>
      <c r="F392" s="26">
        <v>698.9</v>
      </c>
      <c r="G392" s="27">
        <v>698.9</v>
      </c>
      <c r="H392" s="24">
        <v>0</v>
      </c>
      <c r="I392" s="24">
        <v>0</v>
      </c>
      <c r="J392" s="25">
        <v>0</v>
      </c>
      <c r="K392" s="22">
        <v>698.9</v>
      </c>
    </row>
    <row r="393" spans="1:11" x14ac:dyDescent="0.3">
      <c r="A393" s="30" t="s">
        <v>815</v>
      </c>
      <c r="B393" s="31" t="s">
        <v>816</v>
      </c>
      <c r="C393" s="32" t="s">
        <v>784</v>
      </c>
      <c r="D393" s="24">
        <v>0.6</v>
      </c>
      <c r="E393" s="24">
        <v>205.34</v>
      </c>
      <c r="F393" s="26">
        <v>123.2</v>
      </c>
      <c r="G393" s="27">
        <v>123.2</v>
      </c>
      <c r="H393" s="24">
        <v>0</v>
      </c>
      <c r="I393" s="24">
        <v>0</v>
      </c>
      <c r="J393" s="25">
        <v>0</v>
      </c>
      <c r="K393" s="22">
        <v>123.2</v>
      </c>
    </row>
    <row r="394" spans="1:11" x14ac:dyDescent="0.3">
      <c r="A394" s="30" t="s">
        <v>817</v>
      </c>
      <c r="B394" s="31" t="s">
        <v>818</v>
      </c>
      <c r="C394" s="32" t="s">
        <v>784</v>
      </c>
      <c r="D394" s="24">
        <v>9.67</v>
      </c>
      <c r="E394" s="24">
        <v>243.43</v>
      </c>
      <c r="F394" s="26">
        <v>2353.9699999999998</v>
      </c>
      <c r="G394" s="27">
        <v>2353.9699999999998</v>
      </c>
      <c r="H394" s="24">
        <v>0</v>
      </c>
      <c r="I394" s="24">
        <v>0</v>
      </c>
      <c r="J394" s="25">
        <v>0</v>
      </c>
      <c r="K394" s="22">
        <v>2353.9699999999998</v>
      </c>
    </row>
    <row r="395" spans="1:11" x14ac:dyDescent="0.3">
      <c r="A395" s="30" t="s">
        <v>819</v>
      </c>
      <c r="B395" s="31" t="s">
        <v>820</v>
      </c>
      <c r="C395" s="32" t="s">
        <v>784</v>
      </c>
      <c r="D395" s="24">
        <v>1.1399999999999999</v>
      </c>
      <c r="E395" s="24">
        <v>208.67</v>
      </c>
      <c r="F395" s="26">
        <v>237.88</v>
      </c>
      <c r="G395" s="27">
        <v>0</v>
      </c>
      <c r="H395" s="24">
        <v>2</v>
      </c>
      <c r="I395" s="24">
        <v>0</v>
      </c>
      <c r="J395" s="25">
        <v>235.88</v>
      </c>
      <c r="K395" s="22">
        <v>237.88</v>
      </c>
    </row>
    <row r="396" spans="1:11" x14ac:dyDescent="0.3">
      <c r="A396" s="30" t="s">
        <v>821</v>
      </c>
      <c r="B396" s="31" t="s">
        <v>822</v>
      </c>
      <c r="C396" s="32" t="s">
        <v>784</v>
      </c>
      <c r="D396" s="24">
        <v>2.74</v>
      </c>
      <c r="E396" s="24">
        <v>243.43</v>
      </c>
      <c r="F396" s="26">
        <v>667</v>
      </c>
      <c r="G396" s="27">
        <v>666.64</v>
      </c>
      <c r="H396" s="24">
        <v>0.36</v>
      </c>
      <c r="I396" s="24">
        <v>0</v>
      </c>
      <c r="J396" s="25">
        <v>0</v>
      </c>
      <c r="K396" s="22">
        <v>667</v>
      </c>
    </row>
    <row r="397" spans="1:11" x14ac:dyDescent="0.3">
      <c r="A397" s="30" t="s">
        <v>823</v>
      </c>
      <c r="B397" s="31" t="s">
        <v>824</v>
      </c>
      <c r="C397" s="32" t="s">
        <v>784</v>
      </c>
      <c r="D397" s="24">
        <v>1.03</v>
      </c>
      <c r="E397" s="24">
        <v>5</v>
      </c>
      <c r="F397" s="26">
        <v>5.15</v>
      </c>
      <c r="G397" s="27">
        <v>0</v>
      </c>
      <c r="H397" s="24">
        <v>0</v>
      </c>
      <c r="I397" s="24">
        <v>5.15</v>
      </c>
      <c r="J397" s="25">
        <v>0</v>
      </c>
      <c r="K397" s="22">
        <v>5.15</v>
      </c>
    </row>
    <row r="398" spans="1:11" x14ac:dyDescent="0.3">
      <c r="A398" s="30" t="s">
        <v>825</v>
      </c>
      <c r="B398" s="31" t="s">
        <v>826</v>
      </c>
      <c r="C398" s="32" t="s">
        <v>784</v>
      </c>
      <c r="D398" s="24">
        <v>86.87</v>
      </c>
      <c r="E398" s="24">
        <v>12.26</v>
      </c>
      <c r="F398" s="26">
        <v>1065.03</v>
      </c>
      <c r="G398" s="27">
        <v>235.51</v>
      </c>
      <c r="H398" s="24">
        <v>483.74</v>
      </c>
      <c r="I398" s="24">
        <v>345.78</v>
      </c>
      <c r="J398" s="25">
        <v>0</v>
      </c>
      <c r="K398" s="22">
        <v>1065.03</v>
      </c>
    </row>
    <row r="399" spans="1:11" x14ac:dyDescent="0.3">
      <c r="A399" s="30" t="s">
        <v>827</v>
      </c>
      <c r="B399" s="31" t="s">
        <v>828</v>
      </c>
      <c r="C399" s="32" t="s">
        <v>784</v>
      </c>
      <c r="D399" s="24">
        <v>5.79</v>
      </c>
      <c r="E399" s="24">
        <v>12.26</v>
      </c>
      <c r="F399" s="26">
        <v>70.989999999999995</v>
      </c>
      <c r="G399" s="27">
        <v>0</v>
      </c>
      <c r="H399" s="24">
        <v>70.989999999999995</v>
      </c>
      <c r="I399" s="24">
        <v>0</v>
      </c>
      <c r="J399" s="25">
        <v>0</v>
      </c>
      <c r="K399" s="22">
        <v>70.989999999999995</v>
      </c>
    </row>
    <row r="400" spans="1:11" x14ac:dyDescent="0.3">
      <c r="A400" s="30" t="s">
        <v>829</v>
      </c>
      <c r="B400" s="31" t="s">
        <v>830</v>
      </c>
      <c r="C400" s="32" t="s">
        <v>784</v>
      </c>
      <c r="D400" s="24">
        <v>3.18</v>
      </c>
      <c r="E400" s="24">
        <v>120.53</v>
      </c>
      <c r="F400" s="26">
        <v>383.29</v>
      </c>
      <c r="G400" s="27">
        <v>0</v>
      </c>
      <c r="H400" s="24">
        <v>383.29</v>
      </c>
      <c r="I400" s="24">
        <v>0</v>
      </c>
      <c r="J400" s="25">
        <v>0</v>
      </c>
      <c r="K400" s="22">
        <v>383.29</v>
      </c>
    </row>
    <row r="401" spans="1:11" x14ac:dyDescent="0.3">
      <c r="A401" s="30" t="s">
        <v>831</v>
      </c>
      <c r="B401" s="31" t="s">
        <v>832</v>
      </c>
      <c r="C401" s="32" t="s">
        <v>784</v>
      </c>
      <c r="D401" s="24">
        <v>7.53</v>
      </c>
      <c r="E401" s="24">
        <v>118.2</v>
      </c>
      <c r="F401" s="26">
        <v>890.05</v>
      </c>
      <c r="G401" s="27">
        <v>890.05</v>
      </c>
      <c r="H401" s="24">
        <v>0</v>
      </c>
      <c r="I401" s="24">
        <v>0</v>
      </c>
      <c r="J401" s="25">
        <v>0</v>
      </c>
      <c r="K401" s="22">
        <v>890.05</v>
      </c>
    </row>
    <row r="402" spans="1:11" x14ac:dyDescent="0.3">
      <c r="A402" s="30" t="s">
        <v>833</v>
      </c>
      <c r="B402" s="31" t="s">
        <v>834</v>
      </c>
      <c r="C402" s="32" t="s">
        <v>784</v>
      </c>
      <c r="D402" s="24">
        <v>59.94</v>
      </c>
      <c r="E402" s="24">
        <v>36.450000000000003</v>
      </c>
      <c r="F402" s="26">
        <v>2184.81</v>
      </c>
      <c r="G402" s="27">
        <v>369.44</v>
      </c>
      <c r="H402" s="24">
        <v>1815.37</v>
      </c>
      <c r="I402" s="24">
        <v>0</v>
      </c>
      <c r="J402" s="25">
        <v>0</v>
      </c>
      <c r="K402" s="22">
        <v>2184.81</v>
      </c>
    </row>
    <row r="403" spans="1:11" x14ac:dyDescent="0.3">
      <c r="A403" s="30" t="s">
        <v>835</v>
      </c>
      <c r="B403" s="31" t="s">
        <v>836</v>
      </c>
      <c r="C403" s="32" t="s">
        <v>784</v>
      </c>
      <c r="D403" s="24">
        <v>0.28000000000000003</v>
      </c>
      <c r="E403" s="24">
        <v>9.89</v>
      </c>
      <c r="F403" s="26">
        <v>2.77</v>
      </c>
      <c r="G403" s="27">
        <v>0</v>
      </c>
      <c r="H403" s="24">
        <v>0</v>
      </c>
      <c r="I403" s="24">
        <v>0</v>
      </c>
      <c r="J403" s="25">
        <v>2.77</v>
      </c>
      <c r="K403" s="22">
        <v>2.77</v>
      </c>
    </row>
    <row r="404" spans="1:11" x14ac:dyDescent="0.3">
      <c r="A404" s="30" t="s">
        <v>837</v>
      </c>
      <c r="B404" s="31" t="s">
        <v>838</v>
      </c>
      <c r="C404" s="32" t="s">
        <v>784</v>
      </c>
      <c r="D404" s="24">
        <v>16.12</v>
      </c>
      <c r="E404" s="24">
        <v>15.51</v>
      </c>
      <c r="F404" s="26">
        <v>250.02</v>
      </c>
      <c r="G404" s="27">
        <v>250.02</v>
      </c>
      <c r="H404" s="24">
        <v>0</v>
      </c>
      <c r="I404" s="24">
        <v>0</v>
      </c>
      <c r="J404" s="25">
        <v>0</v>
      </c>
      <c r="K404" s="22">
        <v>250.02</v>
      </c>
    </row>
    <row r="405" spans="1:11" x14ac:dyDescent="0.3">
      <c r="A405" s="30" t="s">
        <v>839</v>
      </c>
      <c r="B405" s="31" t="s">
        <v>840</v>
      </c>
      <c r="C405" s="32" t="s">
        <v>806</v>
      </c>
      <c r="D405" s="24">
        <v>69.27</v>
      </c>
      <c r="E405" s="24">
        <v>6.93</v>
      </c>
      <c r="F405" s="26">
        <v>480.04</v>
      </c>
      <c r="G405" s="27">
        <v>87.25</v>
      </c>
      <c r="H405" s="24">
        <v>209.41</v>
      </c>
      <c r="I405" s="24">
        <v>183.38</v>
      </c>
      <c r="J405" s="25">
        <v>0</v>
      </c>
      <c r="K405" s="22">
        <v>480.04</v>
      </c>
    </row>
    <row r="406" spans="1:11" ht="5.25" customHeight="1" x14ac:dyDescent="0.3">
      <c r="A406" s="34"/>
      <c r="B406" s="35"/>
      <c r="C406" s="35"/>
      <c r="D406" s="35"/>
      <c r="E406" s="35"/>
      <c r="F406" s="36"/>
      <c r="G406" s="37"/>
      <c r="H406" s="35"/>
      <c r="I406" s="35"/>
      <c r="J406" s="38"/>
      <c r="K406" s="39"/>
    </row>
    <row r="407" spans="1:11" x14ac:dyDescent="0.3">
      <c r="A407" s="17"/>
      <c r="B407" s="43" t="s">
        <v>841</v>
      </c>
      <c r="C407" s="18"/>
      <c r="D407" s="44" t="s">
        <v>842</v>
      </c>
      <c r="E407" s="18"/>
      <c r="F407" s="54">
        <v>1253165.8999999999</v>
      </c>
      <c r="G407" s="57">
        <v>229253.22</v>
      </c>
      <c r="H407" s="45">
        <v>351716.18</v>
      </c>
      <c r="I407" s="45">
        <v>395368.38</v>
      </c>
      <c r="J407" s="51">
        <v>276828.12</v>
      </c>
      <c r="K407" s="40">
        <v>1253165.8999999999</v>
      </c>
    </row>
    <row r="408" spans="1:11" x14ac:dyDescent="0.3">
      <c r="A408" s="23"/>
      <c r="B408" s="28" t="s">
        <v>843</v>
      </c>
      <c r="C408" s="24"/>
      <c r="D408" s="46" t="s">
        <v>844</v>
      </c>
      <c r="E408" s="24"/>
      <c r="F408" s="55">
        <v>125316.59</v>
      </c>
      <c r="G408" s="58">
        <v>22925.32</v>
      </c>
      <c r="H408" s="47">
        <v>35171.620000000003</v>
      </c>
      <c r="I408" s="47">
        <v>39536.839999999997</v>
      </c>
      <c r="J408" s="52">
        <v>27682.81</v>
      </c>
      <c r="K408" s="41">
        <v>125316.59</v>
      </c>
    </row>
    <row r="409" spans="1:11" x14ac:dyDescent="0.3">
      <c r="A409" s="34"/>
      <c r="B409" s="48" t="s">
        <v>845</v>
      </c>
      <c r="C409" s="35"/>
      <c r="D409" s="49" t="s">
        <v>846</v>
      </c>
      <c r="E409" s="35"/>
      <c r="F409" s="56">
        <v>87721.61</v>
      </c>
      <c r="G409" s="59">
        <v>16047.72</v>
      </c>
      <c r="H409" s="50">
        <v>24620.13</v>
      </c>
      <c r="I409" s="50">
        <v>27675.79</v>
      </c>
      <c r="J409" s="53">
        <v>19377.97</v>
      </c>
      <c r="K409" s="42">
        <v>87721.61</v>
      </c>
    </row>
    <row r="410" spans="1:11" x14ac:dyDescent="0.3">
      <c r="A410" s="17"/>
      <c r="B410" s="43" t="s">
        <v>847</v>
      </c>
      <c r="C410" s="18"/>
      <c r="D410" s="44" t="s">
        <v>842</v>
      </c>
      <c r="E410" s="18"/>
      <c r="F410" s="54">
        <v>1466204.1</v>
      </c>
      <c r="G410" s="57">
        <v>268226.27</v>
      </c>
      <c r="H410" s="45">
        <v>411507.93</v>
      </c>
      <c r="I410" s="45">
        <v>462581</v>
      </c>
      <c r="J410" s="51">
        <v>323888.90000000002</v>
      </c>
      <c r="K410" s="40">
        <v>1466204.1</v>
      </c>
    </row>
    <row r="411" spans="1:11" x14ac:dyDescent="0.3">
      <c r="A411" s="34"/>
      <c r="B411" s="48" t="s">
        <v>848</v>
      </c>
      <c r="C411" s="35"/>
      <c r="D411" s="49" t="s">
        <v>849</v>
      </c>
      <c r="E411" s="35"/>
      <c r="F411" s="56">
        <v>263916.74</v>
      </c>
      <c r="G411" s="59">
        <v>48280.73</v>
      </c>
      <c r="H411" s="50">
        <v>74071.429999999993</v>
      </c>
      <c r="I411" s="50">
        <v>83264.58</v>
      </c>
      <c r="J411" s="53">
        <v>58300</v>
      </c>
      <c r="K411" s="42">
        <v>263916.74</v>
      </c>
    </row>
    <row r="412" spans="1:11" x14ac:dyDescent="0.3">
      <c r="A412" s="63"/>
      <c r="B412" s="64" t="s">
        <v>850</v>
      </c>
      <c r="C412" s="65"/>
      <c r="D412" s="66" t="s">
        <v>842</v>
      </c>
      <c r="E412" s="65"/>
      <c r="F412" s="80">
        <v>1730120.84</v>
      </c>
      <c r="G412" s="83">
        <v>316507</v>
      </c>
      <c r="H412" s="67">
        <v>485579.36</v>
      </c>
      <c r="I412" s="67">
        <v>545845.57999999996</v>
      </c>
      <c r="J412" s="76">
        <v>382188.9</v>
      </c>
      <c r="K412" s="60">
        <v>1730120.84</v>
      </c>
    </row>
    <row r="413" spans="1:11" x14ac:dyDescent="0.3">
      <c r="A413" s="68"/>
      <c r="B413" s="69" t="s">
        <v>851</v>
      </c>
      <c r="C413" s="70"/>
      <c r="D413" s="70"/>
      <c r="E413" s="70"/>
      <c r="F413" s="81"/>
      <c r="G413" s="84">
        <v>316507</v>
      </c>
      <c r="H413" s="70">
        <v>802086.36</v>
      </c>
      <c r="I413" s="70">
        <v>1347931.94</v>
      </c>
      <c r="J413" s="77">
        <v>1730120.8399999999</v>
      </c>
      <c r="K413" s="61"/>
    </row>
    <row r="414" spans="1:11" x14ac:dyDescent="0.3">
      <c r="A414" s="71"/>
      <c r="B414" s="72" t="s">
        <v>852</v>
      </c>
      <c r="C414" s="73"/>
      <c r="D414" s="73" t="s">
        <v>855</v>
      </c>
      <c r="E414" s="73">
        <f>F407</f>
        <v>1253165.8999999999</v>
      </c>
      <c r="F414" s="82"/>
      <c r="G414" s="85">
        <v>0.18290000000000001</v>
      </c>
      <c r="H414" s="74">
        <v>0.28070000000000001</v>
      </c>
      <c r="I414" s="74">
        <v>0.3155</v>
      </c>
      <c r="J414" s="78">
        <v>0.22090000000000001</v>
      </c>
      <c r="K414" s="62"/>
    </row>
    <row r="415" spans="1:11" ht="10.8" thickBot="1" x14ac:dyDescent="0.35">
      <c r="A415" s="68"/>
      <c r="B415" s="69" t="s">
        <v>853</v>
      </c>
      <c r="C415" s="70"/>
      <c r="D415" s="70"/>
      <c r="E415" s="70"/>
      <c r="F415" s="81"/>
      <c r="G415" s="86">
        <v>0.18290000000000001</v>
      </c>
      <c r="H415" s="75">
        <v>0.46360000000000001</v>
      </c>
      <c r="I415" s="75">
        <v>0.77910000000000001</v>
      </c>
      <c r="J415" s="79">
        <v>1</v>
      </c>
      <c r="K415" s="61"/>
    </row>
  </sheetData>
  <mergeCells count="1">
    <mergeCell ref="B5:K5"/>
  </mergeCells>
  <printOptions horizontalCentered="1"/>
  <pageMargins left="0.39370078740157477" right="0.39370078740157477" top="0.59055118110236215" bottom="0.98425196850393704" header="0" footer="0.59055118110236215"/>
  <pageSetup scale="82" orientation="landscape" r:id="rId1"/>
  <headerFooter>
    <oddFooter>&amp;R&amp;"Times New Roman,Negrita Cursiva"&amp;8Página &amp;P de &amp;N</oddFooter>
  </headerFooter>
  <rowBreaks count="1" manualBreakCount="1">
    <brk id="382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47EAA-F182-4635-9D0A-39DF6897A36A}">
  <dimension ref="A1:N406"/>
  <sheetViews>
    <sheetView view="pageBreakPreview" topLeftCell="A8" zoomScale="180" zoomScaleNormal="100" zoomScaleSheetLayoutView="180" workbookViewId="0">
      <selection activeCell="F404" sqref="F404"/>
    </sheetView>
  </sheetViews>
  <sheetFormatPr baseColWidth="10" defaultRowHeight="10.199999999999999" x14ac:dyDescent="0.3"/>
  <cols>
    <col min="1" max="1" width="9.77734375" style="1" customWidth="1"/>
    <col min="2" max="2" width="37" style="1" customWidth="1"/>
    <col min="3" max="3" width="5.77734375" style="1" customWidth="1"/>
    <col min="4" max="5" width="8.33203125" style="1" customWidth="1"/>
    <col min="6" max="6" width="9.33203125" style="1" customWidth="1"/>
    <col min="7" max="10" width="9.109375" style="1" customWidth="1"/>
    <col min="11" max="11" width="9.44140625" style="1" customWidth="1"/>
    <col min="12" max="16384" width="11.5546875" style="1"/>
  </cols>
  <sheetData>
    <row r="1" spans="1:12" ht="10.8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3"/>
    </row>
    <row r="3" spans="1:12" ht="27.6" x14ac:dyDescent="0.3">
      <c r="A3" s="5" t="s">
        <v>0</v>
      </c>
      <c r="B3" s="5"/>
      <c r="C3" s="5"/>
      <c r="D3" s="5"/>
      <c r="E3" s="5"/>
      <c r="F3" s="5"/>
      <c r="G3" s="5"/>
      <c r="H3" s="5"/>
      <c r="I3" s="5"/>
      <c r="J3" s="5"/>
      <c r="K3" s="5"/>
    </row>
    <row r="5" spans="1:12" ht="25.8" customHeight="1" x14ac:dyDescent="0.3">
      <c r="A5" s="4" t="s">
        <v>1</v>
      </c>
      <c r="B5" s="118" t="s">
        <v>854</v>
      </c>
      <c r="C5" s="118"/>
      <c r="D5" s="118"/>
      <c r="E5" s="118"/>
      <c r="F5" s="118"/>
      <c r="G5" s="118"/>
      <c r="H5" s="118"/>
      <c r="I5" s="118"/>
      <c r="J5" s="118"/>
      <c r="K5" s="118"/>
    </row>
    <row r="6" spans="1:12" ht="11.4" x14ac:dyDescent="0.3">
      <c r="A6" s="4" t="s">
        <v>2</v>
      </c>
      <c r="B6" s="6" t="s">
        <v>5</v>
      </c>
    </row>
    <row r="7" spans="1:12" ht="12" thickBot="1" x14ac:dyDescent="0.35">
      <c r="A7" s="4" t="s">
        <v>3</v>
      </c>
      <c r="B7" s="6" t="s">
        <v>6</v>
      </c>
      <c r="D7" s="4" t="s">
        <v>4</v>
      </c>
      <c r="E7" s="1" t="s">
        <v>7</v>
      </c>
    </row>
    <row r="8" spans="1:12" ht="10.8" x14ac:dyDescent="0.3">
      <c r="G8" s="11" t="s">
        <v>8</v>
      </c>
      <c r="H8" s="8"/>
      <c r="I8" s="8"/>
      <c r="J8" s="9"/>
    </row>
    <row r="9" spans="1:12" ht="32.4" x14ac:dyDescent="0.3">
      <c r="A9" s="7" t="s">
        <v>9</v>
      </c>
      <c r="B9" s="7" t="s">
        <v>10</v>
      </c>
      <c r="C9" s="7" t="s">
        <v>11</v>
      </c>
      <c r="D9" s="7" t="s">
        <v>12</v>
      </c>
      <c r="E9" s="7" t="s">
        <v>13</v>
      </c>
      <c r="F9" s="10" t="s">
        <v>14</v>
      </c>
      <c r="G9" s="12" t="s">
        <v>15</v>
      </c>
      <c r="H9" s="13" t="s">
        <v>16</v>
      </c>
      <c r="I9" s="13" t="s">
        <v>17</v>
      </c>
      <c r="J9" s="14" t="s">
        <v>18</v>
      </c>
      <c r="K9" s="15" t="s">
        <v>19</v>
      </c>
    </row>
    <row r="10" spans="1:12" x14ac:dyDescent="0.3">
      <c r="A10" s="23"/>
      <c r="B10" s="29" t="s">
        <v>36</v>
      </c>
      <c r="C10" s="24"/>
      <c r="D10" s="24"/>
      <c r="E10" s="24"/>
      <c r="F10" s="82"/>
      <c r="G10" s="100"/>
      <c r="H10" s="73"/>
      <c r="I10" s="73"/>
      <c r="J10" s="101"/>
      <c r="K10" s="62"/>
    </row>
    <row r="11" spans="1:12" x14ac:dyDescent="0.3">
      <c r="A11" s="30" t="s">
        <v>37</v>
      </c>
      <c r="B11" s="31" t="s">
        <v>38</v>
      </c>
      <c r="C11" s="32" t="s">
        <v>39</v>
      </c>
      <c r="D11" s="24">
        <v>18.36</v>
      </c>
      <c r="E11" s="24">
        <v>18.98</v>
      </c>
      <c r="F11" s="82">
        <f>+ROUND(D11*E11,2)</f>
        <v>348.47</v>
      </c>
      <c r="G11" s="100">
        <v>147.5</v>
      </c>
      <c r="H11" s="73">
        <v>66.52</v>
      </c>
      <c r="I11" s="73">
        <v>134.44999999999999</v>
      </c>
      <c r="J11" s="101">
        <v>0</v>
      </c>
      <c r="K11" s="62">
        <f>SUM(G11:J11)</f>
        <v>348.46999999999997</v>
      </c>
      <c r="L11" s="1">
        <f>+F11-K11</f>
        <v>0</v>
      </c>
    </row>
    <row r="12" spans="1:12" x14ac:dyDescent="0.3">
      <c r="A12" s="30" t="s">
        <v>40</v>
      </c>
      <c r="B12" s="31" t="s">
        <v>41</v>
      </c>
      <c r="C12" s="32" t="s">
        <v>42</v>
      </c>
      <c r="D12" s="24">
        <v>130.08000000000001</v>
      </c>
      <c r="E12" s="24">
        <v>61.63</v>
      </c>
      <c r="F12" s="82">
        <f t="shared" ref="F12:F75" si="0">+ROUND(D12*E12,2)</f>
        <v>8016.83</v>
      </c>
      <c r="G12" s="100">
        <v>2091.98</v>
      </c>
      <c r="H12" s="73">
        <v>3141.08</v>
      </c>
      <c r="I12" s="73">
        <v>2783.77</v>
      </c>
      <c r="J12" s="101">
        <v>0</v>
      </c>
      <c r="K12" s="62">
        <f t="shared" ref="K12:K75" si="1">SUM(G12:J12)</f>
        <v>8016.83</v>
      </c>
      <c r="L12" s="1">
        <f t="shared" ref="L12:L75" si="2">+F12-K12</f>
        <v>0</v>
      </c>
    </row>
    <row r="13" spans="1:12" x14ac:dyDescent="0.3">
      <c r="A13" s="30" t="s">
        <v>43</v>
      </c>
      <c r="B13" s="31" t="s">
        <v>44</v>
      </c>
      <c r="C13" s="32" t="s">
        <v>45</v>
      </c>
      <c r="D13" s="24">
        <v>4</v>
      </c>
      <c r="E13" s="24">
        <v>63</v>
      </c>
      <c r="F13" s="82">
        <f t="shared" si="0"/>
        <v>252</v>
      </c>
      <c r="G13" s="100">
        <v>0</v>
      </c>
      <c r="H13" s="73">
        <v>0</v>
      </c>
      <c r="I13" s="73">
        <v>252</v>
      </c>
      <c r="J13" s="101">
        <v>0</v>
      </c>
      <c r="K13" s="62">
        <f t="shared" si="1"/>
        <v>252</v>
      </c>
      <c r="L13" s="1">
        <f t="shared" si="2"/>
        <v>0</v>
      </c>
    </row>
    <row r="14" spans="1:12" x14ac:dyDescent="0.3">
      <c r="A14" s="30" t="s">
        <v>46</v>
      </c>
      <c r="B14" s="31" t="s">
        <v>47</v>
      </c>
      <c r="C14" s="32" t="s">
        <v>48</v>
      </c>
      <c r="D14" s="24">
        <v>5.54</v>
      </c>
      <c r="E14" s="24">
        <v>101.69</v>
      </c>
      <c r="F14" s="82">
        <f t="shared" si="0"/>
        <v>563.36</v>
      </c>
      <c r="G14" s="100">
        <v>0</v>
      </c>
      <c r="H14" s="73">
        <v>0</v>
      </c>
      <c r="I14" s="73">
        <v>471.45</v>
      </c>
      <c r="J14" s="101">
        <v>91.91</v>
      </c>
      <c r="K14" s="62">
        <f t="shared" si="1"/>
        <v>563.36</v>
      </c>
      <c r="L14" s="1">
        <f t="shared" si="2"/>
        <v>0</v>
      </c>
    </row>
    <row r="15" spans="1:12" x14ac:dyDescent="0.3">
      <c r="A15" s="30" t="s">
        <v>49</v>
      </c>
      <c r="B15" s="31" t="s">
        <v>50</v>
      </c>
      <c r="C15" s="32" t="s">
        <v>51</v>
      </c>
      <c r="D15" s="24">
        <v>4.9000000000000004</v>
      </c>
      <c r="E15" s="24">
        <v>8.65</v>
      </c>
      <c r="F15" s="82">
        <f t="shared" si="0"/>
        <v>42.39</v>
      </c>
      <c r="G15" s="100">
        <v>0</v>
      </c>
      <c r="H15" s="73">
        <v>0</v>
      </c>
      <c r="I15" s="73">
        <v>42.39</v>
      </c>
      <c r="J15" s="101">
        <v>0</v>
      </c>
      <c r="K15" s="62">
        <f t="shared" si="1"/>
        <v>42.39</v>
      </c>
      <c r="L15" s="1">
        <f t="shared" si="2"/>
        <v>0</v>
      </c>
    </row>
    <row r="16" spans="1:12" x14ac:dyDescent="0.3">
      <c r="A16" s="30" t="s">
        <v>52</v>
      </c>
      <c r="B16" s="31" t="s">
        <v>53</v>
      </c>
      <c r="C16" s="32" t="s">
        <v>51</v>
      </c>
      <c r="D16" s="24">
        <v>78.64</v>
      </c>
      <c r="E16" s="24">
        <v>8.73</v>
      </c>
      <c r="F16" s="82">
        <f t="shared" si="0"/>
        <v>686.53</v>
      </c>
      <c r="G16" s="100">
        <v>85.88</v>
      </c>
      <c r="H16" s="73">
        <v>348.82</v>
      </c>
      <c r="I16" s="73">
        <v>251.83</v>
      </c>
      <c r="J16" s="101">
        <v>0</v>
      </c>
      <c r="K16" s="62">
        <f t="shared" si="1"/>
        <v>686.53</v>
      </c>
      <c r="L16" s="1">
        <f t="shared" si="2"/>
        <v>0</v>
      </c>
    </row>
    <row r="17" spans="1:12" x14ac:dyDescent="0.3">
      <c r="A17" s="30" t="s">
        <v>54</v>
      </c>
      <c r="B17" s="31" t="s">
        <v>55</v>
      </c>
      <c r="C17" s="32" t="s">
        <v>56</v>
      </c>
      <c r="D17" s="24">
        <v>9.77</v>
      </c>
      <c r="E17" s="24">
        <v>6.97</v>
      </c>
      <c r="F17" s="82">
        <f t="shared" si="0"/>
        <v>68.099999999999994</v>
      </c>
      <c r="G17" s="100">
        <v>68.099999999999994</v>
      </c>
      <c r="H17" s="73">
        <v>0</v>
      </c>
      <c r="I17" s="73">
        <v>0</v>
      </c>
      <c r="J17" s="101">
        <v>0</v>
      </c>
      <c r="K17" s="62">
        <f t="shared" si="1"/>
        <v>68.099999999999994</v>
      </c>
      <c r="L17" s="1">
        <f t="shared" si="2"/>
        <v>0</v>
      </c>
    </row>
    <row r="18" spans="1:12" x14ac:dyDescent="0.3">
      <c r="A18" s="30" t="s">
        <v>57</v>
      </c>
      <c r="B18" s="31" t="s">
        <v>58</v>
      </c>
      <c r="C18" s="32" t="s">
        <v>51</v>
      </c>
      <c r="D18" s="24">
        <v>703.74</v>
      </c>
      <c r="E18" s="24">
        <v>8.73</v>
      </c>
      <c r="F18" s="82">
        <f t="shared" si="0"/>
        <v>6143.65</v>
      </c>
      <c r="G18" s="100">
        <v>1349.96</v>
      </c>
      <c r="H18" s="73">
        <v>3086.01</v>
      </c>
      <c r="I18" s="73">
        <v>1707.68</v>
      </c>
      <c r="J18" s="101">
        <v>0</v>
      </c>
      <c r="K18" s="62">
        <f t="shared" si="1"/>
        <v>6143.6500000000005</v>
      </c>
      <c r="L18" s="1">
        <f t="shared" si="2"/>
        <v>0</v>
      </c>
    </row>
    <row r="19" spans="1:12" x14ac:dyDescent="0.3">
      <c r="A19" s="30" t="s">
        <v>59</v>
      </c>
      <c r="B19" s="31" t="s">
        <v>60</v>
      </c>
      <c r="C19" s="32" t="s">
        <v>45</v>
      </c>
      <c r="D19" s="24">
        <v>3</v>
      </c>
      <c r="E19" s="24">
        <v>313.27999999999997</v>
      </c>
      <c r="F19" s="82">
        <f t="shared" si="0"/>
        <v>939.84</v>
      </c>
      <c r="G19" s="100">
        <v>0</v>
      </c>
      <c r="H19" s="73">
        <v>939.84</v>
      </c>
      <c r="I19" s="73">
        <v>0</v>
      </c>
      <c r="J19" s="101">
        <v>0</v>
      </c>
      <c r="K19" s="62">
        <f t="shared" si="1"/>
        <v>939.84</v>
      </c>
      <c r="L19" s="1">
        <f t="shared" si="2"/>
        <v>0</v>
      </c>
    </row>
    <row r="20" spans="1:12" x14ac:dyDescent="0.3">
      <c r="A20" s="30" t="s">
        <v>61</v>
      </c>
      <c r="B20" s="31" t="s">
        <v>62</v>
      </c>
      <c r="C20" s="32" t="s">
        <v>51</v>
      </c>
      <c r="D20" s="24">
        <v>390.13</v>
      </c>
      <c r="E20" s="24">
        <v>6.7</v>
      </c>
      <c r="F20" s="82">
        <f t="shared" si="0"/>
        <v>2613.87</v>
      </c>
      <c r="G20" s="100">
        <v>216.19</v>
      </c>
      <c r="H20" s="73">
        <v>1814.21</v>
      </c>
      <c r="I20" s="73">
        <v>583.47</v>
      </c>
      <c r="J20" s="101">
        <v>0</v>
      </c>
      <c r="K20" s="62">
        <f t="shared" si="1"/>
        <v>2613.87</v>
      </c>
      <c r="L20" s="1">
        <f t="shared" si="2"/>
        <v>0</v>
      </c>
    </row>
    <row r="21" spans="1:12" x14ac:dyDescent="0.3">
      <c r="A21" s="30" t="s">
        <v>63</v>
      </c>
      <c r="B21" s="31" t="s">
        <v>64</v>
      </c>
      <c r="C21" s="32" t="s">
        <v>51</v>
      </c>
      <c r="D21" s="24">
        <v>10.4</v>
      </c>
      <c r="E21" s="24">
        <v>5.33</v>
      </c>
      <c r="F21" s="82">
        <f t="shared" si="0"/>
        <v>55.43</v>
      </c>
      <c r="G21" s="100">
        <v>55.43</v>
      </c>
      <c r="H21" s="73">
        <v>0</v>
      </c>
      <c r="I21" s="73">
        <v>0</v>
      </c>
      <c r="J21" s="101">
        <v>0</v>
      </c>
      <c r="K21" s="62">
        <f t="shared" si="1"/>
        <v>55.43</v>
      </c>
      <c r="L21" s="1">
        <f t="shared" si="2"/>
        <v>0</v>
      </c>
    </row>
    <row r="22" spans="1:12" x14ac:dyDescent="0.3">
      <c r="A22" s="30" t="s">
        <v>65</v>
      </c>
      <c r="B22" s="31" t="s">
        <v>66</v>
      </c>
      <c r="C22" s="32" t="s">
        <v>51</v>
      </c>
      <c r="D22" s="24">
        <v>10.5</v>
      </c>
      <c r="E22" s="24">
        <v>24.92</v>
      </c>
      <c r="F22" s="82">
        <f t="shared" si="0"/>
        <v>261.66000000000003</v>
      </c>
      <c r="G22" s="100">
        <v>0</v>
      </c>
      <c r="H22" s="73">
        <v>0</v>
      </c>
      <c r="I22" s="73">
        <v>261.66000000000003</v>
      </c>
      <c r="J22" s="101">
        <v>0</v>
      </c>
      <c r="K22" s="62">
        <f t="shared" si="1"/>
        <v>261.66000000000003</v>
      </c>
      <c r="L22" s="1">
        <f t="shared" si="2"/>
        <v>0</v>
      </c>
    </row>
    <row r="23" spans="1:12" x14ac:dyDescent="0.3">
      <c r="A23" s="30" t="s">
        <v>67</v>
      </c>
      <c r="B23" s="31" t="s">
        <v>68</v>
      </c>
      <c r="C23" s="32" t="s">
        <v>51</v>
      </c>
      <c r="D23" s="24">
        <v>2.5</v>
      </c>
      <c r="E23" s="24">
        <v>7.15</v>
      </c>
      <c r="F23" s="82">
        <f t="shared" si="0"/>
        <v>17.88</v>
      </c>
      <c r="G23" s="100">
        <v>0</v>
      </c>
      <c r="H23" s="73">
        <v>17.88</v>
      </c>
      <c r="I23" s="73">
        <v>0</v>
      </c>
      <c r="J23" s="101">
        <v>0</v>
      </c>
      <c r="K23" s="62">
        <f t="shared" si="1"/>
        <v>17.88</v>
      </c>
      <c r="L23" s="1">
        <f t="shared" si="2"/>
        <v>0</v>
      </c>
    </row>
    <row r="24" spans="1:12" x14ac:dyDescent="0.3">
      <c r="A24" s="30" t="s">
        <v>69</v>
      </c>
      <c r="B24" s="31" t="s">
        <v>70</v>
      </c>
      <c r="C24" s="32" t="s">
        <v>45</v>
      </c>
      <c r="D24" s="24">
        <v>88.01</v>
      </c>
      <c r="E24" s="24">
        <v>1.1000000000000001</v>
      </c>
      <c r="F24" s="82">
        <f t="shared" si="0"/>
        <v>96.81</v>
      </c>
      <c r="G24" s="100">
        <v>0</v>
      </c>
      <c r="H24" s="73">
        <v>0</v>
      </c>
      <c r="I24" s="73">
        <v>0</v>
      </c>
      <c r="J24" s="101">
        <v>96.81</v>
      </c>
      <c r="K24" s="62">
        <f t="shared" si="1"/>
        <v>96.81</v>
      </c>
      <c r="L24" s="1">
        <f t="shared" si="2"/>
        <v>0</v>
      </c>
    </row>
    <row r="25" spans="1:12" x14ac:dyDescent="0.3">
      <c r="A25" s="30" t="s">
        <v>71</v>
      </c>
      <c r="B25" s="31" t="s">
        <v>72</v>
      </c>
      <c r="C25" s="32" t="s">
        <v>45</v>
      </c>
      <c r="D25" s="24">
        <v>1</v>
      </c>
      <c r="E25" s="24">
        <v>925.85</v>
      </c>
      <c r="F25" s="82">
        <f t="shared" si="0"/>
        <v>925.85</v>
      </c>
      <c r="G25" s="100">
        <v>0</v>
      </c>
      <c r="H25" s="73">
        <v>0</v>
      </c>
      <c r="I25" s="73">
        <v>0</v>
      </c>
      <c r="J25" s="101">
        <v>925.85</v>
      </c>
      <c r="K25" s="62">
        <f t="shared" si="1"/>
        <v>925.85</v>
      </c>
      <c r="L25" s="1">
        <f t="shared" si="2"/>
        <v>0</v>
      </c>
    </row>
    <row r="26" spans="1:12" x14ac:dyDescent="0.3">
      <c r="A26" s="30" t="s">
        <v>73</v>
      </c>
      <c r="B26" s="31" t="s">
        <v>74</v>
      </c>
      <c r="C26" s="32" t="s">
        <v>45</v>
      </c>
      <c r="D26" s="24">
        <v>2</v>
      </c>
      <c r="E26" s="24">
        <v>925.85</v>
      </c>
      <c r="F26" s="82">
        <f t="shared" si="0"/>
        <v>1851.7</v>
      </c>
      <c r="G26" s="100">
        <v>0</v>
      </c>
      <c r="H26" s="73">
        <v>0</v>
      </c>
      <c r="I26" s="73">
        <v>0</v>
      </c>
      <c r="J26" s="101">
        <v>1851.7</v>
      </c>
      <c r="K26" s="62">
        <f t="shared" si="1"/>
        <v>1851.7</v>
      </c>
      <c r="L26" s="1">
        <f t="shared" si="2"/>
        <v>0</v>
      </c>
    </row>
    <row r="27" spans="1:12" x14ac:dyDescent="0.3">
      <c r="A27" s="30" t="s">
        <v>75</v>
      </c>
      <c r="B27" s="31" t="s">
        <v>76</v>
      </c>
      <c r="C27" s="32" t="s">
        <v>45</v>
      </c>
      <c r="D27" s="24">
        <v>1</v>
      </c>
      <c r="E27" s="24">
        <v>925.85</v>
      </c>
      <c r="F27" s="82">
        <f t="shared" si="0"/>
        <v>925.85</v>
      </c>
      <c r="G27" s="100">
        <v>0</v>
      </c>
      <c r="H27" s="73">
        <v>0</v>
      </c>
      <c r="I27" s="73">
        <v>0</v>
      </c>
      <c r="J27" s="101">
        <v>925.85</v>
      </c>
      <c r="K27" s="62">
        <f t="shared" si="1"/>
        <v>925.85</v>
      </c>
      <c r="L27" s="1">
        <f t="shared" si="2"/>
        <v>0</v>
      </c>
    </row>
    <row r="28" spans="1:12" x14ac:dyDescent="0.3">
      <c r="A28" s="30" t="s">
        <v>77</v>
      </c>
      <c r="B28" s="31" t="s">
        <v>78</v>
      </c>
      <c r="C28" s="32" t="s">
        <v>45</v>
      </c>
      <c r="D28" s="24">
        <v>1</v>
      </c>
      <c r="E28" s="24">
        <v>2287.2199999999998</v>
      </c>
      <c r="F28" s="82">
        <f t="shared" si="0"/>
        <v>2287.2199999999998</v>
      </c>
      <c r="G28" s="100">
        <v>0</v>
      </c>
      <c r="H28" s="73">
        <v>0</v>
      </c>
      <c r="I28" s="73">
        <v>2287.2199999999998</v>
      </c>
      <c r="J28" s="101">
        <v>0</v>
      </c>
      <c r="K28" s="62">
        <f t="shared" si="1"/>
        <v>2287.2199999999998</v>
      </c>
      <c r="L28" s="1">
        <f t="shared" si="2"/>
        <v>0</v>
      </c>
    </row>
    <row r="29" spans="1:12" x14ac:dyDescent="0.3">
      <c r="A29" s="30" t="s">
        <v>79</v>
      </c>
      <c r="B29" s="31" t="s">
        <v>80</v>
      </c>
      <c r="C29" s="32" t="s">
        <v>45</v>
      </c>
      <c r="D29" s="24">
        <v>1</v>
      </c>
      <c r="E29" s="24">
        <v>273.22000000000003</v>
      </c>
      <c r="F29" s="82">
        <f t="shared" si="0"/>
        <v>273.22000000000003</v>
      </c>
      <c r="G29" s="100">
        <v>0</v>
      </c>
      <c r="H29" s="73">
        <v>0</v>
      </c>
      <c r="I29" s="73">
        <v>273.22000000000003</v>
      </c>
      <c r="J29" s="101">
        <v>0</v>
      </c>
      <c r="K29" s="62">
        <f t="shared" si="1"/>
        <v>273.22000000000003</v>
      </c>
      <c r="L29" s="1">
        <f t="shared" si="2"/>
        <v>0</v>
      </c>
    </row>
    <row r="30" spans="1:12" x14ac:dyDescent="0.3">
      <c r="A30" s="30" t="s">
        <v>81</v>
      </c>
      <c r="B30" s="31" t="s">
        <v>82</v>
      </c>
      <c r="C30" s="32" t="s">
        <v>45</v>
      </c>
      <c r="D30" s="24">
        <v>2.2000000000000002</v>
      </c>
      <c r="E30" s="24">
        <v>96.14</v>
      </c>
      <c r="F30" s="82">
        <f t="shared" si="0"/>
        <v>211.51</v>
      </c>
      <c r="G30" s="100">
        <v>0</v>
      </c>
      <c r="H30" s="73">
        <v>0</v>
      </c>
      <c r="I30" s="73">
        <v>0</v>
      </c>
      <c r="J30" s="101">
        <v>211.51</v>
      </c>
      <c r="K30" s="62">
        <f t="shared" si="1"/>
        <v>211.51</v>
      </c>
      <c r="L30" s="1">
        <f t="shared" si="2"/>
        <v>0</v>
      </c>
    </row>
    <row r="31" spans="1:12" x14ac:dyDescent="0.3">
      <c r="A31" s="30" t="s">
        <v>83</v>
      </c>
      <c r="B31" s="31" t="s">
        <v>84</v>
      </c>
      <c r="C31" s="32" t="s">
        <v>45</v>
      </c>
      <c r="D31" s="24">
        <v>3</v>
      </c>
      <c r="E31" s="24">
        <v>220</v>
      </c>
      <c r="F31" s="82">
        <f t="shared" si="0"/>
        <v>660</v>
      </c>
      <c r="G31" s="100">
        <v>0</v>
      </c>
      <c r="H31" s="73">
        <v>0</v>
      </c>
      <c r="I31" s="73">
        <v>660</v>
      </c>
      <c r="J31" s="101">
        <v>0</v>
      </c>
      <c r="K31" s="62">
        <f t="shared" si="1"/>
        <v>660</v>
      </c>
      <c r="L31" s="1">
        <f t="shared" si="2"/>
        <v>0</v>
      </c>
    </row>
    <row r="32" spans="1:12" x14ac:dyDescent="0.3">
      <c r="A32" s="30" t="s">
        <v>85</v>
      </c>
      <c r="B32" s="31" t="s">
        <v>86</v>
      </c>
      <c r="C32" s="32" t="s">
        <v>45</v>
      </c>
      <c r="D32" s="24">
        <v>3.7</v>
      </c>
      <c r="E32" s="24">
        <v>220</v>
      </c>
      <c r="F32" s="82">
        <f t="shared" si="0"/>
        <v>814</v>
      </c>
      <c r="G32" s="100">
        <v>0</v>
      </c>
      <c r="H32" s="73">
        <v>0</v>
      </c>
      <c r="I32" s="73">
        <v>814</v>
      </c>
      <c r="J32" s="101">
        <v>0</v>
      </c>
      <c r="K32" s="62">
        <f t="shared" si="1"/>
        <v>814</v>
      </c>
      <c r="L32" s="1">
        <f t="shared" si="2"/>
        <v>0</v>
      </c>
    </row>
    <row r="33" spans="1:12" x14ac:dyDescent="0.3">
      <c r="A33" s="30" t="s">
        <v>87</v>
      </c>
      <c r="B33" s="31" t="s">
        <v>88</v>
      </c>
      <c r="C33" s="32" t="s">
        <v>56</v>
      </c>
      <c r="D33" s="24">
        <v>24.5</v>
      </c>
      <c r="E33" s="24">
        <v>3.78</v>
      </c>
      <c r="F33" s="82">
        <f t="shared" si="0"/>
        <v>92.61</v>
      </c>
      <c r="G33" s="100">
        <v>0</v>
      </c>
      <c r="H33" s="73">
        <v>0</v>
      </c>
      <c r="I33" s="73">
        <v>92.61</v>
      </c>
      <c r="J33" s="101">
        <v>0</v>
      </c>
      <c r="K33" s="62">
        <f t="shared" si="1"/>
        <v>92.61</v>
      </c>
      <c r="L33" s="1">
        <f t="shared" si="2"/>
        <v>0</v>
      </c>
    </row>
    <row r="34" spans="1:12" x14ac:dyDescent="0.3">
      <c r="A34" s="30" t="s">
        <v>89</v>
      </c>
      <c r="B34" s="31" t="s">
        <v>90</v>
      </c>
      <c r="C34" s="32" t="s">
        <v>51</v>
      </c>
      <c r="D34" s="24">
        <v>12434.94</v>
      </c>
      <c r="E34" s="24">
        <v>5.59</v>
      </c>
      <c r="F34" s="82">
        <f t="shared" si="0"/>
        <v>69511.31</v>
      </c>
      <c r="G34" s="100">
        <v>27525.51</v>
      </c>
      <c r="H34" s="73">
        <v>29848.41</v>
      </c>
      <c r="I34" s="73">
        <v>12137.39</v>
      </c>
      <c r="J34" s="101">
        <v>0</v>
      </c>
      <c r="K34" s="62">
        <f t="shared" si="1"/>
        <v>69511.31</v>
      </c>
      <c r="L34" s="1">
        <f t="shared" si="2"/>
        <v>0</v>
      </c>
    </row>
    <row r="35" spans="1:12" x14ac:dyDescent="0.3">
      <c r="A35" s="30" t="s">
        <v>91</v>
      </c>
      <c r="B35" s="31" t="s">
        <v>92</v>
      </c>
      <c r="C35" s="32" t="s">
        <v>93</v>
      </c>
      <c r="D35" s="24">
        <v>53.97</v>
      </c>
      <c r="E35" s="24">
        <v>50.66</v>
      </c>
      <c r="F35" s="82">
        <f t="shared" si="0"/>
        <v>2734.12</v>
      </c>
      <c r="G35" s="100">
        <v>0</v>
      </c>
      <c r="H35" s="73">
        <v>58.08</v>
      </c>
      <c r="I35" s="73">
        <v>1105.32</v>
      </c>
      <c r="J35" s="101">
        <v>1570.72</v>
      </c>
      <c r="K35" s="62">
        <f t="shared" si="1"/>
        <v>2734.12</v>
      </c>
      <c r="L35" s="1">
        <f t="shared" si="2"/>
        <v>0</v>
      </c>
    </row>
    <row r="36" spans="1:12" x14ac:dyDescent="0.3">
      <c r="A36" s="30" t="s">
        <v>94</v>
      </c>
      <c r="B36" s="31" t="s">
        <v>95</v>
      </c>
      <c r="C36" s="32" t="s">
        <v>93</v>
      </c>
      <c r="D36" s="24">
        <v>157.5</v>
      </c>
      <c r="E36" s="24">
        <v>51.09</v>
      </c>
      <c r="F36" s="82">
        <f t="shared" si="0"/>
        <v>8046.68</v>
      </c>
      <c r="G36" s="100">
        <v>1581.13</v>
      </c>
      <c r="H36" s="73">
        <v>2825.14</v>
      </c>
      <c r="I36" s="73">
        <v>3309.92</v>
      </c>
      <c r="J36" s="101">
        <v>330.49</v>
      </c>
      <c r="K36" s="62">
        <f t="shared" si="1"/>
        <v>8046.68</v>
      </c>
      <c r="L36" s="1">
        <f t="shared" si="2"/>
        <v>0</v>
      </c>
    </row>
    <row r="37" spans="1:12" x14ac:dyDescent="0.3">
      <c r="A37" s="30" t="s">
        <v>96</v>
      </c>
      <c r="B37" s="31" t="s">
        <v>97</v>
      </c>
      <c r="C37" s="32" t="s">
        <v>42</v>
      </c>
      <c r="D37" s="24">
        <v>0.3</v>
      </c>
      <c r="E37" s="24">
        <v>79.2</v>
      </c>
      <c r="F37" s="82">
        <f t="shared" si="0"/>
        <v>23.76</v>
      </c>
      <c r="G37" s="100">
        <v>0</v>
      </c>
      <c r="H37" s="73">
        <v>0</v>
      </c>
      <c r="I37" s="73">
        <v>0</v>
      </c>
      <c r="J37" s="101">
        <v>23.76</v>
      </c>
      <c r="K37" s="62">
        <f t="shared" si="1"/>
        <v>23.76</v>
      </c>
      <c r="L37" s="1">
        <f t="shared" si="2"/>
        <v>0</v>
      </c>
    </row>
    <row r="38" spans="1:12" x14ac:dyDescent="0.3">
      <c r="A38" s="30" t="s">
        <v>98</v>
      </c>
      <c r="B38" s="31" t="s">
        <v>99</v>
      </c>
      <c r="C38" s="32" t="s">
        <v>45</v>
      </c>
      <c r="D38" s="24">
        <v>7.11</v>
      </c>
      <c r="E38" s="24">
        <v>7.53</v>
      </c>
      <c r="F38" s="82">
        <f t="shared" si="0"/>
        <v>53.54</v>
      </c>
      <c r="G38" s="100">
        <v>0</v>
      </c>
      <c r="H38" s="73">
        <v>53.54</v>
      </c>
      <c r="I38" s="73">
        <v>0</v>
      </c>
      <c r="J38" s="101">
        <v>0</v>
      </c>
      <c r="K38" s="62">
        <f t="shared" si="1"/>
        <v>53.54</v>
      </c>
      <c r="L38" s="1">
        <f t="shared" si="2"/>
        <v>0</v>
      </c>
    </row>
    <row r="39" spans="1:12" x14ac:dyDescent="0.3">
      <c r="A39" s="30" t="s">
        <v>100</v>
      </c>
      <c r="B39" s="31" t="s">
        <v>101</v>
      </c>
      <c r="C39" s="32" t="s">
        <v>102</v>
      </c>
      <c r="D39" s="24">
        <v>1427.64</v>
      </c>
      <c r="E39" s="24">
        <v>7.53</v>
      </c>
      <c r="F39" s="82">
        <f t="shared" si="0"/>
        <v>10750.13</v>
      </c>
      <c r="G39" s="100">
        <v>0</v>
      </c>
      <c r="H39" s="73">
        <v>0</v>
      </c>
      <c r="I39" s="73">
        <v>10750.13</v>
      </c>
      <c r="J39" s="101">
        <v>0</v>
      </c>
      <c r="K39" s="62">
        <f t="shared" si="1"/>
        <v>10750.13</v>
      </c>
      <c r="L39" s="1">
        <f t="shared" si="2"/>
        <v>0</v>
      </c>
    </row>
    <row r="40" spans="1:12" x14ac:dyDescent="0.3">
      <c r="A40" s="30" t="s">
        <v>103</v>
      </c>
      <c r="B40" s="31" t="s">
        <v>104</v>
      </c>
      <c r="C40" s="32" t="s">
        <v>45</v>
      </c>
      <c r="D40" s="24">
        <v>122.33</v>
      </c>
      <c r="E40" s="24">
        <v>19.809999999999999</v>
      </c>
      <c r="F40" s="82">
        <f t="shared" si="0"/>
        <v>2423.36</v>
      </c>
      <c r="G40" s="100">
        <v>0</v>
      </c>
      <c r="H40" s="73">
        <v>0</v>
      </c>
      <c r="I40" s="73">
        <v>0</v>
      </c>
      <c r="J40" s="101">
        <v>2423.36</v>
      </c>
      <c r="K40" s="62">
        <f t="shared" si="1"/>
        <v>2423.36</v>
      </c>
      <c r="L40" s="1">
        <f t="shared" si="2"/>
        <v>0</v>
      </c>
    </row>
    <row r="41" spans="1:12" x14ac:dyDescent="0.3">
      <c r="A41" s="30" t="s">
        <v>105</v>
      </c>
      <c r="B41" s="31" t="s">
        <v>106</v>
      </c>
      <c r="C41" s="32" t="s">
        <v>93</v>
      </c>
      <c r="D41" s="24">
        <v>76.900000000000006</v>
      </c>
      <c r="E41" s="24">
        <v>49.15</v>
      </c>
      <c r="F41" s="82">
        <f t="shared" si="0"/>
        <v>3779.64</v>
      </c>
      <c r="G41" s="100">
        <v>0</v>
      </c>
      <c r="H41" s="73">
        <v>3779.64</v>
      </c>
      <c r="I41" s="73">
        <v>0</v>
      </c>
      <c r="J41" s="101">
        <v>0</v>
      </c>
      <c r="K41" s="62">
        <f t="shared" si="1"/>
        <v>3779.64</v>
      </c>
      <c r="L41" s="1">
        <f t="shared" si="2"/>
        <v>0</v>
      </c>
    </row>
    <row r="42" spans="1:12" x14ac:dyDescent="0.3">
      <c r="A42" s="30" t="s">
        <v>107</v>
      </c>
      <c r="B42" s="31" t="s">
        <v>108</v>
      </c>
      <c r="C42" s="32" t="s">
        <v>42</v>
      </c>
      <c r="D42" s="24">
        <v>53.42</v>
      </c>
      <c r="E42" s="24">
        <v>6.75</v>
      </c>
      <c r="F42" s="82">
        <f t="shared" si="0"/>
        <v>360.59</v>
      </c>
      <c r="G42" s="100">
        <v>39.82</v>
      </c>
      <c r="H42" s="73">
        <v>120.96</v>
      </c>
      <c r="I42" s="73">
        <v>76.540000000000006</v>
      </c>
      <c r="J42" s="101">
        <v>123.27</v>
      </c>
      <c r="K42" s="62">
        <f t="shared" si="1"/>
        <v>360.59</v>
      </c>
      <c r="L42" s="1">
        <f t="shared" si="2"/>
        <v>0</v>
      </c>
    </row>
    <row r="43" spans="1:12" x14ac:dyDescent="0.3">
      <c r="A43" s="30" t="s">
        <v>109</v>
      </c>
      <c r="B43" s="31" t="s">
        <v>110</v>
      </c>
      <c r="C43" s="32" t="s">
        <v>42</v>
      </c>
      <c r="D43" s="24">
        <v>22.26</v>
      </c>
      <c r="E43" s="24">
        <v>49.15</v>
      </c>
      <c r="F43" s="82">
        <f t="shared" si="0"/>
        <v>1094.08</v>
      </c>
      <c r="G43" s="100">
        <v>0</v>
      </c>
      <c r="H43" s="73">
        <v>1094.08</v>
      </c>
      <c r="I43" s="73">
        <v>0</v>
      </c>
      <c r="J43" s="101">
        <v>0</v>
      </c>
      <c r="K43" s="62">
        <f t="shared" si="1"/>
        <v>1094.08</v>
      </c>
      <c r="L43" s="1">
        <f t="shared" si="2"/>
        <v>0</v>
      </c>
    </row>
    <row r="44" spans="1:12" x14ac:dyDescent="0.3">
      <c r="A44" s="30" t="s">
        <v>111</v>
      </c>
      <c r="B44" s="31" t="s">
        <v>112</v>
      </c>
      <c r="C44" s="32" t="s">
        <v>93</v>
      </c>
      <c r="D44" s="24">
        <v>6.29</v>
      </c>
      <c r="E44" s="24">
        <v>55</v>
      </c>
      <c r="F44" s="82">
        <f t="shared" si="0"/>
        <v>345.95</v>
      </c>
      <c r="G44" s="100">
        <v>0</v>
      </c>
      <c r="H44" s="73">
        <v>345.95</v>
      </c>
      <c r="I44" s="73">
        <v>0</v>
      </c>
      <c r="J44" s="101">
        <v>0</v>
      </c>
      <c r="K44" s="62">
        <f t="shared" si="1"/>
        <v>345.95</v>
      </c>
      <c r="L44" s="1">
        <f t="shared" si="2"/>
        <v>0</v>
      </c>
    </row>
    <row r="45" spans="1:12" x14ac:dyDescent="0.3">
      <c r="A45" s="30" t="s">
        <v>113</v>
      </c>
      <c r="B45" s="31" t="s">
        <v>114</v>
      </c>
      <c r="C45" s="32" t="s">
        <v>93</v>
      </c>
      <c r="D45" s="24">
        <v>1.89</v>
      </c>
      <c r="E45" s="24">
        <v>61.63</v>
      </c>
      <c r="F45" s="82">
        <f t="shared" si="0"/>
        <v>116.48</v>
      </c>
      <c r="G45" s="100">
        <v>0</v>
      </c>
      <c r="H45" s="73">
        <v>0</v>
      </c>
      <c r="I45" s="73">
        <v>116.48</v>
      </c>
      <c r="J45" s="101">
        <v>0</v>
      </c>
      <c r="K45" s="62">
        <f t="shared" si="1"/>
        <v>116.48</v>
      </c>
      <c r="L45" s="1">
        <f t="shared" si="2"/>
        <v>0</v>
      </c>
    </row>
    <row r="46" spans="1:12" x14ac:dyDescent="0.3">
      <c r="A46" s="30" t="s">
        <v>115</v>
      </c>
      <c r="B46" s="31" t="s">
        <v>116</v>
      </c>
      <c r="C46" s="32" t="s">
        <v>42</v>
      </c>
      <c r="D46" s="24">
        <v>18.010000000000002</v>
      </c>
      <c r="E46" s="24">
        <v>51.84</v>
      </c>
      <c r="F46" s="82">
        <f t="shared" si="0"/>
        <v>933.64</v>
      </c>
      <c r="G46" s="100">
        <v>191.95</v>
      </c>
      <c r="H46" s="73">
        <v>741.69</v>
      </c>
      <c r="I46" s="73">
        <v>0</v>
      </c>
      <c r="J46" s="101">
        <v>0</v>
      </c>
      <c r="K46" s="62">
        <f t="shared" si="1"/>
        <v>933.6400000000001</v>
      </c>
      <c r="L46" s="1">
        <f t="shared" si="2"/>
        <v>0</v>
      </c>
    </row>
    <row r="47" spans="1:12" x14ac:dyDescent="0.3">
      <c r="A47" s="30" t="s">
        <v>117</v>
      </c>
      <c r="B47" s="31" t="s">
        <v>118</v>
      </c>
      <c r="C47" s="32" t="s">
        <v>42</v>
      </c>
      <c r="D47" s="24">
        <v>2.65</v>
      </c>
      <c r="E47" s="24">
        <v>55.94</v>
      </c>
      <c r="F47" s="82">
        <f t="shared" si="0"/>
        <v>148.24</v>
      </c>
      <c r="G47" s="100">
        <v>0</v>
      </c>
      <c r="H47" s="73">
        <v>74.12</v>
      </c>
      <c r="I47" s="73">
        <v>74.12</v>
      </c>
      <c r="J47" s="101">
        <v>0</v>
      </c>
      <c r="K47" s="62">
        <f t="shared" si="1"/>
        <v>148.24</v>
      </c>
      <c r="L47" s="1">
        <f t="shared" si="2"/>
        <v>0</v>
      </c>
    </row>
    <row r="48" spans="1:12" x14ac:dyDescent="0.3">
      <c r="A48" s="30" t="s">
        <v>119</v>
      </c>
      <c r="B48" s="31" t="s">
        <v>120</v>
      </c>
      <c r="C48" s="32" t="s">
        <v>45</v>
      </c>
      <c r="D48" s="24">
        <v>1</v>
      </c>
      <c r="E48" s="24">
        <v>2200.79</v>
      </c>
      <c r="F48" s="82">
        <f t="shared" si="0"/>
        <v>2200.79</v>
      </c>
      <c r="G48" s="100">
        <v>0</v>
      </c>
      <c r="H48" s="73">
        <v>0</v>
      </c>
      <c r="I48" s="73">
        <v>2200.79</v>
      </c>
      <c r="J48" s="101">
        <v>0</v>
      </c>
      <c r="K48" s="62">
        <f t="shared" si="1"/>
        <v>2200.79</v>
      </c>
      <c r="L48" s="1">
        <f t="shared" si="2"/>
        <v>0</v>
      </c>
    </row>
    <row r="49" spans="1:12" x14ac:dyDescent="0.3">
      <c r="A49" s="30" t="s">
        <v>121</v>
      </c>
      <c r="B49" s="31" t="s">
        <v>122</v>
      </c>
      <c r="C49" s="32" t="s">
        <v>123</v>
      </c>
      <c r="D49" s="24">
        <v>1.7</v>
      </c>
      <c r="E49" s="24">
        <v>12.38</v>
      </c>
      <c r="F49" s="82">
        <f t="shared" si="0"/>
        <v>21.05</v>
      </c>
      <c r="G49" s="100">
        <v>0</v>
      </c>
      <c r="H49" s="73">
        <v>21.05</v>
      </c>
      <c r="I49" s="73">
        <v>0</v>
      </c>
      <c r="J49" s="101">
        <v>0</v>
      </c>
      <c r="K49" s="62">
        <f t="shared" si="1"/>
        <v>21.05</v>
      </c>
      <c r="L49" s="1">
        <f t="shared" si="2"/>
        <v>0</v>
      </c>
    </row>
    <row r="50" spans="1:12" x14ac:dyDescent="0.3">
      <c r="A50" s="30" t="s">
        <v>124</v>
      </c>
      <c r="B50" s="31" t="s">
        <v>125</v>
      </c>
      <c r="C50" s="32" t="s">
        <v>123</v>
      </c>
      <c r="D50" s="24">
        <v>0.71</v>
      </c>
      <c r="E50" s="24">
        <v>250.8</v>
      </c>
      <c r="F50" s="82">
        <f t="shared" si="0"/>
        <v>178.07</v>
      </c>
      <c r="G50" s="100">
        <v>89.04</v>
      </c>
      <c r="H50" s="73">
        <v>89.03</v>
      </c>
      <c r="I50" s="73">
        <v>0</v>
      </c>
      <c r="J50" s="101">
        <v>0</v>
      </c>
      <c r="K50" s="62">
        <f t="shared" si="1"/>
        <v>178.07</v>
      </c>
      <c r="L50" s="1">
        <f t="shared" si="2"/>
        <v>0</v>
      </c>
    </row>
    <row r="51" spans="1:12" x14ac:dyDescent="0.3">
      <c r="A51" s="30" t="s">
        <v>126</v>
      </c>
      <c r="B51" s="31" t="s">
        <v>127</v>
      </c>
      <c r="C51" s="32" t="s">
        <v>128</v>
      </c>
      <c r="D51" s="24">
        <v>2</v>
      </c>
      <c r="E51" s="24">
        <v>5.23</v>
      </c>
      <c r="F51" s="82">
        <f t="shared" si="0"/>
        <v>10.46</v>
      </c>
      <c r="G51" s="100">
        <v>0</v>
      </c>
      <c r="H51" s="73">
        <v>10.46</v>
      </c>
      <c r="I51" s="73">
        <v>0</v>
      </c>
      <c r="J51" s="101">
        <v>0</v>
      </c>
      <c r="K51" s="62">
        <f t="shared" si="1"/>
        <v>10.46</v>
      </c>
      <c r="L51" s="1">
        <f t="shared" si="2"/>
        <v>0</v>
      </c>
    </row>
    <row r="52" spans="1:12" x14ac:dyDescent="0.3">
      <c r="A52" s="30" t="s">
        <v>129</v>
      </c>
      <c r="B52" s="31" t="s">
        <v>130</v>
      </c>
      <c r="C52" s="32" t="s">
        <v>128</v>
      </c>
      <c r="D52" s="24">
        <v>2</v>
      </c>
      <c r="E52" s="24">
        <v>1.98</v>
      </c>
      <c r="F52" s="82">
        <f t="shared" si="0"/>
        <v>3.96</v>
      </c>
      <c r="G52" s="100">
        <v>0</v>
      </c>
      <c r="H52" s="73">
        <v>3.96</v>
      </c>
      <c r="I52" s="73">
        <v>0</v>
      </c>
      <c r="J52" s="101">
        <v>0</v>
      </c>
      <c r="K52" s="62">
        <f t="shared" si="1"/>
        <v>3.96</v>
      </c>
      <c r="L52" s="1">
        <f t="shared" si="2"/>
        <v>0</v>
      </c>
    </row>
    <row r="53" spans="1:12" x14ac:dyDescent="0.3">
      <c r="A53" s="30" t="s">
        <v>131</v>
      </c>
      <c r="B53" s="31" t="s">
        <v>132</v>
      </c>
      <c r="C53" s="32" t="s">
        <v>123</v>
      </c>
      <c r="D53" s="24">
        <v>136.35</v>
      </c>
      <c r="E53" s="24">
        <v>2.1</v>
      </c>
      <c r="F53" s="82">
        <f t="shared" si="0"/>
        <v>286.33999999999997</v>
      </c>
      <c r="G53" s="100">
        <v>0</v>
      </c>
      <c r="H53" s="73">
        <v>286.33999999999997</v>
      </c>
      <c r="I53" s="73">
        <v>0</v>
      </c>
      <c r="J53" s="101">
        <v>0</v>
      </c>
      <c r="K53" s="62">
        <f t="shared" si="1"/>
        <v>286.33999999999997</v>
      </c>
      <c r="L53" s="1">
        <f t="shared" si="2"/>
        <v>0</v>
      </c>
    </row>
    <row r="54" spans="1:12" x14ac:dyDescent="0.3">
      <c r="A54" s="30" t="s">
        <v>133</v>
      </c>
      <c r="B54" s="31" t="s">
        <v>134</v>
      </c>
      <c r="C54" s="32" t="s">
        <v>123</v>
      </c>
      <c r="D54" s="24">
        <v>72.75</v>
      </c>
      <c r="E54" s="24">
        <v>3.78</v>
      </c>
      <c r="F54" s="82">
        <f t="shared" si="0"/>
        <v>275</v>
      </c>
      <c r="G54" s="100">
        <v>0</v>
      </c>
      <c r="H54" s="73">
        <v>0</v>
      </c>
      <c r="I54" s="73">
        <v>275</v>
      </c>
      <c r="J54" s="101">
        <v>0</v>
      </c>
      <c r="K54" s="62">
        <f t="shared" si="1"/>
        <v>275</v>
      </c>
      <c r="L54" s="1">
        <f t="shared" si="2"/>
        <v>0</v>
      </c>
    </row>
    <row r="55" spans="1:12" x14ac:dyDescent="0.3">
      <c r="A55" s="30" t="s">
        <v>135</v>
      </c>
      <c r="B55" s="31" t="s">
        <v>136</v>
      </c>
      <c r="C55" s="32" t="s">
        <v>123</v>
      </c>
      <c r="D55" s="24">
        <v>8.66</v>
      </c>
      <c r="E55" s="24">
        <v>5.17</v>
      </c>
      <c r="F55" s="82">
        <f t="shared" si="0"/>
        <v>44.77</v>
      </c>
      <c r="G55" s="100">
        <v>0</v>
      </c>
      <c r="H55" s="73">
        <v>0</v>
      </c>
      <c r="I55" s="73">
        <v>44.77</v>
      </c>
      <c r="J55" s="101">
        <v>0</v>
      </c>
      <c r="K55" s="62">
        <f t="shared" si="1"/>
        <v>44.77</v>
      </c>
      <c r="L55" s="1">
        <f t="shared" si="2"/>
        <v>0</v>
      </c>
    </row>
    <row r="56" spans="1:12" x14ac:dyDescent="0.3">
      <c r="A56" s="30" t="s">
        <v>137</v>
      </c>
      <c r="B56" s="31" t="s">
        <v>138</v>
      </c>
      <c r="C56" s="32" t="s">
        <v>123</v>
      </c>
      <c r="D56" s="24">
        <v>11.13</v>
      </c>
      <c r="E56" s="24">
        <v>5.41</v>
      </c>
      <c r="F56" s="82">
        <f t="shared" si="0"/>
        <v>60.21</v>
      </c>
      <c r="G56" s="100">
        <v>0</v>
      </c>
      <c r="H56" s="73">
        <v>0</v>
      </c>
      <c r="I56" s="73">
        <v>60.21</v>
      </c>
      <c r="J56" s="101">
        <v>0</v>
      </c>
      <c r="K56" s="62">
        <f t="shared" si="1"/>
        <v>60.21</v>
      </c>
      <c r="L56" s="1">
        <f t="shared" si="2"/>
        <v>0</v>
      </c>
    </row>
    <row r="57" spans="1:12" x14ac:dyDescent="0.3">
      <c r="A57" s="30" t="s">
        <v>139</v>
      </c>
      <c r="B57" s="31" t="s">
        <v>140</v>
      </c>
      <c r="C57" s="32" t="s">
        <v>123</v>
      </c>
      <c r="D57" s="24">
        <v>272.7</v>
      </c>
      <c r="E57" s="24">
        <v>2.1</v>
      </c>
      <c r="F57" s="82">
        <f t="shared" si="0"/>
        <v>572.66999999999996</v>
      </c>
      <c r="G57" s="100">
        <v>0</v>
      </c>
      <c r="H57" s="73">
        <v>572.66999999999996</v>
      </c>
      <c r="I57" s="73">
        <v>0</v>
      </c>
      <c r="J57" s="101">
        <v>0</v>
      </c>
      <c r="K57" s="62">
        <f t="shared" si="1"/>
        <v>572.66999999999996</v>
      </c>
      <c r="L57" s="1">
        <f t="shared" si="2"/>
        <v>0</v>
      </c>
    </row>
    <row r="58" spans="1:12" x14ac:dyDescent="0.3">
      <c r="A58" s="30" t="s">
        <v>141</v>
      </c>
      <c r="B58" s="31" t="s">
        <v>142</v>
      </c>
      <c r="C58" s="32" t="s">
        <v>123</v>
      </c>
      <c r="D58" s="24">
        <v>198.06</v>
      </c>
      <c r="E58" s="24">
        <v>3.78</v>
      </c>
      <c r="F58" s="82">
        <f t="shared" si="0"/>
        <v>748.67</v>
      </c>
      <c r="G58" s="100">
        <v>0</v>
      </c>
      <c r="H58" s="73">
        <v>0</v>
      </c>
      <c r="I58" s="73">
        <v>748.67</v>
      </c>
      <c r="J58" s="101">
        <v>0</v>
      </c>
      <c r="K58" s="62">
        <f t="shared" si="1"/>
        <v>748.67</v>
      </c>
      <c r="L58" s="1">
        <f t="shared" si="2"/>
        <v>0</v>
      </c>
    </row>
    <row r="59" spans="1:12" x14ac:dyDescent="0.3">
      <c r="A59" s="30" t="s">
        <v>143</v>
      </c>
      <c r="B59" s="31" t="s">
        <v>144</v>
      </c>
      <c r="C59" s="32" t="s">
        <v>123</v>
      </c>
      <c r="D59" s="24">
        <v>59.38</v>
      </c>
      <c r="E59" s="24">
        <v>5.17</v>
      </c>
      <c r="F59" s="82">
        <f t="shared" si="0"/>
        <v>306.99</v>
      </c>
      <c r="G59" s="100">
        <v>0</v>
      </c>
      <c r="H59" s="73">
        <v>0</v>
      </c>
      <c r="I59" s="73">
        <v>306.99</v>
      </c>
      <c r="J59" s="101">
        <v>0</v>
      </c>
      <c r="K59" s="62">
        <f t="shared" si="1"/>
        <v>306.99</v>
      </c>
      <c r="L59" s="1">
        <f t="shared" si="2"/>
        <v>0</v>
      </c>
    </row>
    <row r="60" spans="1:12" x14ac:dyDescent="0.3">
      <c r="A60" s="30" t="s">
        <v>145</v>
      </c>
      <c r="B60" s="31" t="s">
        <v>146</v>
      </c>
      <c r="C60" s="32" t="s">
        <v>123</v>
      </c>
      <c r="D60" s="24">
        <v>40.25</v>
      </c>
      <c r="E60" s="24">
        <v>1.72</v>
      </c>
      <c r="F60" s="82">
        <f t="shared" si="0"/>
        <v>69.23</v>
      </c>
      <c r="G60" s="100">
        <v>0</v>
      </c>
      <c r="H60" s="73">
        <v>69.23</v>
      </c>
      <c r="I60" s="73">
        <v>0</v>
      </c>
      <c r="J60" s="101">
        <v>0</v>
      </c>
      <c r="K60" s="62">
        <f t="shared" si="1"/>
        <v>69.23</v>
      </c>
      <c r="L60" s="1">
        <f t="shared" si="2"/>
        <v>0</v>
      </c>
    </row>
    <row r="61" spans="1:12" x14ac:dyDescent="0.3">
      <c r="A61" s="30" t="s">
        <v>147</v>
      </c>
      <c r="B61" s="31" t="s">
        <v>148</v>
      </c>
      <c r="C61" s="32" t="s">
        <v>123</v>
      </c>
      <c r="D61" s="24">
        <v>101</v>
      </c>
      <c r="E61" s="24">
        <v>1.72</v>
      </c>
      <c r="F61" s="82">
        <f t="shared" si="0"/>
        <v>173.72</v>
      </c>
      <c r="G61" s="100">
        <v>0</v>
      </c>
      <c r="H61" s="73">
        <v>173.72</v>
      </c>
      <c r="I61" s="73">
        <v>0</v>
      </c>
      <c r="J61" s="101">
        <v>0</v>
      </c>
      <c r="K61" s="62">
        <f t="shared" si="1"/>
        <v>173.72</v>
      </c>
      <c r="L61" s="1">
        <f t="shared" si="2"/>
        <v>0</v>
      </c>
    </row>
    <row r="62" spans="1:12" x14ac:dyDescent="0.3">
      <c r="A62" s="30" t="s">
        <v>149</v>
      </c>
      <c r="B62" s="31" t="s">
        <v>150</v>
      </c>
      <c r="C62" s="32" t="s">
        <v>123</v>
      </c>
      <c r="D62" s="24">
        <v>89.12</v>
      </c>
      <c r="E62" s="24">
        <v>2.1800000000000002</v>
      </c>
      <c r="F62" s="82">
        <f t="shared" si="0"/>
        <v>194.28</v>
      </c>
      <c r="G62" s="100">
        <v>0</v>
      </c>
      <c r="H62" s="73">
        <v>53.4</v>
      </c>
      <c r="I62" s="73">
        <v>140.88</v>
      </c>
      <c r="J62" s="101">
        <v>0</v>
      </c>
      <c r="K62" s="62">
        <f t="shared" si="1"/>
        <v>194.28</v>
      </c>
      <c r="L62" s="1">
        <f t="shared" si="2"/>
        <v>0</v>
      </c>
    </row>
    <row r="63" spans="1:12" x14ac:dyDescent="0.3">
      <c r="A63" s="30" t="s">
        <v>151</v>
      </c>
      <c r="B63" s="31" t="s">
        <v>152</v>
      </c>
      <c r="C63" s="32" t="s">
        <v>123</v>
      </c>
      <c r="D63" s="24">
        <v>20.68</v>
      </c>
      <c r="E63" s="24">
        <v>3.39</v>
      </c>
      <c r="F63" s="82">
        <f t="shared" si="0"/>
        <v>70.11</v>
      </c>
      <c r="G63" s="100">
        <v>0</v>
      </c>
      <c r="H63" s="73">
        <v>23.37</v>
      </c>
      <c r="I63" s="73">
        <v>46.74</v>
      </c>
      <c r="J63" s="101">
        <v>0</v>
      </c>
      <c r="K63" s="62">
        <f t="shared" si="1"/>
        <v>70.11</v>
      </c>
      <c r="L63" s="1">
        <f t="shared" si="2"/>
        <v>0</v>
      </c>
    </row>
    <row r="64" spans="1:12" x14ac:dyDescent="0.3">
      <c r="A64" s="30" t="s">
        <v>153</v>
      </c>
      <c r="B64" s="31" t="s">
        <v>154</v>
      </c>
      <c r="C64" s="32" t="s">
        <v>123</v>
      </c>
      <c r="D64" s="24">
        <v>84.42</v>
      </c>
      <c r="E64" s="24">
        <v>4.3600000000000003</v>
      </c>
      <c r="F64" s="82">
        <f t="shared" si="0"/>
        <v>368.07</v>
      </c>
      <c r="G64" s="100">
        <v>0</v>
      </c>
      <c r="H64" s="73">
        <v>111.33</v>
      </c>
      <c r="I64" s="73">
        <v>256.74</v>
      </c>
      <c r="J64" s="101">
        <v>0</v>
      </c>
      <c r="K64" s="62">
        <f t="shared" si="1"/>
        <v>368.07</v>
      </c>
      <c r="L64" s="1">
        <f t="shared" si="2"/>
        <v>0</v>
      </c>
    </row>
    <row r="65" spans="1:12" x14ac:dyDescent="0.3">
      <c r="A65" s="30" t="s">
        <v>155</v>
      </c>
      <c r="B65" s="31" t="s">
        <v>156</v>
      </c>
      <c r="C65" s="32" t="s">
        <v>123</v>
      </c>
      <c r="D65" s="24">
        <v>41.37</v>
      </c>
      <c r="E65" s="24">
        <v>6.78</v>
      </c>
      <c r="F65" s="82">
        <f t="shared" si="0"/>
        <v>280.49</v>
      </c>
      <c r="G65" s="100">
        <v>0</v>
      </c>
      <c r="H65" s="73">
        <v>93.5</v>
      </c>
      <c r="I65" s="73">
        <v>186.99</v>
      </c>
      <c r="J65" s="101">
        <v>0</v>
      </c>
      <c r="K65" s="62">
        <f t="shared" si="1"/>
        <v>280.49</v>
      </c>
      <c r="L65" s="1">
        <f t="shared" si="2"/>
        <v>0</v>
      </c>
    </row>
    <row r="66" spans="1:12" x14ac:dyDescent="0.3">
      <c r="A66" s="30" t="s">
        <v>157</v>
      </c>
      <c r="B66" s="31" t="s">
        <v>158</v>
      </c>
      <c r="C66" s="32" t="s">
        <v>45</v>
      </c>
      <c r="D66" s="24">
        <v>2</v>
      </c>
      <c r="E66" s="24">
        <v>117.8</v>
      </c>
      <c r="F66" s="82">
        <f t="shared" si="0"/>
        <v>235.6</v>
      </c>
      <c r="G66" s="100">
        <v>0</v>
      </c>
      <c r="H66" s="73">
        <v>0</v>
      </c>
      <c r="I66" s="73">
        <v>0</v>
      </c>
      <c r="J66" s="101">
        <v>235.6</v>
      </c>
      <c r="K66" s="62">
        <f t="shared" si="1"/>
        <v>235.6</v>
      </c>
      <c r="L66" s="1">
        <f t="shared" si="2"/>
        <v>0</v>
      </c>
    </row>
    <row r="67" spans="1:12" x14ac:dyDescent="0.3">
      <c r="A67" s="30" t="s">
        <v>159</v>
      </c>
      <c r="B67" s="31" t="s">
        <v>160</v>
      </c>
      <c r="C67" s="32" t="s">
        <v>128</v>
      </c>
      <c r="D67" s="24">
        <v>2</v>
      </c>
      <c r="E67" s="24">
        <v>600</v>
      </c>
      <c r="F67" s="82">
        <f t="shared" si="0"/>
        <v>1200</v>
      </c>
      <c r="G67" s="100">
        <v>0</v>
      </c>
      <c r="H67" s="73">
        <v>0</v>
      </c>
      <c r="I67" s="73">
        <v>0</v>
      </c>
      <c r="J67" s="101">
        <v>1200</v>
      </c>
      <c r="K67" s="62">
        <f t="shared" si="1"/>
        <v>1200</v>
      </c>
      <c r="L67" s="1">
        <f t="shared" si="2"/>
        <v>0</v>
      </c>
    </row>
    <row r="68" spans="1:12" x14ac:dyDescent="0.3">
      <c r="A68" s="30" t="s">
        <v>161</v>
      </c>
      <c r="B68" s="31" t="s">
        <v>162</v>
      </c>
      <c r="C68" s="32" t="s">
        <v>128</v>
      </c>
      <c r="D68" s="24">
        <v>2</v>
      </c>
      <c r="E68" s="24">
        <v>105</v>
      </c>
      <c r="F68" s="82">
        <f t="shared" si="0"/>
        <v>210</v>
      </c>
      <c r="G68" s="100">
        <v>0</v>
      </c>
      <c r="H68" s="73">
        <v>0</v>
      </c>
      <c r="I68" s="73">
        <v>0</v>
      </c>
      <c r="J68" s="101">
        <v>210</v>
      </c>
      <c r="K68" s="62">
        <f t="shared" si="1"/>
        <v>210</v>
      </c>
      <c r="L68" s="1">
        <f t="shared" si="2"/>
        <v>0</v>
      </c>
    </row>
    <row r="69" spans="1:12" x14ac:dyDescent="0.3">
      <c r="A69" s="30" t="s">
        <v>163</v>
      </c>
      <c r="B69" s="31" t="s">
        <v>164</v>
      </c>
      <c r="C69" s="32" t="s">
        <v>45</v>
      </c>
      <c r="D69" s="24">
        <v>1</v>
      </c>
      <c r="E69" s="24">
        <v>82.14</v>
      </c>
      <c r="F69" s="82">
        <f t="shared" si="0"/>
        <v>82.14</v>
      </c>
      <c r="G69" s="100">
        <v>82.14</v>
      </c>
      <c r="H69" s="73">
        <v>0</v>
      </c>
      <c r="I69" s="73">
        <v>0</v>
      </c>
      <c r="J69" s="101">
        <v>0</v>
      </c>
      <c r="K69" s="62">
        <f t="shared" si="1"/>
        <v>82.14</v>
      </c>
      <c r="L69" s="1">
        <f t="shared" si="2"/>
        <v>0</v>
      </c>
    </row>
    <row r="70" spans="1:12" x14ac:dyDescent="0.3">
      <c r="A70" s="30" t="s">
        <v>165</v>
      </c>
      <c r="B70" s="31" t="s">
        <v>166</v>
      </c>
      <c r="C70" s="32" t="s">
        <v>45</v>
      </c>
      <c r="D70" s="24">
        <v>3</v>
      </c>
      <c r="E70" s="24">
        <v>178.5</v>
      </c>
      <c r="F70" s="82">
        <f t="shared" si="0"/>
        <v>535.5</v>
      </c>
      <c r="G70" s="100">
        <v>0</v>
      </c>
      <c r="H70" s="73">
        <v>0</v>
      </c>
      <c r="I70" s="73">
        <v>0</v>
      </c>
      <c r="J70" s="101">
        <v>535.5</v>
      </c>
      <c r="K70" s="62">
        <f t="shared" si="1"/>
        <v>535.5</v>
      </c>
      <c r="L70" s="1">
        <f t="shared" si="2"/>
        <v>0</v>
      </c>
    </row>
    <row r="71" spans="1:12" x14ac:dyDescent="0.3">
      <c r="A71" s="30" t="s">
        <v>167</v>
      </c>
      <c r="B71" s="31" t="s">
        <v>168</v>
      </c>
      <c r="C71" s="32" t="s">
        <v>45</v>
      </c>
      <c r="D71" s="24">
        <v>1</v>
      </c>
      <c r="E71" s="24">
        <v>372.92</v>
      </c>
      <c r="F71" s="82">
        <f t="shared" si="0"/>
        <v>372.92</v>
      </c>
      <c r="G71" s="100">
        <v>372.92</v>
      </c>
      <c r="H71" s="73">
        <v>0</v>
      </c>
      <c r="I71" s="73">
        <v>0</v>
      </c>
      <c r="J71" s="101">
        <v>0</v>
      </c>
      <c r="K71" s="62">
        <f t="shared" si="1"/>
        <v>372.92</v>
      </c>
      <c r="L71" s="1">
        <f t="shared" si="2"/>
        <v>0</v>
      </c>
    </row>
    <row r="72" spans="1:12" x14ac:dyDescent="0.3">
      <c r="A72" s="30" t="s">
        <v>169</v>
      </c>
      <c r="B72" s="31" t="s">
        <v>170</v>
      </c>
      <c r="C72" s="32" t="s">
        <v>45</v>
      </c>
      <c r="D72" s="24">
        <v>1</v>
      </c>
      <c r="E72" s="24">
        <v>178.5</v>
      </c>
      <c r="F72" s="82">
        <f t="shared" si="0"/>
        <v>178.5</v>
      </c>
      <c r="G72" s="100">
        <v>0</v>
      </c>
      <c r="H72" s="73">
        <v>0</v>
      </c>
      <c r="I72" s="73">
        <v>0</v>
      </c>
      <c r="J72" s="101">
        <v>178.5</v>
      </c>
      <c r="K72" s="62">
        <f t="shared" si="1"/>
        <v>178.5</v>
      </c>
      <c r="L72" s="1">
        <f t="shared" si="2"/>
        <v>0</v>
      </c>
    </row>
    <row r="73" spans="1:12" x14ac:dyDescent="0.3">
      <c r="A73" s="30" t="s">
        <v>171</v>
      </c>
      <c r="B73" s="31" t="s">
        <v>172</v>
      </c>
      <c r="C73" s="32" t="s">
        <v>45</v>
      </c>
      <c r="D73" s="24">
        <v>2</v>
      </c>
      <c r="E73" s="24">
        <v>35.700000000000003</v>
      </c>
      <c r="F73" s="82">
        <f t="shared" si="0"/>
        <v>71.400000000000006</v>
      </c>
      <c r="G73" s="100">
        <v>0</v>
      </c>
      <c r="H73" s="73">
        <v>0</v>
      </c>
      <c r="I73" s="73">
        <v>0</v>
      </c>
      <c r="J73" s="101">
        <v>71.400000000000006</v>
      </c>
      <c r="K73" s="62">
        <f t="shared" si="1"/>
        <v>71.400000000000006</v>
      </c>
      <c r="L73" s="1">
        <f t="shared" si="2"/>
        <v>0</v>
      </c>
    </row>
    <row r="74" spans="1:12" x14ac:dyDescent="0.3">
      <c r="A74" s="30" t="s">
        <v>173</v>
      </c>
      <c r="B74" s="31" t="s">
        <v>174</v>
      </c>
      <c r="C74" s="32" t="s">
        <v>45</v>
      </c>
      <c r="D74" s="24">
        <v>1</v>
      </c>
      <c r="E74" s="24">
        <v>28.18</v>
      </c>
      <c r="F74" s="82">
        <f t="shared" si="0"/>
        <v>28.18</v>
      </c>
      <c r="G74" s="100">
        <v>0</v>
      </c>
      <c r="H74" s="73">
        <v>0</v>
      </c>
      <c r="I74" s="73">
        <v>0</v>
      </c>
      <c r="J74" s="101">
        <v>28.18</v>
      </c>
      <c r="K74" s="62">
        <f t="shared" si="1"/>
        <v>28.18</v>
      </c>
      <c r="L74" s="1">
        <f t="shared" si="2"/>
        <v>0</v>
      </c>
    </row>
    <row r="75" spans="1:12" x14ac:dyDescent="0.3">
      <c r="A75" s="30" t="s">
        <v>175</v>
      </c>
      <c r="B75" s="31" t="s">
        <v>176</v>
      </c>
      <c r="C75" s="32" t="s">
        <v>45</v>
      </c>
      <c r="D75" s="24">
        <v>1</v>
      </c>
      <c r="E75" s="24">
        <v>12.21</v>
      </c>
      <c r="F75" s="82">
        <f t="shared" si="0"/>
        <v>12.21</v>
      </c>
      <c r="G75" s="100">
        <v>0</v>
      </c>
      <c r="H75" s="73">
        <v>0</v>
      </c>
      <c r="I75" s="73">
        <v>12.21</v>
      </c>
      <c r="J75" s="101">
        <v>0</v>
      </c>
      <c r="K75" s="62">
        <f t="shared" si="1"/>
        <v>12.21</v>
      </c>
      <c r="L75" s="1">
        <f t="shared" si="2"/>
        <v>0</v>
      </c>
    </row>
    <row r="76" spans="1:12" x14ac:dyDescent="0.3">
      <c r="A76" s="30" t="s">
        <v>177</v>
      </c>
      <c r="B76" s="31" t="s">
        <v>178</v>
      </c>
      <c r="C76" s="32" t="s">
        <v>45</v>
      </c>
      <c r="D76" s="24">
        <v>3</v>
      </c>
      <c r="E76" s="24">
        <v>20.350000000000001</v>
      </c>
      <c r="F76" s="82">
        <f t="shared" ref="F76:F139" si="3">+ROUND(D76*E76,2)</f>
        <v>61.05</v>
      </c>
      <c r="G76" s="100">
        <v>0</v>
      </c>
      <c r="H76" s="73">
        <v>61.05</v>
      </c>
      <c r="I76" s="73">
        <v>0</v>
      </c>
      <c r="J76" s="101">
        <v>0</v>
      </c>
      <c r="K76" s="62">
        <f t="shared" ref="K76:K139" si="4">SUM(G76:J76)</f>
        <v>61.05</v>
      </c>
      <c r="L76" s="1">
        <f t="shared" ref="L76:L139" si="5">+F76-K76</f>
        <v>0</v>
      </c>
    </row>
    <row r="77" spans="1:12" x14ac:dyDescent="0.3">
      <c r="A77" s="30" t="s">
        <v>179</v>
      </c>
      <c r="B77" s="31" t="s">
        <v>180</v>
      </c>
      <c r="C77" s="32" t="s">
        <v>45</v>
      </c>
      <c r="D77" s="24">
        <v>3.45</v>
      </c>
      <c r="E77" s="24">
        <v>46.64</v>
      </c>
      <c r="F77" s="82">
        <f t="shared" si="3"/>
        <v>160.91</v>
      </c>
      <c r="G77" s="100">
        <v>0</v>
      </c>
      <c r="H77" s="73">
        <v>160.91</v>
      </c>
      <c r="I77" s="73">
        <v>0</v>
      </c>
      <c r="J77" s="101">
        <v>0</v>
      </c>
      <c r="K77" s="62">
        <f t="shared" si="4"/>
        <v>160.91</v>
      </c>
      <c r="L77" s="1">
        <f t="shared" si="5"/>
        <v>0</v>
      </c>
    </row>
    <row r="78" spans="1:12" x14ac:dyDescent="0.3">
      <c r="A78" s="30" t="s">
        <v>181</v>
      </c>
      <c r="B78" s="31" t="s">
        <v>182</v>
      </c>
      <c r="C78" s="32" t="s">
        <v>45</v>
      </c>
      <c r="D78" s="24">
        <v>1</v>
      </c>
      <c r="E78" s="24">
        <v>222.6</v>
      </c>
      <c r="F78" s="82">
        <f t="shared" si="3"/>
        <v>222.6</v>
      </c>
      <c r="G78" s="100">
        <v>0</v>
      </c>
      <c r="H78" s="73">
        <v>0</v>
      </c>
      <c r="I78" s="73">
        <v>0</v>
      </c>
      <c r="J78" s="101">
        <v>222.6</v>
      </c>
      <c r="K78" s="62">
        <f t="shared" si="4"/>
        <v>222.6</v>
      </c>
      <c r="L78" s="1">
        <f t="shared" si="5"/>
        <v>0</v>
      </c>
    </row>
    <row r="79" spans="1:12" x14ac:dyDescent="0.3">
      <c r="A79" s="30" t="s">
        <v>183</v>
      </c>
      <c r="B79" s="31" t="s">
        <v>184</v>
      </c>
      <c r="C79" s="32" t="s">
        <v>32</v>
      </c>
      <c r="D79" s="24">
        <v>1</v>
      </c>
      <c r="E79" s="24">
        <v>2128.9699999999998</v>
      </c>
      <c r="F79" s="82">
        <f t="shared" si="3"/>
        <v>2128.9699999999998</v>
      </c>
      <c r="G79" s="100">
        <v>0</v>
      </c>
      <c r="H79" s="73">
        <v>0</v>
      </c>
      <c r="I79" s="73">
        <v>0</v>
      </c>
      <c r="J79" s="101">
        <v>2128.9699999999998</v>
      </c>
      <c r="K79" s="62">
        <f t="shared" si="4"/>
        <v>2128.9699999999998</v>
      </c>
      <c r="L79" s="1">
        <f t="shared" si="5"/>
        <v>0</v>
      </c>
    </row>
    <row r="80" spans="1:12" x14ac:dyDescent="0.3">
      <c r="A80" s="30" t="s">
        <v>185</v>
      </c>
      <c r="B80" s="31" t="s">
        <v>186</v>
      </c>
      <c r="C80" s="32" t="s">
        <v>45</v>
      </c>
      <c r="D80" s="24">
        <v>5</v>
      </c>
      <c r="E80" s="24">
        <v>50.76</v>
      </c>
      <c r="F80" s="82">
        <f t="shared" si="3"/>
        <v>253.8</v>
      </c>
      <c r="G80" s="100">
        <v>0</v>
      </c>
      <c r="H80" s="73">
        <v>0</v>
      </c>
      <c r="I80" s="73">
        <v>0</v>
      </c>
      <c r="J80" s="101">
        <v>253.8</v>
      </c>
      <c r="K80" s="62">
        <f t="shared" si="4"/>
        <v>253.8</v>
      </c>
      <c r="L80" s="1">
        <f t="shared" si="5"/>
        <v>0</v>
      </c>
    </row>
    <row r="81" spans="1:12" x14ac:dyDescent="0.3">
      <c r="A81" s="30" t="s">
        <v>187</v>
      </c>
      <c r="B81" s="31" t="s">
        <v>188</v>
      </c>
      <c r="C81" s="32" t="s">
        <v>45</v>
      </c>
      <c r="D81" s="24">
        <v>2</v>
      </c>
      <c r="E81" s="24">
        <v>55.28</v>
      </c>
      <c r="F81" s="82">
        <f t="shared" si="3"/>
        <v>110.56</v>
      </c>
      <c r="G81" s="100">
        <v>0</v>
      </c>
      <c r="H81" s="73">
        <v>36.85</v>
      </c>
      <c r="I81" s="73">
        <v>73.709999999999994</v>
      </c>
      <c r="J81" s="101">
        <v>0</v>
      </c>
      <c r="K81" s="62">
        <f t="shared" si="4"/>
        <v>110.56</v>
      </c>
      <c r="L81" s="1">
        <f t="shared" si="5"/>
        <v>0</v>
      </c>
    </row>
    <row r="82" spans="1:12" x14ac:dyDescent="0.3">
      <c r="A82" s="30" t="s">
        <v>189</v>
      </c>
      <c r="B82" s="31" t="s">
        <v>190</v>
      </c>
      <c r="C82" s="32" t="s">
        <v>45</v>
      </c>
      <c r="D82" s="24">
        <v>10</v>
      </c>
      <c r="E82" s="24">
        <v>144.11000000000001</v>
      </c>
      <c r="F82" s="82">
        <f t="shared" si="3"/>
        <v>1441.1</v>
      </c>
      <c r="G82" s="100">
        <v>0</v>
      </c>
      <c r="H82" s="73">
        <v>1441.1</v>
      </c>
      <c r="I82" s="73">
        <v>0</v>
      </c>
      <c r="J82" s="101">
        <v>0</v>
      </c>
      <c r="K82" s="62">
        <f t="shared" si="4"/>
        <v>1441.1</v>
      </c>
      <c r="L82" s="1">
        <f t="shared" si="5"/>
        <v>0</v>
      </c>
    </row>
    <row r="83" spans="1:12" x14ac:dyDescent="0.3">
      <c r="A83" s="30" t="s">
        <v>191</v>
      </c>
      <c r="B83" s="31" t="s">
        <v>192</v>
      </c>
      <c r="C83" s="32" t="s">
        <v>45</v>
      </c>
      <c r="D83" s="24">
        <v>4</v>
      </c>
      <c r="E83" s="24">
        <v>128.81</v>
      </c>
      <c r="F83" s="82">
        <f t="shared" si="3"/>
        <v>515.24</v>
      </c>
      <c r="G83" s="100">
        <v>0</v>
      </c>
      <c r="H83" s="73">
        <v>412.19</v>
      </c>
      <c r="I83" s="73">
        <v>103.05</v>
      </c>
      <c r="J83" s="101">
        <v>0</v>
      </c>
      <c r="K83" s="62">
        <f t="shared" si="4"/>
        <v>515.24</v>
      </c>
      <c r="L83" s="1">
        <f t="shared" si="5"/>
        <v>0</v>
      </c>
    </row>
    <row r="84" spans="1:12" x14ac:dyDescent="0.3">
      <c r="A84" s="30" t="s">
        <v>193</v>
      </c>
      <c r="B84" s="31" t="s">
        <v>194</v>
      </c>
      <c r="C84" s="32" t="s">
        <v>45</v>
      </c>
      <c r="D84" s="24">
        <v>1</v>
      </c>
      <c r="E84" s="24">
        <v>614.76</v>
      </c>
      <c r="F84" s="82">
        <f t="shared" si="3"/>
        <v>614.76</v>
      </c>
      <c r="G84" s="100">
        <v>0</v>
      </c>
      <c r="H84" s="73">
        <v>0</v>
      </c>
      <c r="I84" s="73">
        <v>614.76</v>
      </c>
      <c r="J84" s="101">
        <v>0</v>
      </c>
      <c r="K84" s="62">
        <f t="shared" si="4"/>
        <v>614.76</v>
      </c>
      <c r="L84" s="1">
        <f t="shared" si="5"/>
        <v>0</v>
      </c>
    </row>
    <row r="85" spans="1:12" x14ac:dyDescent="0.3">
      <c r="A85" s="30" t="s">
        <v>195</v>
      </c>
      <c r="B85" s="31" t="s">
        <v>196</v>
      </c>
      <c r="C85" s="32" t="s">
        <v>45</v>
      </c>
      <c r="D85" s="24">
        <v>27</v>
      </c>
      <c r="E85" s="24">
        <v>27.51</v>
      </c>
      <c r="F85" s="82">
        <f t="shared" si="3"/>
        <v>742.77</v>
      </c>
      <c r="G85" s="100">
        <v>0</v>
      </c>
      <c r="H85" s="73">
        <v>0</v>
      </c>
      <c r="I85" s="73">
        <v>0</v>
      </c>
      <c r="J85" s="101">
        <v>742.77</v>
      </c>
      <c r="K85" s="62">
        <f t="shared" si="4"/>
        <v>742.77</v>
      </c>
      <c r="L85" s="1">
        <f t="shared" si="5"/>
        <v>0</v>
      </c>
    </row>
    <row r="86" spans="1:12" x14ac:dyDescent="0.3">
      <c r="A86" s="30" t="s">
        <v>197</v>
      </c>
      <c r="B86" s="31" t="s">
        <v>198</v>
      </c>
      <c r="C86" s="32" t="s">
        <v>45</v>
      </c>
      <c r="D86" s="24">
        <v>2</v>
      </c>
      <c r="E86" s="24">
        <v>31.5</v>
      </c>
      <c r="F86" s="82">
        <f t="shared" si="3"/>
        <v>63</v>
      </c>
      <c r="G86" s="100">
        <v>0</v>
      </c>
      <c r="H86" s="73">
        <v>63</v>
      </c>
      <c r="I86" s="73">
        <v>0</v>
      </c>
      <c r="J86" s="101">
        <v>0</v>
      </c>
      <c r="K86" s="62">
        <f t="shared" si="4"/>
        <v>63</v>
      </c>
      <c r="L86" s="1">
        <f t="shared" si="5"/>
        <v>0</v>
      </c>
    </row>
    <row r="87" spans="1:12" x14ac:dyDescent="0.3">
      <c r="A87" s="30" t="s">
        <v>199</v>
      </c>
      <c r="B87" s="31" t="s">
        <v>200</v>
      </c>
      <c r="C87" s="32" t="s">
        <v>45</v>
      </c>
      <c r="D87" s="24">
        <v>3</v>
      </c>
      <c r="E87" s="24">
        <v>40.049999999999997</v>
      </c>
      <c r="F87" s="82">
        <f t="shared" si="3"/>
        <v>120.15</v>
      </c>
      <c r="G87" s="100">
        <v>0</v>
      </c>
      <c r="H87" s="73">
        <v>120.15</v>
      </c>
      <c r="I87" s="73">
        <v>0</v>
      </c>
      <c r="J87" s="101">
        <v>0</v>
      </c>
      <c r="K87" s="62">
        <f t="shared" si="4"/>
        <v>120.15</v>
      </c>
      <c r="L87" s="1">
        <f t="shared" si="5"/>
        <v>0</v>
      </c>
    </row>
    <row r="88" spans="1:12" x14ac:dyDescent="0.3">
      <c r="A88" s="30" t="s">
        <v>201</v>
      </c>
      <c r="B88" s="31" t="s">
        <v>202</v>
      </c>
      <c r="C88" s="32" t="s">
        <v>45</v>
      </c>
      <c r="D88" s="24">
        <v>1</v>
      </c>
      <c r="E88" s="24">
        <v>63</v>
      </c>
      <c r="F88" s="82">
        <f t="shared" si="3"/>
        <v>63</v>
      </c>
      <c r="G88" s="100">
        <v>0</v>
      </c>
      <c r="H88" s="73">
        <v>63</v>
      </c>
      <c r="I88" s="73">
        <v>0</v>
      </c>
      <c r="J88" s="101">
        <v>0</v>
      </c>
      <c r="K88" s="62">
        <f t="shared" si="4"/>
        <v>63</v>
      </c>
      <c r="L88" s="1">
        <f t="shared" si="5"/>
        <v>0</v>
      </c>
    </row>
    <row r="89" spans="1:12" x14ac:dyDescent="0.3">
      <c r="A89" s="30" t="s">
        <v>203</v>
      </c>
      <c r="B89" s="31" t="s">
        <v>204</v>
      </c>
      <c r="C89" s="32" t="s">
        <v>45</v>
      </c>
      <c r="D89" s="24">
        <v>8</v>
      </c>
      <c r="E89" s="24">
        <v>1.79</v>
      </c>
      <c r="F89" s="82">
        <f t="shared" si="3"/>
        <v>14.32</v>
      </c>
      <c r="G89" s="100">
        <v>0</v>
      </c>
      <c r="H89" s="73">
        <v>14.32</v>
      </c>
      <c r="I89" s="73">
        <v>0</v>
      </c>
      <c r="J89" s="101">
        <v>0</v>
      </c>
      <c r="K89" s="62">
        <f t="shared" si="4"/>
        <v>14.32</v>
      </c>
      <c r="L89" s="1">
        <f t="shared" si="5"/>
        <v>0</v>
      </c>
    </row>
    <row r="90" spans="1:12" x14ac:dyDescent="0.3">
      <c r="A90" s="30" t="s">
        <v>205</v>
      </c>
      <c r="B90" s="31" t="s">
        <v>206</v>
      </c>
      <c r="C90" s="32" t="s">
        <v>128</v>
      </c>
      <c r="D90" s="24">
        <v>2</v>
      </c>
      <c r="E90" s="24">
        <v>17.850000000000001</v>
      </c>
      <c r="F90" s="82">
        <f t="shared" si="3"/>
        <v>35.700000000000003</v>
      </c>
      <c r="G90" s="100">
        <v>0</v>
      </c>
      <c r="H90" s="73">
        <v>35.700000000000003</v>
      </c>
      <c r="I90" s="73">
        <v>0</v>
      </c>
      <c r="J90" s="101">
        <v>0</v>
      </c>
      <c r="K90" s="62">
        <f t="shared" si="4"/>
        <v>35.700000000000003</v>
      </c>
      <c r="L90" s="1">
        <f t="shared" si="5"/>
        <v>0</v>
      </c>
    </row>
    <row r="91" spans="1:12" x14ac:dyDescent="0.3">
      <c r="A91" s="30" t="s">
        <v>207</v>
      </c>
      <c r="B91" s="31" t="s">
        <v>208</v>
      </c>
      <c r="C91" s="32" t="s">
        <v>45</v>
      </c>
      <c r="D91" s="24">
        <v>27</v>
      </c>
      <c r="E91" s="24">
        <v>5.5</v>
      </c>
      <c r="F91" s="82">
        <f t="shared" si="3"/>
        <v>148.5</v>
      </c>
      <c r="G91" s="100">
        <v>0</v>
      </c>
      <c r="H91" s="73">
        <v>148.5</v>
      </c>
      <c r="I91" s="73">
        <v>0</v>
      </c>
      <c r="J91" s="101">
        <v>0</v>
      </c>
      <c r="K91" s="62">
        <f t="shared" si="4"/>
        <v>148.5</v>
      </c>
      <c r="L91" s="1">
        <f t="shared" si="5"/>
        <v>0</v>
      </c>
    </row>
    <row r="92" spans="1:12" x14ac:dyDescent="0.3">
      <c r="A92" s="30" t="s">
        <v>209</v>
      </c>
      <c r="B92" s="31" t="s">
        <v>210</v>
      </c>
      <c r="C92" s="32" t="s">
        <v>45</v>
      </c>
      <c r="D92" s="24">
        <v>10</v>
      </c>
      <c r="E92" s="24">
        <v>6.83</v>
      </c>
      <c r="F92" s="82">
        <f t="shared" si="3"/>
        <v>68.3</v>
      </c>
      <c r="G92" s="100">
        <v>0</v>
      </c>
      <c r="H92" s="73">
        <v>68.3</v>
      </c>
      <c r="I92" s="73">
        <v>0</v>
      </c>
      <c r="J92" s="101">
        <v>0</v>
      </c>
      <c r="K92" s="62">
        <f t="shared" si="4"/>
        <v>68.3</v>
      </c>
      <c r="L92" s="1">
        <f t="shared" si="5"/>
        <v>0</v>
      </c>
    </row>
    <row r="93" spans="1:12" x14ac:dyDescent="0.3">
      <c r="A93" s="30" t="s">
        <v>211</v>
      </c>
      <c r="B93" s="31" t="s">
        <v>212</v>
      </c>
      <c r="C93" s="32" t="s">
        <v>45</v>
      </c>
      <c r="D93" s="24">
        <v>12</v>
      </c>
      <c r="E93" s="24">
        <v>5.25</v>
      </c>
      <c r="F93" s="82">
        <f t="shared" si="3"/>
        <v>63</v>
      </c>
      <c r="G93" s="100">
        <v>0</v>
      </c>
      <c r="H93" s="73">
        <v>63</v>
      </c>
      <c r="I93" s="73">
        <v>0</v>
      </c>
      <c r="J93" s="101">
        <v>0</v>
      </c>
      <c r="K93" s="62">
        <f t="shared" si="4"/>
        <v>63</v>
      </c>
      <c r="L93" s="1">
        <f t="shared" si="5"/>
        <v>0</v>
      </c>
    </row>
    <row r="94" spans="1:12" x14ac:dyDescent="0.3">
      <c r="A94" s="30" t="s">
        <v>213</v>
      </c>
      <c r="B94" s="31" t="s">
        <v>214</v>
      </c>
      <c r="C94" s="32" t="s">
        <v>45</v>
      </c>
      <c r="D94" s="24">
        <v>1</v>
      </c>
      <c r="E94" s="24">
        <v>1844.36</v>
      </c>
      <c r="F94" s="82">
        <f t="shared" si="3"/>
        <v>1844.36</v>
      </c>
      <c r="G94" s="100">
        <v>0</v>
      </c>
      <c r="H94" s="73">
        <v>0</v>
      </c>
      <c r="I94" s="73">
        <v>0</v>
      </c>
      <c r="J94" s="101">
        <v>1844.36</v>
      </c>
      <c r="K94" s="62">
        <f t="shared" si="4"/>
        <v>1844.36</v>
      </c>
      <c r="L94" s="1">
        <f t="shared" si="5"/>
        <v>0</v>
      </c>
    </row>
    <row r="95" spans="1:12" x14ac:dyDescent="0.3">
      <c r="A95" s="30" t="s">
        <v>215</v>
      </c>
      <c r="B95" s="31" t="s">
        <v>216</v>
      </c>
      <c r="C95" s="32" t="s">
        <v>217</v>
      </c>
      <c r="D95" s="24">
        <v>2</v>
      </c>
      <c r="E95" s="24">
        <v>72.03</v>
      </c>
      <c r="F95" s="82">
        <f t="shared" si="3"/>
        <v>144.06</v>
      </c>
      <c r="G95" s="100">
        <v>0</v>
      </c>
      <c r="H95" s="73">
        <v>0</v>
      </c>
      <c r="I95" s="73">
        <v>0</v>
      </c>
      <c r="J95" s="101">
        <v>144.06</v>
      </c>
      <c r="K95" s="62">
        <f t="shared" si="4"/>
        <v>144.06</v>
      </c>
      <c r="L95" s="1">
        <f t="shared" si="5"/>
        <v>0</v>
      </c>
    </row>
    <row r="96" spans="1:12" x14ac:dyDescent="0.3">
      <c r="A96" s="30" t="s">
        <v>218</v>
      </c>
      <c r="B96" s="31" t="s">
        <v>219</v>
      </c>
      <c r="C96" s="32" t="s">
        <v>45</v>
      </c>
      <c r="D96" s="24">
        <v>1</v>
      </c>
      <c r="E96" s="24">
        <v>1000</v>
      </c>
      <c r="F96" s="82">
        <f t="shared" si="3"/>
        <v>1000</v>
      </c>
      <c r="G96" s="100">
        <v>0</v>
      </c>
      <c r="H96" s="73">
        <v>0</v>
      </c>
      <c r="I96" s="73">
        <v>0</v>
      </c>
      <c r="J96" s="101">
        <v>1000</v>
      </c>
      <c r="K96" s="62">
        <f t="shared" si="4"/>
        <v>1000</v>
      </c>
      <c r="L96" s="1">
        <f t="shared" si="5"/>
        <v>0</v>
      </c>
    </row>
    <row r="97" spans="1:12" x14ac:dyDescent="0.3">
      <c r="A97" s="30" t="s">
        <v>220</v>
      </c>
      <c r="B97" s="31" t="s">
        <v>221</v>
      </c>
      <c r="C97" s="32" t="s">
        <v>45</v>
      </c>
      <c r="D97" s="24">
        <v>5</v>
      </c>
      <c r="E97" s="24">
        <v>134.99</v>
      </c>
      <c r="F97" s="82">
        <f t="shared" si="3"/>
        <v>674.95</v>
      </c>
      <c r="G97" s="100">
        <v>0</v>
      </c>
      <c r="H97" s="73">
        <v>0</v>
      </c>
      <c r="I97" s="73">
        <v>0</v>
      </c>
      <c r="J97" s="101">
        <v>674.95</v>
      </c>
      <c r="K97" s="62">
        <f t="shared" si="4"/>
        <v>674.95</v>
      </c>
      <c r="L97" s="1">
        <f t="shared" si="5"/>
        <v>0</v>
      </c>
    </row>
    <row r="98" spans="1:12" x14ac:dyDescent="0.3">
      <c r="A98" s="30" t="s">
        <v>222</v>
      </c>
      <c r="B98" s="31" t="s">
        <v>223</v>
      </c>
      <c r="C98" s="32" t="s">
        <v>45</v>
      </c>
      <c r="D98" s="24">
        <v>1</v>
      </c>
      <c r="E98" s="24">
        <v>35.369999999999997</v>
      </c>
      <c r="F98" s="82">
        <f t="shared" si="3"/>
        <v>35.369999999999997</v>
      </c>
      <c r="G98" s="100">
        <v>0</v>
      </c>
      <c r="H98" s="73">
        <v>0</v>
      </c>
      <c r="I98" s="73">
        <v>0</v>
      </c>
      <c r="J98" s="101">
        <v>35.369999999999997</v>
      </c>
      <c r="K98" s="62">
        <f t="shared" si="4"/>
        <v>35.369999999999997</v>
      </c>
      <c r="L98" s="1">
        <f t="shared" si="5"/>
        <v>0</v>
      </c>
    </row>
    <row r="99" spans="1:12" x14ac:dyDescent="0.3">
      <c r="A99" s="30" t="s">
        <v>224</v>
      </c>
      <c r="B99" s="31" t="s">
        <v>225</v>
      </c>
      <c r="C99" s="32" t="s">
        <v>45</v>
      </c>
      <c r="D99" s="24">
        <v>1</v>
      </c>
      <c r="E99" s="24">
        <v>35.4</v>
      </c>
      <c r="F99" s="82">
        <f t="shared" si="3"/>
        <v>35.4</v>
      </c>
      <c r="G99" s="100">
        <v>0</v>
      </c>
      <c r="H99" s="73">
        <v>0</v>
      </c>
      <c r="I99" s="73">
        <v>0</v>
      </c>
      <c r="J99" s="101">
        <v>35.4</v>
      </c>
      <c r="K99" s="62">
        <f t="shared" si="4"/>
        <v>35.4</v>
      </c>
      <c r="L99" s="1">
        <f t="shared" si="5"/>
        <v>0</v>
      </c>
    </row>
    <row r="100" spans="1:12" x14ac:dyDescent="0.3">
      <c r="A100" s="30" t="s">
        <v>226</v>
      </c>
      <c r="B100" s="31" t="s">
        <v>227</v>
      </c>
      <c r="C100" s="32" t="s">
        <v>45</v>
      </c>
      <c r="D100" s="24">
        <v>5</v>
      </c>
      <c r="E100" s="24">
        <v>35.369999999999997</v>
      </c>
      <c r="F100" s="82">
        <f t="shared" si="3"/>
        <v>176.85</v>
      </c>
      <c r="G100" s="100">
        <v>0</v>
      </c>
      <c r="H100" s="73">
        <v>0</v>
      </c>
      <c r="I100" s="73">
        <v>0</v>
      </c>
      <c r="J100" s="101">
        <v>176.85</v>
      </c>
      <c r="K100" s="62">
        <f t="shared" si="4"/>
        <v>176.85</v>
      </c>
      <c r="L100" s="1">
        <f t="shared" si="5"/>
        <v>0</v>
      </c>
    </row>
    <row r="101" spans="1:12" x14ac:dyDescent="0.3">
      <c r="A101" s="30" t="s">
        <v>228</v>
      </c>
      <c r="B101" s="31" t="s">
        <v>229</v>
      </c>
      <c r="C101" s="32" t="s">
        <v>45</v>
      </c>
      <c r="D101" s="24">
        <v>3</v>
      </c>
      <c r="E101" s="24">
        <v>35.369999999999997</v>
      </c>
      <c r="F101" s="82">
        <f t="shared" si="3"/>
        <v>106.11</v>
      </c>
      <c r="G101" s="100">
        <v>0</v>
      </c>
      <c r="H101" s="73">
        <v>0</v>
      </c>
      <c r="I101" s="73">
        <v>0</v>
      </c>
      <c r="J101" s="101">
        <v>106.11</v>
      </c>
      <c r="K101" s="62">
        <f t="shared" si="4"/>
        <v>106.11</v>
      </c>
      <c r="L101" s="1">
        <f t="shared" si="5"/>
        <v>0</v>
      </c>
    </row>
    <row r="102" spans="1:12" x14ac:dyDescent="0.3">
      <c r="A102" s="30" t="s">
        <v>230</v>
      </c>
      <c r="B102" s="31" t="s">
        <v>231</v>
      </c>
      <c r="C102" s="32" t="s">
        <v>45</v>
      </c>
      <c r="D102" s="24">
        <v>2</v>
      </c>
      <c r="E102" s="24">
        <v>88.91</v>
      </c>
      <c r="F102" s="82">
        <f t="shared" si="3"/>
        <v>177.82</v>
      </c>
      <c r="G102" s="100">
        <v>0</v>
      </c>
      <c r="H102" s="73">
        <v>0</v>
      </c>
      <c r="I102" s="73">
        <v>0</v>
      </c>
      <c r="J102" s="101">
        <v>177.82</v>
      </c>
      <c r="K102" s="62">
        <f t="shared" si="4"/>
        <v>177.82</v>
      </c>
      <c r="L102" s="1">
        <f t="shared" si="5"/>
        <v>0</v>
      </c>
    </row>
    <row r="103" spans="1:12" x14ac:dyDescent="0.3">
      <c r="A103" s="30" t="s">
        <v>232</v>
      </c>
      <c r="B103" s="31" t="s">
        <v>233</v>
      </c>
      <c r="C103" s="32" t="s">
        <v>45</v>
      </c>
      <c r="D103" s="24">
        <v>1</v>
      </c>
      <c r="E103" s="24">
        <v>109.82</v>
      </c>
      <c r="F103" s="82">
        <f t="shared" si="3"/>
        <v>109.82</v>
      </c>
      <c r="G103" s="100">
        <v>0</v>
      </c>
      <c r="H103" s="73">
        <v>0</v>
      </c>
      <c r="I103" s="73">
        <v>0</v>
      </c>
      <c r="J103" s="101">
        <v>109.82</v>
      </c>
      <c r="K103" s="62">
        <f t="shared" si="4"/>
        <v>109.82</v>
      </c>
      <c r="L103" s="1">
        <f t="shared" si="5"/>
        <v>0</v>
      </c>
    </row>
    <row r="104" spans="1:12" x14ac:dyDescent="0.3">
      <c r="A104" s="30" t="s">
        <v>234</v>
      </c>
      <c r="B104" s="31" t="s">
        <v>235</v>
      </c>
      <c r="C104" s="32" t="s">
        <v>45</v>
      </c>
      <c r="D104" s="24">
        <v>2</v>
      </c>
      <c r="E104" s="24">
        <v>110.39</v>
      </c>
      <c r="F104" s="82">
        <f t="shared" si="3"/>
        <v>220.78</v>
      </c>
      <c r="G104" s="100">
        <v>0</v>
      </c>
      <c r="H104" s="73">
        <v>0</v>
      </c>
      <c r="I104" s="73">
        <v>0</v>
      </c>
      <c r="J104" s="101">
        <v>220.78</v>
      </c>
      <c r="K104" s="62">
        <f t="shared" si="4"/>
        <v>220.78</v>
      </c>
      <c r="L104" s="1">
        <f t="shared" si="5"/>
        <v>0</v>
      </c>
    </row>
    <row r="105" spans="1:12" x14ac:dyDescent="0.3">
      <c r="A105" s="30" t="s">
        <v>236</v>
      </c>
      <c r="B105" s="31" t="s">
        <v>237</v>
      </c>
      <c r="C105" s="32" t="s">
        <v>45</v>
      </c>
      <c r="D105" s="24">
        <v>2</v>
      </c>
      <c r="E105" s="24">
        <v>118.32</v>
      </c>
      <c r="F105" s="82">
        <f t="shared" si="3"/>
        <v>236.64</v>
      </c>
      <c r="G105" s="100">
        <v>0</v>
      </c>
      <c r="H105" s="73">
        <v>0</v>
      </c>
      <c r="I105" s="73">
        <v>0</v>
      </c>
      <c r="J105" s="101">
        <v>236.64</v>
      </c>
      <c r="K105" s="62">
        <f t="shared" si="4"/>
        <v>236.64</v>
      </c>
      <c r="L105" s="1">
        <f t="shared" si="5"/>
        <v>0</v>
      </c>
    </row>
    <row r="106" spans="1:12" x14ac:dyDescent="0.3">
      <c r="A106" s="30" t="s">
        <v>238</v>
      </c>
      <c r="B106" s="31" t="s">
        <v>239</v>
      </c>
      <c r="C106" s="32" t="s">
        <v>45</v>
      </c>
      <c r="D106" s="24">
        <v>1</v>
      </c>
      <c r="E106" s="24">
        <v>316.64</v>
      </c>
      <c r="F106" s="82">
        <f t="shared" si="3"/>
        <v>316.64</v>
      </c>
      <c r="G106" s="100">
        <v>0</v>
      </c>
      <c r="H106" s="73">
        <v>0</v>
      </c>
      <c r="I106" s="73">
        <v>0</v>
      </c>
      <c r="J106" s="101">
        <v>316.64</v>
      </c>
      <c r="K106" s="62">
        <f t="shared" si="4"/>
        <v>316.64</v>
      </c>
      <c r="L106" s="1">
        <f t="shared" si="5"/>
        <v>0</v>
      </c>
    </row>
    <row r="107" spans="1:12" x14ac:dyDescent="0.3">
      <c r="A107" s="30" t="s">
        <v>240</v>
      </c>
      <c r="B107" s="31" t="s">
        <v>241</v>
      </c>
      <c r="C107" s="32" t="s">
        <v>45</v>
      </c>
      <c r="D107" s="24">
        <v>1</v>
      </c>
      <c r="E107" s="24">
        <v>503.61</v>
      </c>
      <c r="F107" s="82">
        <f t="shared" si="3"/>
        <v>503.61</v>
      </c>
      <c r="G107" s="100">
        <v>0</v>
      </c>
      <c r="H107" s="73">
        <v>0</v>
      </c>
      <c r="I107" s="73">
        <v>0</v>
      </c>
      <c r="J107" s="101">
        <v>503.61</v>
      </c>
      <c r="K107" s="62">
        <f t="shared" si="4"/>
        <v>503.61</v>
      </c>
      <c r="L107" s="1">
        <f t="shared" si="5"/>
        <v>0</v>
      </c>
    </row>
    <row r="108" spans="1:12" x14ac:dyDescent="0.3">
      <c r="A108" s="30" t="s">
        <v>242</v>
      </c>
      <c r="B108" s="31" t="s">
        <v>243</v>
      </c>
      <c r="C108" s="32" t="s">
        <v>45</v>
      </c>
      <c r="D108" s="24">
        <v>1</v>
      </c>
      <c r="E108" s="24">
        <v>125.56</v>
      </c>
      <c r="F108" s="82">
        <f t="shared" si="3"/>
        <v>125.56</v>
      </c>
      <c r="G108" s="100">
        <v>0</v>
      </c>
      <c r="H108" s="73">
        <v>0</v>
      </c>
      <c r="I108" s="73">
        <v>0</v>
      </c>
      <c r="J108" s="101">
        <v>125.56</v>
      </c>
      <c r="K108" s="62">
        <f t="shared" si="4"/>
        <v>125.56</v>
      </c>
      <c r="L108" s="1">
        <f t="shared" si="5"/>
        <v>0</v>
      </c>
    </row>
    <row r="109" spans="1:12" x14ac:dyDescent="0.3">
      <c r="A109" s="30" t="s">
        <v>244</v>
      </c>
      <c r="B109" s="31" t="s">
        <v>245</v>
      </c>
      <c r="C109" s="32" t="s">
        <v>128</v>
      </c>
      <c r="D109" s="24">
        <v>7</v>
      </c>
      <c r="E109" s="24">
        <v>17.84</v>
      </c>
      <c r="F109" s="82">
        <f t="shared" si="3"/>
        <v>124.88</v>
      </c>
      <c r="G109" s="100">
        <v>0</v>
      </c>
      <c r="H109" s="73">
        <v>83.25</v>
      </c>
      <c r="I109" s="73">
        <v>41.63</v>
      </c>
      <c r="J109" s="101">
        <v>0</v>
      </c>
      <c r="K109" s="62">
        <f t="shared" si="4"/>
        <v>124.88</v>
      </c>
      <c r="L109" s="1">
        <f t="shared" si="5"/>
        <v>0</v>
      </c>
    </row>
    <row r="110" spans="1:12" x14ac:dyDescent="0.3">
      <c r="A110" s="30" t="s">
        <v>246</v>
      </c>
      <c r="B110" s="31" t="s">
        <v>247</v>
      </c>
      <c r="C110" s="32" t="s">
        <v>128</v>
      </c>
      <c r="D110" s="24">
        <v>8</v>
      </c>
      <c r="E110" s="24">
        <v>17.84</v>
      </c>
      <c r="F110" s="82">
        <f t="shared" si="3"/>
        <v>142.72</v>
      </c>
      <c r="G110" s="100">
        <v>0</v>
      </c>
      <c r="H110" s="73">
        <v>0</v>
      </c>
      <c r="I110" s="73">
        <v>0</v>
      </c>
      <c r="J110" s="101">
        <v>142.72</v>
      </c>
      <c r="K110" s="62">
        <f t="shared" si="4"/>
        <v>142.72</v>
      </c>
      <c r="L110" s="1">
        <f t="shared" si="5"/>
        <v>0</v>
      </c>
    </row>
    <row r="111" spans="1:12" x14ac:dyDescent="0.3">
      <c r="A111" s="30" t="s">
        <v>248</v>
      </c>
      <c r="B111" s="31" t="s">
        <v>249</v>
      </c>
      <c r="C111" s="32" t="s">
        <v>45</v>
      </c>
      <c r="D111" s="24">
        <v>2</v>
      </c>
      <c r="E111" s="24">
        <v>194.74</v>
      </c>
      <c r="F111" s="82">
        <f t="shared" si="3"/>
        <v>389.48</v>
      </c>
      <c r="G111" s="100">
        <v>0</v>
      </c>
      <c r="H111" s="73">
        <v>0</v>
      </c>
      <c r="I111" s="73">
        <v>0</v>
      </c>
      <c r="J111" s="101">
        <v>389.48</v>
      </c>
      <c r="K111" s="62">
        <f t="shared" si="4"/>
        <v>389.48</v>
      </c>
      <c r="L111" s="1">
        <f t="shared" si="5"/>
        <v>0</v>
      </c>
    </row>
    <row r="112" spans="1:12" x14ac:dyDescent="0.3">
      <c r="A112" s="30" t="s">
        <v>250</v>
      </c>
      <c r="B112" s="31" t="s">
        <v>251</v>
      </c>
      <c r="C112" s="32" t="s">
        <v>45</v>
      </c>
      <c r="D112" s="24">
        <v>1</v>
      </c>
      <c r="E112" s="24">
        <v>251.38</v>
      </c>
      <c r="F112" s="82">
        <f t="shared" si="3"/>
        <v>251.38</v>
      </c>
      <c r="G112" s="100">
        <v>0</v>
      </c>
      <c r="H112" s="73">
        <v>0</v>
      </c>
      <c r="I112" s="73">
        <v>0</v>
      </c>
      <c r="J112" s="101">
        <v>251.38</v>
      </c>
      <c r="K112" s="62">
        <f t="shared" si="4"/>
        <v>251.38</v>
      </c>
      <c r="L112" s="1">
        <f t="shared" si="5"/>
        <v>0</v>
      </c>
    </row>
    <row r="113" spans="1:12" x14ac:dyDescent="0.3">
      <c r="A113" s="30" t="s">
        <v>252</v>
      </c>
      <c r="B113" s="31" t="s">
        <v>253</v>
      </c>
      <c r="C113" s="32" t="s">
        <v>45</v>
      </c>
      <c r="D113" s="24">
        <v>1</v>
      </c>
      <c r="E113" s="24">
        <v>265.70999999999998</v>
      </c>
      <c r="F113" s="82">
        <f t="shared" si="3"/>
        <v>265.70999999999998</v>
      </c>
      <c r="G113" s="100">
        <v>0</v>
      </c>
      <c r="H113" s="73">
        <v>0</v>
      </c>
      <c r="I113" s="73">
        <v>0</v>
      </c>
      <c r="J113" s="101">
        <v>265.70999999999998</v>
      </c>
      <c r="K113" s="62">
        <f t="shared" si="4"/>
        <v>265.70999999999998</v>
      </c>
      <c r="L113" s="1">
        <f t="shared" si="5"/>
        <v>0</v>
      </c>
    </row>
    <row r="114" spans="1:12" x14ac:dyDescent="0.3">
      <c r="A114" s="30" t="s">
        <v>254</v>
      </c>
      <c r="B114" s="31" t="s">
        <v>255</v>
      </c>
      <c r="C114" s="32" t="s">
        <v>45</v>
      </c>
      <c r="D114" s="24">
        <v>3</v>
      </c>
      <c r="E114" s="24">
        <v>4.08</v>
      </c>
      <c r="F114" s="82">
        <f t="shared" si="3"/>
        <v>12.24</v>
      </c>
      <c r="G114" s="100">
        <v>0</v>
      </c>
      <c r="H114" s="73">
        <v>12.24</v>
      </c>
      <c r="I114" s="73">
        <v>0</v>
      </c>
      <c r="J114" s="101">
        <v>0</v>
      </c>
      <c r="K114" s="62">
        <f t="shared" si="4"/>
        <v>12.24</v>
      </c>
      <c r="L114" s="1">
        <f t="shared" si="5"/>
        <v>0</v>
      </c>
    </row>
    <row r="115" spans="1:12" x14ac:dyDescent="0.3">
      <c r="A115" s="30" t="s">
        <v>256</v>
      </c>
      <c r="B115" s="31" t="s">
        <v>257</v>
      </c>
      <c r="C115" s="32" t="s">
        <v>45</v>
      </c>
      <c r="D115" s="24">
        <v>1</v>
      </c>
      <c r="E115" s="24">
        <v>3.9</v>
      </c>
      <c r="F115" s="82">
        <f t="shared" si="3"/>
        <v>3.9</v>
      </c>
      <c r="G115" s="100">
        <v>0</v>
      </c>
      <c r="H115" s="73">
        <v>0</v>
      </c>
      <c r="I115" s="73">
        <v>3.9</v>
      </c>
      <c r="J115" s="101">
        <v>0</v>
      </c>
      <c r="K115" s="62">
        <f t="shared" si="4"/>
        <v>3.9</v>
      </c>
      <c r="L115" s="1">
        <f t="shared" si="5"/>
        <v>0</v>
      </c>
    </row>
    <row r="116" spans="1:12" x14ac:dyDescent="0.3">
      <c r="A116" s="30" t="s">
        <v>258</v>
      </c>
      <c r="B116" s="31" t="s">
        <v>259</v>
      </c>
      <c r="C116" s="32" t="s">
        <v>45</v>
      </c>
      <c r="D116" s="24">
        <v>12</v>
      </c>
      <c r="E116" s="24">
        <v>25.42</v>
      </c>
      <c r="F116" s="82">
        <f t="shared" si="3"/>
        <v>305.04000000000002</v>
      </c>
      <c r="G116" s="100">
        <v>0</v>
      </c>
      <c r="H116" s="73">
        <v>305.04000000000002</v>
      </c>
      <c r="I116" s="73">
        <v>0</v>
      </c>
      <c r="J116" s="101">
        <v>0</v>
      </c>
      <c r="K116" s="62">
        <f t="shared" si="4"/>
        <v>305.04000000000002</v>
      </c>
      <c r="L116" s="1">
        <f t="shared" si="5"/>
        <v>0</v>
      </c>
    </row>
    <row r="117" spans="1:12" x14ac:dyDescent="0.3">
      <c r="A117" s="30" t="s">
        <v>260</v>
      </c>
      <c r="B117" s="31" t="s">
        <v>261</v>
      </c>
      <c r="C117" s="32" t="s">
        <v>128</v>
      </c>
      <c r="D117" s="24">
        <v>13</v>
      </c>
      <c r="E117" s="24">
        <v>26.7</v>
      </c>
      <c r="F117" s="82">
        <f t="shared" si="3"/>
        <v>347.1</v>
      </c>
      <c r="G117" s="100">
        <v>0</v>
      </c>
      <c r="H117" s="73">
        <v>0</v>
      </c>
      <c r="I117" s="73">
        <v>213.6</v>
      </c>
      <c r="J117" s="101">
        <v>133.5</v>
      </c>
      <c r="K117" s="62">
        <f t="shared" si="4"/>
        <v>347.1</v>
      </c>
      <c r="L117" s="1">
        <f t="shared" si="5"/>
        <v>0</v>
      </c>
    </row>
    <row r="118" spans="1:12" x14ac:dyDescent="0.3">
      <c r="A118" s="30" t="s">
        <v>262</v>
      </c>
      <c r="B118" s="31" t="s">
        <v>263</v>
      </c>
      <c r="C118" s="32" t="s">
        <v>128</v>
      </c>
      <c r="D118" s="24">
        <v>2</v>
      </c>
      <c r="E118" s="24">
        <v>400.37</v>
      </c>
      <c r="F118" s="82">
        <f t="shared" si="3"/>
        <v>800.74</v>
      </c>
      <c r="G118" s="100">
        <v>0</v>
      </c>
      <c r="H118" s="73">
        <v>0</v>
      </c>
      <c r="I118" s="73">
        <v>0</v>
      </c>
      <c r="J118" s="101">
        <v>800.74</v>
      </c>
      <c r="K118" s="62">
        <f t="shared" si="4"/>
        <v>800.74</v>
      </c>
      <c r="L118" s="1">
        <f t="shared" si="5"/>
        <v>0</v>
      </c>
    </row>
    <row r="119" spans="1:12" x14ac:dyDescent="0.3">
      <c r="A119" s="30" t="s">
        <v>264</v>
      </c>
      <c r="B119" s="31" t="s">
        <v>265</v>
      </c>
      <c r="C119" s="32" t="s">
        <v>45</v>
      </c>
      <c r="D119" s="24">
        <v>1</v>
      </c>
      <c r="E119" s="24">
        <v>420</v>
      </c>
      <c r="F119" s="82">
        <f t="shared" si="3"/>
        <v>420</v>
      </c>
      <c r="G119" s="100">
        <v>0</v>
      </c>
      <c r="H119" s="73">
        <v>0</v>
      </c>
      <c r="I119" s="73">
        <v>420</v>
      </c>
      <c r="J119" s="101">
        <v>0</v>
      </c>
      <c r="K119" s="62">
        <f t="shared" si="4"/>
        <v>420</v>
      </c>
      <c r="L119" s="1">
        <f t="shared" si="5"/>
        <v>0</v>
      </c>
    </row>
    <row r="120" spans="1:12" x14ac:dyDescent="0.3">
      <c r="A120" s="30" t="s">
        <v>266</v>
      </c>
      <c r="B120" s="31" t="s">
        <v>267</v>
      </c>
      <c r="C120" s="32" t="s">
        <v>268</v>
      </c>
      <c r="D120" s="24">
        <v>4.47</v>
      </c>
      <c r="E120" s="24">
        <v>27.87</v>
      </c>
      <c r="F120" s="82">
        <f t="shared" si="3"/>
        <v>124.58</v>
      </c>
      <c r="G120" s="100">
        <v>0</v>
      </c>
      <c r="H120" s="73">
        <v>96.05</v>
      </c>
      <c r="I120" s="73">
        <v>28.53</v>
      </c>
      <c r="J120" s="101">
        <v>0</v>
      </c>
      <c r="K120" s="62">
        <f t="shared" si="4"/>
        <v>124.58</v>
      </c>
      <c r="L120" s="1">
        <f t="shared" si="5"/>
        <v>0</v>
      </c>
    </row>
    <row r="121" spans="1:12" x14ac:dyDescent="0.3">
      <c r="A121" s="30" t="s">
        <v>269</v>
      </c>
      <c r="B121" s="31" t="s">
        <v>267</v>
      </c>
      <c r="C121" s="32" t="s">
        <v>270</v>
      </c>
      <c r="D121" s="24">
        <v>9.5500000000000007</v>
      </c>
      <c r="E121" s="24">
        <v>27.87</v>
      </c>
      <c r="F121" s="82">
        <f t="shared" si="3"/>
        <v>266.16000000000003</v>
      </c>
      <c r="G121" s="100">
        <v>0</v>
      </c>
      <c r="H121" s="73">
        <v>0</v>
      </c>
      <c r="I121" s="73">
        <v>45.98</v>
      </c>
      <c r="J121" s="101">
        <v>220.18</v>
      </c>
      <c r="K121" s="62">
        <f t="shared" si="4"/>
        <v>266.16000000000003</v>
      </c>
      <c r="L121" s="1">
        <f t="shared" si="5"/>
        <v>0</v>
      </c>
    </row>
    <row r="122" spans="1:12" x14ac:dyDescent="0.3">
      <c r="A122" s="30" t="s">
        <v>271</v>
      </c>
      <c r="B122" s="31" t="s">
        <v>272</v>
      </c>
      <c r="C122" s="32" t="s">
        <v>45</v>
      </c>
      <c r="D122" s="24">
        <v>10352.1</v>
      </c>
      <c r="E122" s="24">
        <v>0.68</v>
      </c>
      <c r="F122" s="82">
        <f t="shared" si="3"/>
        <v>7039.43</v>
      </c>
      <c r="G122" s="100">
        <v>891.92</v>
      </c>
      <c r="H122" s="73">
        <v>3403.05</v>
      </c>
      <c r="I122" s="73">
        <v>2744.46</v>
      </c>
      <c r="J122" s="101">
        <v>0</v>
      </c>
      <c r="K122" s="62">
        <f t="shared" si="4"/>
        <v>7039.43</v>
      </c>
      <c r="L122" s="1">
        <f t="shared" si="5"/>
        <v>0</v>
      </c>
    </row>
    <row r="123" spans="1:12" x14ac:dyDescent="0.3">
      <c r="A123" s="30" t="s">
        <v>273</v>
      </c>
      <c r="B123" s="31" t="s">
        <v>274</v>
      </c>
      <c r="C123" s="32" t="s">
        <v>275</v>
      </c>
      <c r="D123" s="24">
        <v>3.97</v>
      </c>
      <c r="E123" s="24">
        <v>676.58</v>
      </c>
      <c r="F123" s="82">
        <f t="shared" si="3"/>
        <v>2686.02</v>
      </c>
      <c r="G123" s="100">
        <v>0</v>
      </c>
      <c r="H123" s="73">
        <v>0</v>
      </c>
      <c r="I123" s="73">
        <v>2686.02</v>
      </c>
      <c r="J123" s="101">
        <v>0</v>
      </c>
      <c r="K123" s="62">
        <f t="shared" si="4"/>
        <v>2686.02</v>
      </c>
      <c r="L123" s="1">
        <f t="shared" si="5"/>
        <v>0</v>
      </c>
    </row>
    <row r="124" spans="1:12" x14ac:dyDescent="0.3">
      <c r="A124" s="30" t="s">
        <v>276</v>
      </c>
      <c r="B124" s="31" t="s">
        <v>277</v>
      </c>
      <c r="C124" s="32" t="s">
        <v>45</v>
      </c>
      <c r="D124" s="24">
        <v>832.25</v>
      </c>
      <c r="E124" s="24">
        <v>1.76</v>
      </c>
      <c r="F124" s="82">
        <f t="shared" si="3"/>
        <v>1464.76</v>
      </c>
      <c r="G124" s="100">
        <v>0</v>
      </c>
      <c r="H124" s="73">
        <v>1464.76</v>
      </c>
      <c r="I124" s="73">
        <v>0</v>
      </c>
      <c r="J124" s="101">
        <v>0</v>
      </c>
      <c r="K124" s="62">
        <f t="shared" si="4"/>
        <v>1464.76</v>
      </c>
      <c r="L124" s="1">
        <f t="shared" si="5"/>
        <v>0</v>
      </c>
    </row>
    <row r="125" spans="1:12" x14ac:dyDescent="0.3">
      <c r="A125" s="30" t="s">
        <v>278</v>
      </c>
      <c r="B125" s="31" t="s">
        <v>279</v>
      </c>
      <c r="C125" s="32" t="s">
        <v>123</v>
      </c>
      <c r="D125" s="24">
        <v>10.199999999999999</v>
      </c>
      <c r="E125" s="24">
        <v>4.41</v>
      </c>
      <c r="F125" s="82">
        <f t="shared" si="3"/>
        <v>44.98</v>
      </c>
      <c r="G125" s="100">
        <v>0</v>
      </c>
      <c r="H125" s="73">
        <v>44.98</v>
      </c>
      <c r="I125" s="73">
        <v>0</v>
      </c>
      <c r="J125" s="101">
        <v>0</v>
      </c>
      <c r="K125" s="62">
        <f t="shared" si="4"/>
        <v>44.98</v>
      </c>
      <c r="L125" s="1">
        <f t="shared" si="5"/>
        <v>0</v>
      </c>
    </row>
    <row r="126" spans="1:12" x14ac:dyDescent="0.3">
      <c r="A126" s="30" t="s">
        <v>280</v>
      </c>
      <c r="B126" s="31" t="s">
        <v>281</v>
      </c>
      <c r="C126" s="32" t="s">
        <v>45</v>
      </c>
      <c r="D126" s="24">
        <v>2</v>
      </c>
      <c r="E126" s="24">
        <v>89.25</v>
      </c>
      <c r="F126" s="82">
        <f t="shared" si="3"/>
        <v>178.5</v>
      </c>
      <c r="G126" s="100">
        <v>0</v>
      </c>
      <c r="H126" s="73">
        <v>178.5</v>
      </c>
      <c r="I126" s="73">
        <v>0</v>
      </c>
      <c r="J126" s="101">
        <v>0</v>
      </c>
      <c r="K126" s="62">
        <f t="shared" si="4"/>
        <v>178.5</v>
      </c>
      <c r="L126" s="1">
        <f t="shared" si="5"/>
        <v>0</v>
      </c>
    </row>
    <row r="127" spans="1:12" x14ac:dyDescent="0.3">
      <c r="A127" s="30" t="s">
        <v>282</v>
      </c>
      <c r="B127" s="31" t="s">
        <v>283</v>
      </c>
      <c r="C127" s="32" t="s">
        <v>45</v>
      </c>
      <c r="D127" s="24">
        <v>1</v>
      </c>
      <c r="E127" s="24">
        <v>120.76</v>
      </c>
      <c r="F127" s="82">
        <f t="shared" si="3"/>
        <v>120.76</v>
      </c>
      <c r="G127" s="100">
        <v>0</v>
      </c>
      <c r="H127" s="73">
        <v>0</v>
      </c>
      <c r="I127" s="73">
        <v>0</v>
      </c>
      <c r="J127" s="101">
        <v>120.76</v>
      </c>
      <c r="K127" s="62">
        <f t="shared" si="4"/>
        <v>120.76</v>
      </c>
      <c r="L127" s="1">
        <f t="shared" si="5"/>
        <v>0</v>
      </c>
    </row>
    <row r="128" spans="1:12" x14ac:dyDescent="0.3">
      <c r="A128" s="30" t="s">
        <v>284</v>
      </c>
      <c r="B128" s="31" t="s">
        <v>285</v>
      </c>
      <c r="C128" s="32" t="s">
        <v>286</v>
      </c>
      <c r="D128" s="24">
        <v>2543.71</v>
      </c>
      <c r="E128" s="24">
        <v>22.99</v>
      </c>
      <c r="F128" s="82">
        <f t="shared" si="3"/>
        <v>58479.89</v>
      </c>
      <c r="G128" s="100">
        <v>11766.34</v>
      </c>
      <c r="H128" s="73">
        <v>19928.72</v>
      </c>
      <c r="I128" s="73">
        <v>22453.64</v>
      </c>
      <c r="J128" s="101">
        <v>4331.1899999999996</v>
      </c>
      <c r="K128" s="62">
        <f t="shared" si="4"/>
        <v>58479.89</v>
      </c>
      <c r="L128" s="1">
        <f t="shared" si="5"/>
        <v>0</v>
      </c>
    </row>
    <row r="129" spans="1:12" x14ac:dyDescent="0.3">
      <c r="A129" s="30" t="s">
        <v>287</v>
      </c>
      <c r="B129" s="31" t="s">
        <v>288</v>
      </c>
      <c r="C129" s="32" t="s">
        <v>45</v>
      </c>
      <c r="D129" s="24">
        <v>1</v>
      </c>
      <c r="E129" s="24">
        <v>84</v>
      </c>
      <c r="F129" s="82">
        <f t="shared" si="3"/>
        <v>84</v>
      </c>
      <c r="G129" s="100">
        <v>0</v>
      </c>
      <c r="H129" s="73">
        <v>0</v>
      </c>
      <c r="I129" s="73">
        <v>0</v>
      </c>
      <c r="J129" s="101">
        <v>84</v>
      </c>
      <c r="K129" s="62">
        <f t="shared" si="4"/>
        <v>84</v>
      </c>
      <c r="L129" s="1">
        <f t="shared" si="5"/>
        <v>0</v>
      </c>
    </row>
    <row r="130" spans="1:12" x14ac:dyDescent="0.3">
      <c r="A130" s="30" t="s">
        <v>289</v>
      </c>
      <c r="B130" s="31" t="s">
        <v>290</v>
      </c>
      <c r="C130" s="32" t="s">
        <v>291</v>
      </c>
      <c r="D130" s="24">
        <v>0.05</v>
      </c>
      <c r="E130" s="24">
        <v>126.78</v>
      </c>
      <c r="F130" s="82">
        <f t="shared" si="3"/>
        <v>6.34</v>
      </c>
      <c r="G130" s="100">
        <v>0</v>
      </c>
      <c r="H130" s="73">
        <v>0</v>
      </c>
      <c r="I130" s="73">
        <v>6.34</v>
      </c>
      <c r="J130" s="101">
        <v>0</v>
      </c>
      <c r="K130" s="62">
        <f t="shared" si="4"/>
        <v>6.34</v>
      </c>
      <c r="L130" s="1">
        <f t="shared" si="5"/>
        <v>0</v>
      </c>
    </row>
    <row r="131" spans="1:12" x14ac:dyDescent="0.3">
      <c r="A131" s="30" t="s">
        <v>292</v>
      </c>
      <c r="B131" s="31" t="s">
        <v>293</v>
      </c>
      <c r="C131" s="32" t="s">
        <v>102</v>
      </c>
      <c r="D131" s="24">
        <v>130.52000000000001</v>
      </c>
      <c r="E131" s="24">
        <v>57.75</v>
      </c>
      <c r="F131" s="82">
        <f t="shared" si="3"/>
        <v>7537.53</v>
      </c>
      <c r="G131" s="100">
        <v>0</v>
      </c>
      <c r="H131" s="73">
        <v>0</v>
      </c>
      <c r="I131" s="73">
        <v>1390.38</v>
      </c>
      <c r="J131" s="101">
        <v>6147.15</v>
      </c>
      <c r="K131" s="62">
        <f t="shared" si="4"/>
        <v>7537.53</v>
      </c>
      <c r="L131" s="1">
        <f t="shared" si="5"/>
        <v>0</v>
      </c>
    </row>
    <row r="132" spans="1:12" x14ac:dyDescent="0.3">
      <c r="A132" s="30" t="s">
        <v>294</v>
      </c>
      <c r="B132" s="31" t="s">
        <v>295</v>
      </c>
      <c r="C132" s="32" t="s">
        <v>102</v>
      </c>
      <c r="D132" s="24">
        <v>52.46</v>
      </c>
      <c r="E132" s="24">
        <v>47.25</v>
      </c>
      <c r="F132" s="82">
        <f t="shared" si="3"/>
        <v>2478.7399999999998</v>
      </c>
      <c r="G132" s="100">
        <v>0</v>
      </c>
      <c r="H132" s="73">
        <v>0</v>
      </c>
      <c r="I132" s="73">
        <v>0</v>
      </c>
      <c r="J132" s="101">
        <v>2478.7399999999998</v>
      </c>
      <c r="K132" s="62">
        <f t="shared" si="4"/>
        <v>2478.7399999999998</v>
      </c>
      <c r="L132" s="1">
        <f t="shared" si="5"/>
        <v>0</v>
      </c>
    </row>
    <row r="133" spans="1:12" x14ac:dyDescent="0.3">
      <c r="A133" s="30" t="s">
        <v>296</v>
      </c>
      <c r="B133" s="31" t="s">
        <v>297</v>
      </c>
      <c r="C133" s="32" t="s">
        <v>102</v>
      </c>
      <c r="D133" s="24">
        <v>51.03</v>
      </c>
      <c r="E133" s="24">
        <v>47.25</v>
      </c>
      <c r="F133" s="82">
        <f t="shared" si="3"/>
        <v>2411.17</v>
      </c>
      <c r="G133" s="100">
        <v>0</v>
      </c>
      <c r="H133" s="73">
        <v>219.2</v>
      </c>
      <c r="I133" s="73">
        <v>2191.9699999999998</v>
      </c>
      <c r="J133" s="101">
        <v>0</v>
      </c>
      <c r="K133" s="62">
        <f t="shared" si="4"/>
        <v>2411.1699999999996</v>
      </c>
      <c r="L133" s="1">
        <f t="shared" si="5"/>
        <v>0</v>
      </c>
    </row>
    <row r="134" spans="1:12" x14ac:dyDescent="0.3">
      <c r="A134" s="30" t="s">
        <v>298</v>
      </c>
      <c r="B134" s="31" t="s">
        <v>299</v>
      </c>
      <c r="C134" s="32" t="s">
        <v>45</v>
      </c>
      <c r="D134" s="24">
        <v>6</v>
      </c>
      <c r="E134" s="24">
        <v>7.14</v>
      </c>
      <c r="F134" s="82">
        <f t="shared" si="3"/>
        <v>42.84</v>
      </c>
      <c r="G134" s="100">
        <v>0</v>
      </c>
      <c r="H134" s="73">
        <v>0</v>
      </c>
      <c r="I134" s="73">
        <v>42.84</v>
      </c>
      <c r="J134" s="101">
        <v>0</v>
      </c>
      <c r="K134" s="62">
        <f t="shared" si="4"/>
        <v>42.84</v>
      </c>
      <c r="L134" s="1">
        <f t="shared" si="5"/>
        <v>0</v>
      </c>
    </row>
    <row r="135" spans="1:12" x14ac:dyDescent="0.3">
      <c r="A135" s="30" t="s">
        <v>300</v>
      </c>
      <c r="B135" s="31" t="s">
        <v>301</v>
      </c>
      <c r="C135" s="32" t="s">
        <v>45</v>
      </c>
      <c r="D135" s="24">
        <v>2</v>
      </c>
      <c r="E135" s="24">
        <v>60.5</v>
      </c>
      <c r="F135" s="82">
        <f t="shared" si="3"/>
        <v>121</v>
      </c>
      <c r="G135" s="100">
        <v>0</v>
      </c>
      <c r="H135" s="73">
        <v>0</v>
      </c>
      <c r="I135" s="73">
        <v>121</v>
      </c>
      <c r="J135" s="101">
        <v>0</v>
      </c>
      <c r="K135" s="62">
        <f t="shared" si="4"/>
        <v>121</v>
      </c>
      <c r="L135" s="1">
        <f t="shared" si="5"/>
        <v>0</v>
      </c>
    </row>
    <row r="136" spans="1:12" x14ac:dyDescent="0.3">
      <c r="A136" s="30" t="s">
        <v>302</v>
      </c>
      <c r="B136" s="31" t="s">
        <v>303</v>
      </c>
      <c r="C136" s="32" t="s">
        <v>45</v>
      </c>
      <c r="D136" s="24">
        <v>1</v>
      </c>
      <c r="E136" s="24">
        <v>71.5</v>
      </c>
      <c r="F136" s="82">
        <f t="shared" si="3"/>
        <v>71.5</v>
      </c>
      <c r="G136" s="100">
        <v>0</v>
      </c>
      <c r="H136" s="73">
        <v>0</v>
      </c>
      <c r="I136" s="73">
        <v>71.5</v>
      </c>
      <c r="J136" s="101">
        <v>0</v>
      </c>
      <c r="K136" s="62">
        <f t="shared" si="4"/>
        <v>71.5</v>
      </c>
      <c r="L136" s="1">
        <f t="shared" si="5"/>
        <v>0</v>
      </c>
    </row>
    <row r="137" spans="1:12" x14ac:dyDescent="0.3">
      <c r="A137" s="30" t="s">
        <v>304</v>
      </c>
      <c r="B137" s="31" t="s">
        <v>305</v>
      </c>
      <c r="C137" s="32" t="s">
        <v>45</v>
      </c>
      <c r="D137" s="24">
        <v>1.5</v>
      </c>
      <c r="E137" s="24">
        <v>16.899999999999999</v>
      </c>
      <c r="F137" s="82">
        <f t="shared" si="3"/>
        <v>25.35</v>
      </c>
      <c r="G137" s="100">
        <v>0</v>
      </c>
      <c r="H137" s="73">
        <v>25.35</v>
      </c>
      <c r="I137" s="73">
        <v>0</v>
      </c>
      <c r="J137" s="101">
        <v>0</v>
      </c>
      <c r="K137" s="62">
        <f t="shared" si="4"/>
        <v>25.35</v>
      </c>
      <c r="L137" s="1">
        <f t="shared" si="5"/>
        <v>0</v>
      </c>
    </row>
    <row r="138" spans="1:12" x14ac:dyDescent="0.3">
      <c r="A138" s="30" t="s">
        <v>306</v>
      </c>
      <c r="B138" s="31" t="s">
        <v>307</v>
      </c>
      <c r="C138" s="32" t="s">
        <v>32</v>
      </c>
      <c r="D138" s="24">
        <v>4</v>
      </c>
      <c r="E138" s="24">
        <v>285</v>
      </c>
      <c r="F138" s="82">
        <f t="shared" si="3"/>
        <v>1140</v>
      </c>
      <c r="G138" s="100">
        <v>272.82</v>
      </c>
      <c r="H138" s="73">
        <v>292.31</v>
      </c>
      <c r="I138" s="73">
        <v>302.05</v>
      </c>
      <c r="J138" s="101">
        <v>272.82</v>
      </c>
      <c r="K138" s="62">
        <f t="shared" si="4"/>
        <v>1140</v>
      </c>
      <c r="L138" s="1">
        <f t="shared" si="5"/>
        <v>0</v>
      </c>
    </row>
    <row r="139" spans="1:12" x14ac:dyDescent="0.3">
      <c r="A139" s="30" t="s">
        <v>308</v>
      </c>
      <c r="B139" s="31" t="s">
        <v>309</v>
      </c>
      <c r="C139" s="32" t="s">
        <v>45</v>
      </c>
      <c r="D139" s="24">
        <v>1</v>
      </c>
      <c r="E139" s="24">
        <v>199.31</v>
      </c>
      <c r="F139" s="82">
        <f t="shared" si="3"/>
        <v>199.31</v>
      </c>
      <c r="G139" s="100">
        <v>51.92</v>
      </c>
      <c r="H139" s="73">
        <v>50.25</v>
      </c>
      <c r="I139" s="73">
        <v>51.92</v>
      </c>
      <c r="J139" s="101">
        <v>45.22</v>
      </c>
      <c r="K139" s="62">
        <f t="shared" si="4"/>
        <v>199.31</v>
      </c>
      <c r="L139" s="1">
        <f t="shared" si="5"/>
        <v>0</v>
      </c>
    </row>
    <row r="140" spans="1:12" x14ac:dyDescent="0.3">
      <c r="A140" s="30" t="s">
        <v>310</v>
      </c>
      <c r="B140" s="31" t="s">
        <v>311</v>
      </c>
      <c r="C140" s="32" t="s">
        <v>312</v>
      </c>
      <c r="D140" s="24">
        <v>40</v>
      </c>
      <c r="E140" s="24">
        <v>76.3</v>
      </c>
      <c r="F140" s="82">
        <f t="shared" ref="F140:F203" si="6">+ROUND(D140*E140,2)</f>
        <v>3052</v>
      </c>
      <c r="G140" s="100">
        <v>795.06</v>
      </c>
      <c r="H140" s="73">
        <v>769.41</v>
      </c>
      <c r="I140" s="73">
        <v>795.06</v>
      </c>
      <c r="J140" s="101">
        <v>692.47</v>
      </c>
      <c r="K140" s="62">
        <f t="shared" ref="K140:K203" si="7">SUM(G140:J140)</f>
        <v>3052</v>
      </c>
      <c r="L140" s="1">
        <f t="shared" ref="L140:L203" si="8">+F140-K140</f>
        <v>0</v>
      </c>
    </row>
    <row r="141" spans="1:12" x14ac:dyDescent="0.3">
      <c r="A141" s="30" t="s">
        <v>313</v>
      </c>
      <c r="B141" s="31" t="s">
        <v>314</v>
      </c>
      <c r="C141" s="32" t="s">
        <v>45</v>
      </c>
      <c r="D141" s="24">
        <v>17</v>
      </c>
      <c r="E141" s="24">
        <v>38.14</v>
      </c>
      <c r="F141" s="82">
        <f t="shared" si="6"/>
        <v>648.38</v>
      </c>
      <c r="G141" s="100">
        <v>168.91</v>
      </c>
      <c r="H141" s="73">
        <v>163.46</v>
      </c>
      <c r="I141" s="73">
        <v>168.91</v>
      </c>
      <c r="J141" s="101">
        <v>147.10000000000002</v>
      </c>
      <c r="K141" s="62">
        <f t="shared" si="7"/>
        <v>648.38</v>
      </c>
      <c r="L141" s="1">
        <f t="shared" si="8"/>
        <v>0</v>
      </c>
    </row>
    <row r="142" spans="1:12" x14ac:dyDescent="0.3">
      <c r="A142" s="30" t="s">
        <v>315</v>
      </c>
      <c r="B142" s="31" t="s">
        <v>316</v>
      </c>
      <c r="C142" s="32" t="s">
        <v>45</v>
      </c>
      <c r="D142" s="24">
        <v>28</v>
      </c>
      <c r="E142" s="24">
        <v>38.14</v>
      </c>
      <c r="F142" s="82">
        <f t="shared" si="6"/>
        <v>1067.92</v>
      </c>
      <c r="G142" s="100">
        <v>278.2</v>
      </c>
      <c r="H142" s="73">
        <v>269.22000000000003</v>
      </c>
      <c r="I142" s="73">
        <v>278.2</v>
      </c>
      <c r="J142" s="101">
        <v>242.3</v>
      </c>
      <c r="K142" s="62">
        <f t="shared" si="7"/>
        <v>1067.92</v>
      </c>
      <c r="L142" s="1">
        <f t="shared" si="8"/>
        <v>0</v>
      </c>
    </row>
    <row r="143" spans="1:12" x14ac:dyDescent="0.3">
      <c r="A143" s="30" t="s">
        <v>317</v>
      </c>
      <c r="B143" s="31" t="s">
        <v>318</v>
      </c>
      <c r="C143" s="32" t="s">
        <v>319</v>
      </c>
      <c r="D143" s="24">
        <v>0.5</v>
      </c>
      <c r="E143" s="24">
        <v>43.9</v>
      </c>
      <c r="F143" s="82">
        <f t="shared" si="6"/>
        <v>21.95</v>
      </c>
      <c r="G143" s="100">
        <v>5.72</v>
      </c>
      <c r="H143" s="73">
        <v>5.53</v>
      </c>
      <c r="I143" s="73">
        <v>5.72</v>
      </c>
      <c r="J143" s="101">
        <v>4.9800000000000004</v>
      </c>
      <c r="K143" s="62">
        <f t="shared" si="7"/>
        <v>21.95</v>
      </c>
      <c r="L143" s="1">
        <f t="shared" si="8"/>
        <v>0</v>
      </c>
    </row>
    <row r="144" spans="1:12" x14ac:dyDescent="0.3">
      <c r="A144" s="30" t="s">
        <v>320</v>
      </c>
      <c r="B144" s="31" t="s">
        <v>321</v>
      </c>
      <c r="C144" s="32" t="s">
        <v>56</v>
      </c>
      <c r="D144" s="24">
        <v>2.41</v>
      </c>
      <c r="E144" s="24">
        <v>6.7</v>
      </c>
      <c r="F144" s="82">
        <f t="shared" si="6"/>
        <v>16.149999999999999</v>
      </c>
      <c r="G144" s="100">
        <v>0</v>
      </c>
      <c r="H144" s="73">
        <v>16.149999999999999</v>
      </c>
      <c r="I144" s="73">
        <v>0</v>
      </c>
      <c r="J144" s="101">
        <v>0</v>
      </c>
      <c r="K144" s="62">
        <f t="shared" si="7"/>
        <v>16.149999999999999</v>
      </c>
      <c r="L144" s="1">
        <f t="shared" si="8"/>
        <v>0</v>
      </c>
    </row>
    <row r="145" spans="1:12" x14ac:dyDescent="0.3">
      <c r="A145" s="30" t="s">
        <v>322</v>
      </c>
      <c r="B145" s="31" t="s">
        <v>323</v>
      </c>
      <c r="C145" s="32" t="s">
        <v>45</v>
      </c>
      <c r="D145" s="24">
        <v>50</v>
      </c>
      <c r="E145" s="24">
        <v>24.04</v>
      </c>
      <c r="F145" s="82">
        <f t="shared" si="6"/>
        <v>1202</v>
      </c>
      <c r="G145" s="100">
        <v>313.13</v>
      </c>
      <c r="H145" s="73">
        <v>303.02999999999997</v>
      </c>
      <c r="I145" s="73">
        <v>313.13</v>
      </c>
      <c r="J145" s="101">
        <v>272.71000000000004</v>
      </c>
      <c r="K145" s="62">
        <f t="shared" si="7"/>
        <v>1202</v>
      </c>
      <c r="L145" s="1">
        <f t="shared" si="8"/>
        <v>0</v>
      </c>
    </row>
    <row r="146" spans="1:12" x14ac:dyDescent="0.3">
      <c r="A146" s="30" t="s">
        <v>324</v>
      </c>
      <c r="B146" s="31" t="s">
        <v>325</v>
      </c>
      <c r="C146" s="32" t="s">
        <v>326</v>
      </c>
      <c r="D146" s="24">
        <v>0.35</v>
      </c>
      <c r="E146" s="24">
        <v>235.05</v>
      </c>
      <c r="F146" s="82">
        <f t="shared" si="6"/>
        <v>82.27</v>
      </c>
      <c r="G146" s="100">
        <v>0</v>
      </c>
      <c r="H146" s="73">
        <v>82.27</v>
      </c>
      <c r="I146" s="73">
        <v>0</v>
      </c>
      <c r="J146" s="101">
        <v>0</v>
      </c>
      <c r="K146" s="62">
        <f t="shared" si="7"/>
        <v>82.27</v>
      </c>
      <c r="L146" s="1">
        <f t="shared" si="8"/>
        <v>0</v>
      </c>
    </row>
    <row r="147" spans="1:12" x14ac:dyDescent="0.3">
      <c r="A147" s="30" t="s">
        <v>327</v>
      </c>
      <c r="B147" s="31" t="s">
        <v>328</v>
      </c>
      <c r="C147" s="32" t="s">
        <v>32</v>
      </c>
      <c r="D147" s="24">
        <v>4</v>
      </c>
      <c r="E147" s="24">
        <v>365.75</v>
      </c>
      <c r="F147" s="82">
        <f t="shared" si="6"/>
        <v>1463</v>
      </c>
      <c r="G147" s="100">
        <v>350.12</v>
      </c>
      <c r="H147" s="73">
        <v>375.13</v>
      </c>
      <c r="I147" s="73">
        <v>387.63</v>
      </c>
      <c r="J147" s="101">
        <v>350.12</v>
      </c>
      <c r="K147" s="62">
        <f t="shared" si="7"/>
        <v>1463</v>
      </c>
      <c r="L147" s="1">
        <f t="shared" si="8"/>
        <v>0</v>
      </c>
    </row>
    <row r="148" spans="1:12" x14ac:dyDescent="0.3">
      <c r="A148" s="30" t="s">
        <v>329</v>
      </c>
      <c r="B148" s="31" t="s">
        <v>330</v>
      </c>
      <c r="C148" s="32" t="s">
        <v>45</v>
      </c>
      <c r="D148" s="24">
        <v>2</v>
      </c>
      <c r="E148" s="24">
        <v>254.08</v>
      </c>
      <c r="F148" s="82">
        <f t="shared" si="6"/>
        <v>508.16</v>
      </c>
      <c r="G148" s="100">
        <v>0</v>
      </c>
      <c r="H148" s="73">
        <v>508.16</v>
      </c>
      <c r="I148" s="73">
        <v>0</v>
      </c>
      <c r="J148" s="101">
        <v>0</v>
      </c>
      <c r="K148" s="62">
        <f t="shared" si="7"/>
        <v>508.16</v>
      </c>
      <c r="L148" s="1">
        <f t="shared" si="8"/>
        <v>0</v>
      </c>
    </row>
    <row r="149" spans="1:12" x14ac:dyDescent="0.3">
      <c r="A149" s="30" t="s">
        <v>331</v>
      </c>
      <c r="B149" s="31" t="s">
        <v>332</v>
      </c>
      <c r="C149" s="32" t="s">
        <v>45</v>
      </c>
      <c r="D149" s="24">
        <v>21</v>
      </c>
      <c r="E149" s="24">
        <v>304.91000000000003</v>
      </c>
      <c r="F149" s="82">
        <f t="shared" si="6"/>
        <v>6403.11</v>
      </c>
      <c r="G149" s="100">
        <v>0</v>
      </c>
      <c r="H149" s="73">
        <v>6403.11</v>
      </c>
      <c r="I149" s="73">
        <v>0</v>
      </c>
      <c r="J149" s="101">
        <v>0</v>
      </c>
      <c r="K149" s="62">
        <f t="shared" si="7"/>
        <v>6403.11</v>
      </c>
      <c r="L149" s="1">
        <f t="shared" si="8"/>
        <v>0</v>
      </c>
    </row>
    <row r="150" spans="1:12" x14ac:dyDescent="0.3">
      <c r="A150" s="30" t="s">
        <v>333</v>
      </c>
      <c r="B150" s="31" t="s">
        <v>334</v>
      </c>
      <c r="C150" s="32" t="s">
        <v>45</v>
      </c>
      <c r="D150" s="24">
        <v>15</v>
      </c>
      <c r="E150" s="24">
        <v>59.35</v>
      </c>
      <c r="F150" s="82">
        <f t="shared" si="6"/>
        <v>890.25</v>
      </c>
      <c r="G150" s="100">
        <v>231.91</v>
      </c>
      <c r="H150" s="73">
        <v>224.43</v>
      </c>
      <c r="I150" s="73">
        <v>231.91</v>
      </c>
      <c r="J150" s="101">
        <v>202</v>
      </c>
      <c r="K150" s="62">
        <f t="shared" si="7"/>
        <v>890.25</v>
      </c>
      <c r="L150" s="1">
        <f t="shared" si="8"/>
        <v>0</v>
      </c>
    </row>
    <row r="151" spans="1:12" x14ac:dyDescent="0.3">
      <c r="A151" s="30" t="s">
        <v>335</v>
      </c>
      <c r="B151" s="31" t="s">
        <v>336</v>
      </c>
      <c r="C151" s="32" t="s">
        <v>319</v>
      </c>
      <c r="D151" s="24">
        <v>8</v>
      </c>
      <c r="E151" s="24">
        <v>75.42</v>
      </c>
      <c r="F151" s="82">
        <f t="shared" si="6"/>
        <v>603.36</v>
      </c>
      <c r="G151" s="100">
        <v>157.18</v>
      </c>
      <c r="H151" s="73">
        <v>152.11000000000001</v>
      </c>
      <c r="I151" s="73">
        <v>157.18</v>
      </c>
      <c r="J151" s="101">
        <v>136.89000000000001</v>
      </c>
      <c r="K151" s="62">
        <f t="shared" si="7"/>
        <v>603.36</v>
      </c>
      <c r="L151" s="1">
        <f t="shared" si="8"/>
        <v>0</v>
      </c>
    </row>
    <row r="152" spans="1:12" x14ac:dyDescent="0.3">
      <c r="A152" s="30" t="s">
        <v>337</v>
      </c>
      <c r="B152" s="31" t="s">
        <v>338</v>
      </c>
      <c r="C152" s="32" t="s">
        <v>319</v>
      </c>
      <c r="D152" s="24">
        <v>1.1299999999999999</v>
      </c>
      <c r="E152" s="24">
        <v>390.84</v>
      </c>
      <c r="F152" s="82">
        <f t="shared" si="6"/>
        <v>441.65</v>
      </c>
      <c r="G152" s="100">
        <v>151.87</v>
      </c>
      <c r="H152" s="73">
        <v>98.79</v>
      </c>
      <c r="I152" s="73">
        <v>102.08</v>
      </c>
      <c r="J152" s="101">
        <v>88.91</v>
      </c>
      <c r="K152" s="62">
        <f t="shared" si="7"/>
        <v>441.65</v>
      </c>
      <c r="L152" s="1">
        <f t="shared" si="8"/>
        <v>0</v>
      </c>
    </row>
    <row r="153" spans="1:12" x14ac:dyDescent="0.3">
      <c r="A153" s="30" t="s">
        <v>339</v>
      </c>
      <c r="B153" s="31" t="s">
        <v>340</v>
      </c>
      <c r="C153" s="32" t="s">
        <v>268</v>
      </c>
      <c r="D153" s="24">
        <v>5.25</v>
      </c>
      <c r="E153" s="24">
        <v>29.7</v>
      </c>
      <c r="F153" s="82">
        <f t="shared" si="6"/>
        <v>155.93</v>
      </c>
      <c r="G153" s="100">
        <v>0</v>
      </c>
      <c r="H153" s="73">
        <v>0</v>
      </c>
      <c r="I153" s="73">
        <v>0</v>
      </c>
      <c r="J153" s="101">
        <v>155.93</v>
      </c>
      <c r="K153" s="62">
        <f t="shared" si="7"/>
        <v>155.93</v>
      </c>
      <c r="L153" s="1">
        <f t="shared" si="8"/>
        <v>0</v>
      </c>
    </row>
    <row r="154" spans="1:12" x14ac:dyDescent="0.3">
      <c r="A154" s="30" t="s">
        <v>341</v>
      </c>
      <c r="B154" s="31" t="s">
        <v>342</v>
      </c>
      <c r="C154" s="32" t="s">
        <v>45</v>
      </c>
      <c r="D154" s="24">
        <v>41.97</v>
      </c>
      <c r="E154" s="24">
        <v>22</v>
      </c>
      <c r="F154" s="82">
        <f t="shared" si="6"/>
        <v>923.34</v>
      </c>
      <c r="G154" s="100">
        <v>0</v>
      </c>
      <c r="H154" s="73">
        <v>0</v>
      </c>
      <c r="I154" s="73">
        <v>823.89</v>
      </c>
      <c r="J154" s="101">
        <v>99.45</v>
      </c>
      <c r="K154" s="62">
        <f t="shared" si="7"/>
        <v>923.34</v>
      </c>
      <c r="L154" s="1">
        <f t="shared" si="8"/>
        <v>0</v>
      </c>
    </row>
    <row r="155" spans="1:12" x14ac:dyDescent="0.3">
      <c r="A155" s="30" t="s">
        <v>343</v>
      </c>
      <c r="B155" s="31" t="s">
        <v>344</v>
      </c>
      <c r="C155" s="32" t="s">
        <v>45</v>
      </c>
      <c r="D155" s="24">
        <v>77</v>
      </c>
      <c r="E155" s="24">
        <v>29.68</v>
      </c>
      <c r="F155" s="82">
        <f t="shared" si="6"/>
        <v>2285.36</v>
      </c>
      <c r="G155" s="100">
        <v>595.35</v>
      </c>
      <c r="H155" s="73">
        <v>576.14</v>
      </c>
      <c r="I155" s="73">
        <v>595.35</v>
      </c>
      <c r="J155" s="101">
        <v>518.52</v>
      </c>
      <c r="K155" s="62">
        <f t="shared" si="7"/>
        <v>2285.36</v>
      </c>
      <c r="L155" s="1">
        <f t="shared" si="8"/>
        <v>0</v>
      </c>
    </row>
    <row r="156" spans="1:12" x14ac:dyDescent="0.3">
      <c r="A156" s="30" t="s">
        <v>345</v>
      </c>
      <c r="B156" s="31" t="s">
        <v>346</v>
      </c>
      <c r="C156" s="32" t="s">
        <v>45</v>
      </c>
      <c r="D156" s="24">
        <v>28</v>
      </c>
      <c r="E156" s="24">
        <v>23.7</v>
      </c>
      <c r="F156" s="82">
        <f t="shared" si="6"/>
        <v>663.6</v>
      </c>
      <c r="G156" s="100">
        <v>172.87</v>
      </c>
      <c r="H156" s="73">
        <v>167.29</v>
      </c>
      <c r="I156" s="73">
        <v>172.87</v>
      </c>
      <c r="J156" s="101">
        <v>150.57</v>
      </c>
      <c r="K156" s="62">
        <f t="shared" si="7"/>
        <v>663.59999999999991</v>
      </c>
      <c r="L156" s="1">
        <f t="shared" si="8"/>
        <v>0</v>
      </c>
    </row>
    <row r="157" spans="1:12" x14ac:dyDescent="0.3">
      <c r="A157" s="30" t="s">
        <v>347</v>
      </c>
      <c r="B157" s="31" t="s">
        <v>348</v>
      </c>
      <c r="C157" s="32" t="s">
        <v>32</v>
      </c>
      <c r="D157" s="24">
        <v>1</v>
      </c>
      <c r="E157" s="24">
        <v>380</v>
      </c>
      <c r="F157" s="82">
        <f t="shared" si="6"/>
        <v>380</v>
      </c>
      <c r="G157" s="100">
        <v>380</v>
      </c>
      <c r="H157" s="73">
        <v>0</v>
      </c>
      <c r="I157" s="73">
        <v>0</v>
      </c>
      <c r="J157" s="101">
        <v>0</v>
      </c>
      <c r="K157" s="62">
        <f t="shared" si="7"/>
        <v>380</v>
      </c>
      <c r="L157" s="1">
        <f t="shared" si="8"/>
        <v>0</v>
      </c>
    </row>
    <row r="158" spans="1:12" x14ac:dyDescent="0.3">
      <c r="A158" s="30" t="s">
        <v>349</v>
      </c>
      <c r="B158" s="31" t="s">
        <v>350</v>
      </c>
      <c r="C158" s="32" t="s">
        <v>32</v>
      </c>
      <c r="D158" s="24">
        <v>1</v>
      </c>
      <c r="E158" s="24">
        <v>2493.34</v>
      </c>
      <c r="F158" s="82">
        <f t="shared" si="6"/>
        <v>2493.34</v>
      </c>
      <c r="G158" s="100">
        <v>649.53</v>
      </c>
      <c r="H158" s="73">
        <v>628.57000000000005</v>
      </c>
      <c r="I158" s="73">
        <v>649.53</v>
      </c>
      <c r="J158" s="101">
        <v>565.71</v>
      </c>
      <c r="K158" s="62">
        <f t="shared" si="7"/>
        <v>2493.34</v>
      </c>
      <c r="L158" s="1">
        <f t="shared" si="8"/>
        <v>0</v>
      </c>
    </row>
    <row r="159" spans="1:12" x14ac:dyDescent="0.3">
      <c r="A159" s="30" t="s">
        <v>351</v>
      </c>
      <c r="B159" s="31" t="s">
        <v>352</v>
      </c>
      <c r="C159" s="32" t="s">
        <v>45</v>
      </c>
      <c r="D159" s="24">
        <v>4</v>
      </c>
      <c r="E159" s="24">
        <v>570</v>
      </c>
      <c r="F159" s="82">
        <f t="shared" si="6"/>
        <v>2280</v>
      </c>
      <c r="G159" s="100">
        <v>545.64</v>
      </c>
      <c r="H159" s="73">
        <v>584.62</v>
      </c>
      <c r="I159" s="73">
        <v>604.1</v>
      </c>
      <c r="J159" s="101">
        <v>545.64</v>
      </c>
      <c r="K159" s="62">
        <f t="shared" si="7"/>
        <v>2280</v>
      </c>
      <c r="L159" s="1">
        <f t="shared" si="8"/>
        <v>0</v>
      </c>
    </row>
    <row r="160" spans="1:12" x14ac:dyDescent="0.3">
      <c r="A160" s="30" t="s">
        <v>353</v>
      </c>
      <c r="B160" s="31" t="s">
        <v>354</v>
      </c>
      <c r="C160" s="32" t="s">
        <v>32</v>
      </c>
      <c r="D160" s="24">
        <v>1</v>
      </c>
      <c r="E160" s="24">
        <v>31.49</v>
      </c>
      <c r="F160" s="82">
        <f t="shared" si="6"/>
        <v>31.49</v>
      </c>
      <c r="G160" s="100">
        <v>31.49</v>
      </c>
      <c r="H160" s="73">
        <v>0</v>
      </c>
      <c r="I160" s="73">
        <v>0</v>
      </c>
      <c r="J160" s="101">
        <v>0</v>
      </c>
      <c r="K160" s="62">
        <f t="shared" si="7"/>
        <v>31.49</v>
      </c>
      <c r="L160" s="1">
        <f t="shared" si="8"/>
        <v>0</v>
      </c>
    </row>
    <row r="161" spans="1:12" x14ac:dyDescent="0.3">
      <c r="A161" s="30" t="s">
        <v>355</v>
      </c>
      <c r="B161" s="31" t="s">
        <v>356</v>
      </c>
      <c r="C161" s="32" t="s">
        <v>32</v>
      </c>
      <c r="D161" s="24">
        <v>1</v>
      </c>
      <c r="E161" s="24">
        <v>31.49</v>
      </c>
      <c r="F161" s="82">
        <f t="shared" si="6"/>
        <v>31.49</v>
      </c>
      <c r="G161" s="100">
        <v>31.49</v>
      </c>
      <c r="H161" s="73">
        <v>0</v>
      </c>
      <c r="I161" s="73">
        <v>0</v>
      </c>
      <c r="J161" s="101">
        <v>0</v>
      </c>
      <c r="K161" s="62">
        <f t="shared" si="7"/>
        <v>31.49</v>
      </c>
      <c r="L161" s="1">
        <f t="shared" si="8"/>
        <v>0</v>
      </c>
    </row>
    <row r="162" spans="1:12" x14ac:dyDescent="0.3">
      <c r="A162" s="30" t="s">
        <v>357</v>
      </c>
      <c r="B162" s="31" t="s">
        <v>358</v>
      </c>
      <c r="C162" s="32" t="s">
        <v>359</v>
      </c>
      <c r="D162" s="24">
        <v>1</v>
      </c>
      <c r="E162" s="24">
        <v>120.76</v>
      </c>
      <c r="F162" s="82">
        <f t="shared" si="6"/>
        <v>120.76</v>
      </c>
      <c r="G162" s="100">
        <v>120.76</v>
      </c>
      <c r="H162" s="73">
        <v>0</v>
      </c>
      <c r="I162" s="73">
        <v>0</v>
      </c>
      <c r="J162" s="101">
        <v>0</v>
      </c>
      <c r="K162" s="62">
        <f t="shared" si="7"/>
        <v>120.76</v>
      </c>
      <c r="L162" s="1">
        <f t="shared" si="8"/>
        <v>0</v>
      </c>
    </row>
    <row r="163" spans="1:12" x14ac:dyDescent="0.3">
      <c r="A163" s="30" t="s">
        <v>360</v>
      </c>
      <c r="B163" s="31" t="s">
        <v>361</v>
      </c>
      <c r="C163" s="32" t="s">
        <v>359</v>
      </c>
      <c r="D163" s="24">
        <v>1</v>
      </c>
      <c r="E163" s="24">
        <v>3800</v>
      </c>
      <c r="F163" s="82">
        <f t="shared" si="6"/>
        <v>3800</v>
      </c>
      <c r="G163" s="100">
        <v>989.92</v>
      </c>
      <c r="H163" s="73">
        <v>957.98</v>
      </c>
      <c r="I163" s="73">
        <v>989.92</v>
      </c>
      <c r="J163" s="101">
        <v>862.18</v>
      </c>
      <c r="K163" s="62">
        <f t="shared" si="7"/>
        <v>3800</v>
      </c>
      <c r="L163" s="1">
        <f t="shared" si="8"/>
        <v>0</v>
      </c>
    </row>
    <row r="164" spans="1:12" x14ac:dyDescent="0.3">
      <c r="A164" s="30" t="s">
        <v>362</v>
      </c>
      <c r="B164" s="31" t="s">
        <v>363</v>
      </c>
      <c r="C164" s="32" t="s">
        <v>32</v>
      </c>
      <c r="D164" s="24">
        <v>1</v>
      </c>
      <c r="E164" s="24">
        <v>836</v>
      </c>
      <c r="F164" s="82">
        <f t="shared" si="6"/>
        <v>836</v>
      </c>
      <c r="G164" s="100">
        <v>836</v>
      </c>
      <c r="H164" s="73">
        <v>0</v>
      </c>
      <c r="I164" s="73">
        <v>0</v>
      </c>
      <c r="J164" s="101">
        <v>0</v>
      </c>
      <c r="K164" s="62">
        <f t="shared" si="7"/>
        <v>836</v>
      </c>
      <c r="L164" s="1">
        <f t="shared" si="8"/>
        <v>0</v>
      </c>
    </row>
    <row r="165" spans="1:12" x14ac:dyDescent="0.3">
      <c r="A165" s="30" t="s">
        <v>364</v>
      </c>
      <c r="B165" s="31" t="s">
        <v>365</v>
      </c>
      <c r="C165" s="32" t="s">
        <v>366</v>
      </c>
      <c r="D165" s="24">
        <v>1.05</v>
      </c>
      <c r="E165" s="24">
        <v>45.65</v>
      </c>
      <c r="F165" s="82">
        <f t="shared" si="6"/>
        <v>47.93</v>
      </c>
      <c r="G165" s="100">
        <v>0</v>
      </c>
      <c r="H165" s="73">
        <v>0</v>
      </c>
      <c r="I165" s="73">
        <v>0</v>
      </c>
      <c r="J165" s="101">
        <v>47.93</v>
      </c>
      <c r="K165" s="62">
        <f t="shared" si="7"/>
        <v>47.93</v>
      </c>
      <c r="L165" s="1">
        <f t="shared" si="8"/>
        <v>0</v>
      </c>
    </row>
    <row r="166" spans="1:12" x14ac:dyDescent="0.3">
      <c r="A166" s="30" t="s">
        <v>367</v>
      </c>
      <c r="B166" s="31" t="s">
        <v>368</v>
      </c>
      <c r="C166" s="32" t="s">
        <v>123</v>
      </c>
      <c r="D166" s="24">
        <v>200</v>
      </c>
      <c r="E166" s="24">
        <v>4.5</v>
      </c>
      <c r="F166" s="82">
        <f t="shared" si="6"/>
        <v>900</v>
      </c>
      <c r="G166" s="100">
        <v>234.45</v>
      </c>
      <c r="H166" s="73">
        <v>226.89</v>
      </c>
      <c r="I166" s="73">
        <v>234.45</v>
      </c>
      <c r="J166" s="101">
        <v>204.20999999999998</v>
      </c>
      <c r="K166" s="62">
        <f t="shared" si="7"/>
        <v>900</v>
      </c>
      <c r="L166" s="1">
        <f t="shared" si="8"/>
        <v>0</v>
      </c>
    </row>
    <row r="167" spans="1:12" x14ac:dyDescent="0.3">
      <c r="A167" s="30" t="s">
        <v>369</v>
      </c>
      <c r="B167" s="31" t="s">
        <v>370</v>
      </c>
      <c r="C167" s="32" t="s">
        <v>32</v>
      </c>
      <c r="D167" s="24">
        <v>1</v>
      </c>
      <c r="E167" s="24">
        <v>7117.91</v>
      </c>
      <c r="F167" s="82">
        <f t="shared" si="6"/>
        <v>7117.91</v>
      </c>
      <c r="G167" s="100">
        <v>0</v>
      </c>
      <c r="H167" s="73">
        <v>2372.64</v>
      </c>
      <c r="I167" s="73">
        <v>4745.2700000000004</v>
      </c>
      <c r="J167" s="101">
        <v>0</v>
      </c>
      <c r="K167" s="62">
        <f t="shared" si="7"/>
        <v>7117.91</v>
      </c>
      <c r="L167" s="1">
        <f t="shared" si="8"/>
        <v>0</v>
      </c>
    </row>
    <row r="168" spans="1:12" x14ac:dyDescent="0.3">
      <c r="A168" s="30" t="s">
        <v>371</v>
      </c>
      <c r="B168" s="31" t="s">
        <v>372</v>
      </c>
      <c r="C168" s="32" t="s">
        <v>51</v>
      </c>
      <c r="D168" s="24">
        <v>7.58</v>
      </c>
      <c r="E168" s="24">
        <v>13.36</v>
      </c>
      <c r="F168" s="82">
        <f t="shared" si="6"/>
        <v>101.27</v>
      </c>
      <c r="G168" s="100">
        <v>0</v>
      </c>
      <c r="H168" s="73">
        <v>0</v>
      </c>
      <c r="I168" s="73">
        <v>81.28</v>
      </c>
      <c r="J168" s="101">
        <v>19.989999999999998</v>
      </c>
      <c r="K168" s="62">
        <f t="shared" si="7"/>
        <v>101.27</v>
      </c>
      <c r="L168" s="1">
        <f t="shared" si="8"/>
        <v>0</v>
      </c>
    </row>
    <row r="169" spans="1:12" x14ac:dyDescent="0.3">
      <c r="A169" s="30" t="s">
        <v>373</v>
      </c>
      <c r="B169" s="31" t="s">
        <v>374</v>
      </c>
      <c r="C169" s="32" t="s">
        <v>51</v>
      </c>
      <c r="D169" s="24">
        <v>2.75</v>
      </c>
      <c r="E169" s="24">
        <v>31.5</v>
      </c>
      <c r="F169" s="82">
        <f t="shared" si="6"/>
        <v>86.63</v>
      </c>
      <c r="G169" s="100">
        <v>0</v>
      </c>
      <c r="H169" s="73">
        <v>0</v>
      </c>
      <c r="I169" s="73">
        <v>0</v>
      </c>
      <c r="J169" s="101">
        <v>86.63</v>
      </c>
      <c r="K169" s="62">
        <f t="shared" si="7"/>
        <v>86.63</v>
      </c>
      <c r="L169" s="1">
        <f t="shared" si="8"/>
        <v>0</v>
      </c>
    </row>
    <row r="170" spans="1:12" x14ac:dyDescent="0.3">
      <c r="A170" s="30" t="s">
        <v>375</v>
      </c>
      <c r="B170" s="31" t="s">
        <v>376</v>
      </c>
      <c r="C170" s="32" t="s">
        <v>32</v>
      </c>
      <c r="D170" s="24">
        <v>1</v>
      </c>
      <c r="E170" s="24">
        <v>446.02</v>
      </c>
      <c r="F170" s="82">
        <f t="shared" si="6"/>
        <v>446.02</v>
      </c>
      <c r="G170" s="100">
        <v>446.02</v>
      </c>
      <c r="H170" s="73">
        <v>0</v>
      </c>
      <c r="I170" s="73">
        <v>0</v>
      </c>
      <c r="J170" s="101">
        <v>0</v>
      </c>
      <c r="K170" s="62">
        <f t="shared" si="7"/>
        <v>446.02</v>
      </c>
      <c r="L170" s="1">
        <f t="shared" si="8"/>
        <v>0</v>
      </c>
    </row>
    <row r="171" spans="1:12" x14ac:dyDescent="0.3">
      <c r="A171" s="30" t="s">
        <v>377</v>
      </c>
      <c r="B171" s="31" t="s">
        <v>378</v>
      </c>
      <c r="C171" s="32" t="s">
        <v>45</v>
      </c>
      <c r="D171" s="24">
        <v>298</v>
      </c>
      <c r="E171" s="24">
        <v>3.5</v>
      </c>
      <c r="F171" s="82">
        <f t="shared" si="6"/>
        <v>1043</v>
      </c>
      <c r="G171" s="100">
        <v>271.70999999999998</v>
      </c>
      <c r="H171" s="73">
        <v>262.94</v>
      </c>
      <c r="I171" s="73">
        <v>271.70999999999998</v>
      </c>
      <c r="J171" s="101">
        <v>236.64000000000001</v>
      </c>
      <c r="K171" s="62">
        <f t="shared" si="7"/>
        <v>1043</v>
      </c>
      <c r="L171" s="1">
        <f t="shared" si="8"/>
        <v>0</v>
      </c>
    </row>
    <row r="172" spans="1:12" x14ac:dyDescent="0.3">
      <c r="A172" s="30" t="s">
        <v>379</v>
      </c>
      <c r="B172" s="31" t="s">
        <v>380</v>
      </c>
      <c r="C172" s="32" t="s">
        <v>102</v>
      </c>
      <c r="D172" s="24">
        <v>0.4</v>
      </c>
      <c r="E172" s="24">
        <v>121.22</v>
      </c>
      <c r="F172" s="82">
        <f t="shared" si="6"/>
        <v>48.49</v>
      </c>
      <c r="G172" s="100">
        <v>0</v>
      </c>
      <c r="H172" s="73">
        <v>0</v>
      </c>
      <c r="I172" s="73">
        <v>0</v>
      </c>
      <c r="J172" s="101">
        <v>48.49</v>
      </c>
      <c r="K172" s="62">
        <f t="shared" si="7"/>
        <v>48.49</v>
      </c>
      <c r="L172" s="1">
        <f t="shared" si="8"/>
        <v>0</v>
      </c>
    </row>
    <row r="173" spans="1:12" x14ac:dyDescent="0.3">
      <c r="A173" s="30" t="s">
        <v>381</v>
      </c>
      <c r="B173" s="31" t="s">
        <v>382</v>
      </c>
      <c r="C173" s="32" t="s">
        <v>128</v>
      </c>
      <c r="D173" s="24">
        <v>4</v>
      </c>
      <c r="E173" s="24">
        <v>7.48</v>
      </c>
      <c r="F173" s="82">
        <f t="shared" si="6"/>
        <v>29.92</v>
      </c>
      <c r="G173" s="100">
        <v>0</v>
      </c>
      <c r="H173" s="73">
        <v>0</v>
      </c>
      <c r="I173" s="73">
        <v>0</v>
      </c>
      <c r="J173" s="101">
        <v>29.92</v>
      </c>
      <c r="K173" s="62">
        <f t="shared" si="7"/>
        <v>29.92</v>
      </c>
      <c r="L173" s="1">
        <f t="shared" si="8"/>
        <v>0</v>
      </c>
    </row>
    <row r="174" spans="1:12" x14ac:dyDescent="0.3">
      <c r="A174" s="30" t="s">
        <v>383</v>
      </c>
      <c r="B174" s="31" t="s">
        <v>384</v>
      </c>
      <c r="C174" s="32" t="s">
        <v>102</v>
      </c>
      <c r="D174" s="24">
        <v>17.190000000000001</v>
      </c>
      <c r="E174" s="24">
        <v>142.69</v>
      </c>
      <c r="F174" s="82">
        <f t="shared" si="6"/>
        <v>2452.84</v>
      </c>
      <c r="G174" s="100">
        <v>0</v>
      </c>
      <c r="H174" s="73">
        <v>0</v>
      </c>
      <c r="I174" s="73">
        <v>2452.84</v>
      </c>
      <c r="J174" s="101">
        <v>0</v>
      </c>
      <c r="K174" s="62">
        <f t="shared" si="7"/>
        <v>2452.84</v>
      </c>
      <c r="L174" s="1">
        <f t="shared" si="8"/>
        <v>0</v>
      </c>
    </row>
    <row r="175" spans="1:12" x14ac:dyDescent="0.3">
      <c r="A175" s="30" t="s">
        <v>385</v>
      </c>
      <c r="B175" s="31" t="s">
        <v>386</v>
      </c>
      <c r="C175" s="32" t="s">
        <v>366</v>
      </c>
      <c r="D175" s="24">
        <v>0.15</v>
      </c>
      <c r="E175" s="24">
        <v>109.24</v>
      </c>
      <c r="F175" s="82">
        <f t="shared" si="6"/>
        <v>16.39</v>
      </c>
      <c r="G175" s="100">
        <v>0</v>
      </c>
      <c r="H175" s="73">
        <v>16.39</v>
      </c>
      <c r="I175" s="73">
        <v>0</v>
      </c>
      <c r="J175" s="101">
        <v>0</v>
      </c>
      <c r="K175" s="62">
        <f t="shared" si="7"/>
        <v>16.39</v>
      </c>
      <c r="L175" s="1">
        <f t="shared" si="8"/>
        <v>0</v>
      </c>
    </row>
    <row r="176" spans="1:12" x14ac:dyDescent="0.3">
      <c r="A176" s="30" t="s">
        <v>387</v>
      </c>
      <c r="B176" s="31" t="s">
        <v>388</v>
      </c>
      <c r="C176" s="32" t="s">
        <v>51</v>
      </c>
      <c r="D176" s="24">
        <v>0.04</v>
      </c>
      <c r="E176" s="24">
        <v>238.35</v>
      </c>
      <c r="F176" s="82">
        <f t="shared" si="6"/>
        <v>9.5299999999999994</v>
      </c>
      <c r="G176" s="100">
        <v>0</v>
      </c>
      <c r="H176" s="73">
        <v>0</v>
      </c>
      <c r="I176" s="73">
        <v>9.5299999999999994</v>
      </c>
      <c r="J176" s="101">
        <v>0</v>
      </c>
      <c r="K176" s="62">
        <f t="shared" si="7"/>
        <v>9.5299999999999994</v>
      </c>
      <c r="L176" s="1">
        <f t="shared" si="8"/>
        <v>0</v>
      </c>
    </row>
    <row r="177" spans="1:12" x14ac:dyDescent="0.3">
      <c r="A177" s="30" t="s">
        <v>389</v>
      </c>
      <c r="B177" s="31" t="s">
        <v>390</v>
      </c>
      <c r="C177" s="32" t="s">
        <v>45</v>
      </c>
      <c r="D177" s="24">
        <v>2</v>
      </c>
      <c r="E177" s="24">
        <v>2512.86</v>
      </c>
      <c r="F177" s="82">
        <f t="shared" si="6"/>
        <v>5025.72</v>
      </c>
      <c r="G177" s="100">
        <v>0</v>
      </c>
      <c r="H177" s="73">
        <v>0</v>
      </c>
      <c r="I177" s="73">
        <v>0</v>
      </c>
      <c r="J177" s="101">
        <v>5025.72</v>
      </c>
      <c r="K177" s="62">
        <f t="shared" si="7"/>
        <v>5025.72</v>
      </c>
      <c r="L177" s="1">
        <f t="shared" si="8"/>
        <v>0</v>
      </c>
    </row>
    <row r="178" spans="1:12" x14ac:dyDescent="0.3">
      <c r="A178" s="30" t="s">
        <v>391</v>
      </c>
      <c r="B178" s="31" t="s">
        <v>392</v>
      </c>
      <c r="C178" s="32" t="s">
        <v>326</v>
      </c>
      <c r="D178" s="24">
        <v>3</v>
      </c>
      <c r="E178" s="24">
        <v>12.42</v>
      </c>
      <c r="F178" s="82">
        <f t="shared" si="6"/>
        <v>37.26</v>
      </c>
      <c r="G178" s="100">
        <v>0</v>
      </c>
      <c r="H178" s="73">
        <v>0</v>
      </c>
      <c r="I178" s="73">
        <v>37.26</v>
      </c>
      <c r="J178" s="101">
        <v>0</v>
      </c>
      <c r="K178" s="62">
        <f t="shared" si="7"/>
        <v>37.26</v>
      </c>
      <c r="L178" s="1">
        <f t="shared" si="8"/>
        <v>0</v>
      </c>
    </row>
    <row r="179" spans="1:12" x14ac:dyDescent="0.3">
      <c r="A179" s="30" t="s">
        <v>393</v>
      </c>
      <c r="B179" s="31" t="s">
        <v>394</v>
      </c>
      <c r="C179" s="32" t="s">
        <v>45</v>
      </c>
      <c r="D179" s="24">
        <v>22</v>
      </c>
      <c r="E179" s="24">
        <v>27.5</v>
      </c>
      <c r="F179" s="82">
        <f t="shared" si="6"/>
        <v>605</v>
      </c>
      <c r="G179" s="100">
        <v>0</v>
      </c>
      <c r="H179" s="73">
        <v>0</v>
      </c>
      <c r="I179" s="73">
        <v>605</v>
      </c>
      <c r="J179" s="101">
        <v>0</v>
      </c>
      <c r="K179" s="62">
        <f t="shared" si="7"/>
        <v>605</v>
      </c>
      <c r="L179" s="1">
        <f t="shared" si="8"/>
        <v>0</v>
      </c>
    </row>
    <row r="180" spans="1:12" x14ac:dyDescent="0.3">
      <c r="A180" s="30" t="s">
        <v>395</v>
      </c>
      <c r="B180" s="31" t="s">
        <v>396</v>
      </c>
      <c r="C180" s="32" t="s">
        <v>366</v>
      </c>
      <c r="D180" s="24">
        <v>0.96</v>
      </c>
      <c r="E180" s="24">
        <v>46.52</v>
      </c>
      <c r="F180" s="82">
        <f t="shared" si="6"/>
        <v>44.66</v>
      </c>
      <c r="G180" s="100">
        <v>0</v>
      </c>
      <c r="H180" s="73">
        <v>0</v>
      </c>
      <c r="I180" s="73">
        <v>44.66</v>
      </c>
      <c r="J180" s="101">
        <v>0</v>
      </c>
      <c r="K180" s="62">
        <f t="shared" si="7"/>
        <v>44.66</v>
      </c>
      <c r="L180" s="1">
        <f t="shared" si="8"/>
        <v>0</v>
      </c>
    </row>
    <row r="181" spans="1:12" x14ac:dyDescent="0.3">
      <c r="A181" s="30" t="s">
        <v>397</v>
      </c>
      <c r="B181" s="31" t="s">
        <v>398</v>
      </c>
      <c r="C181" s="32" t="s">
        <v>42</v>
      </c>
      <c r="D181" s="24">
        <v>67.86</v>
      </c>
      <c r="E181" s="24">
        <v>5</v>
      </c>
      <c r="F181" s="82">
        <f t="shared" si="6"/>
        <v>339.3</v>
      </c>
      <c r="G181" s="100">
        <v>0</v>
      </c>
      <c r="H181" s="73">
        <v>2.85</v>
      </c>
      <c r="I181" s="73">
        <v>0</v>
      </c>
      <c r="J181" s="101">
        <v>336.45</v>
      </c>
      <c r="K181" s="62">
        <f t="shared" si="7"/>
        <v>339.3</v>
      </c>
      <c r="L181" s="1">
        <f t="shared" si="8"/>
        <v>0</v>
      </c>
    </row>
    <row r="182" spans="1:12" x14ac:dyDescent="0.3">
      <c r="A182" s="30" t="s">
        <v>399</v>
      </c>
      <c r="B182" s="31" t="s">
        <v>400</v>
      </c>
      <c r="C182" s="32" t="s">
        <v>291</v>
      </c>
      <c r="D182" s="24">
        <v>15.72</v>
      </c>
      <c r="E182" s="24">
        <v>1.3</v>
      </c>
      <c r="F182" s="82">
        <f t="shared" si="6"/>
        <v>20.440000000000001</v>
      </c>
      <c r="G182" s="100">
        <v>20.440000000000001</v>
      </c>
      <c r="H182" s="73">
        <v>0</v>
      </c>
      <c r="I182" s="73">
        <v>0</v>
      </c>
      <c r="J182" s="101">
        <v>0</v>
      </c>
      <c r="K182" s="62">
        <f t="shared" si="7"/>
        <v>20.440000000000001</v>
      </c>
      <c r="L182" s="1">
        <f t="shared" si="8"/>
        <v>0</v>
      </c>
    </row>
    <row r="183" spans="1:12" x14ac:dyDescent="0.3">
      <c r="A183" s="30" t="s">
        <v>401</v>
      </c>
      <c r="B183" s="31" t="s">
        <v>402</v>
      </c>
      <c r="C183" s="32" t="s">
        <v>291</v>
      </c>
      <c r="D183" s="24">
        <v>15.65</v>
      </c>
      <c r="E183" s="24">
        <v>1.3</v>
      </c>
      <c r="F183" s="82">
        <f t="shared" si="6"/>
        <v>20.350000000000001</v>
      </c>
      <c r="G183" s="100">
        <v>20.350000000000001</v>
      </c>
      <c r="H183" s="73">
        <v>0</v>
      </c>
      <c r="I183" s="73">
        <v>0</v>
      </c>
      <c r="J183" s="101">
        <v>0</v>
      </c>
      <c r="K183" s="62">
        <f t="shared" si="7"/>
        <v>20.350000000000001</v>
      </c>
      <c r="L183" s="1">
        <f t="shared" si="8"/>
        <v>0</v>
      </c>
    </row>
    <row r="184" spans="1:12" x14ac:dyDescent="0.3">
      <c r="A184" s="30" t="s">
        <v>403</v>
      </c>
      <c r="B184" s="31" t="s">
        <v>404</v>
      </c>
      <c r="C184" s="32" t="s">
        <v>32</v>
      </c>
      <c r="D184" s="24">
        <v>1</v>
      </c>
      <c r="E184" s="24">
        <v>103466.1</v>
      </c>
      <c r="F184" s="82">
        <f t="shared" si="6"/>
        <v>103466.1</v>
      </c>
      <c r="G184" s="100">
        <v>24082.63</v>
      </c>
      <c r="H184" s="73">
        <v>26758.47</v>
      </c>
      <c r="I184" s="73">
        <v>27650.42</v>
      </c>
      <c r="J184" s="101">
        <v>24974.58</v>
      </c>
      <c r="K184" s="62">
        <f t="shared" si="7"/>
        <v>103466.1</v>
      </c>
      <c r="L184" s="1">
        <f t="shared" si="8"/>
        <v>0</v>
      </c>
    </row>
    <row r="185" spans="1:12" x14ac:dyDescent="0.3">
      <c r="A185" s="30" t="s">
        <v>405</v>
      </c>
      <c r="B185" s="31" t="s">
        <v>406</v>
      </c>
      <c r="C185" s="32" t="s">
        <v>32</v>
      </c>
      <c r="D185" s="24">
        <v>1</v>
      </c>
      <c r="E185" s="24">
        <v>12953.21</v>
      </c>
      <c r="F185" s="82">
        <f t="shared" si="6"/>
        <v>12953.21</v>
      </c>
      <c r="G185" s="100">
        <v>3014.97</v>
      </c>
      <c r="H185" s="73">
        <v>3349.97</v>
      </c>
      <c r="I185" s="73">
        <v>3461.63</v>
      </c>
      <c r="J185" s="101">
        <v>3126.64</v>
      </c>
      <c r="K185" s="62">
        <f t="shared" si="7"/>
        <v>12953.21</v>
      </c>
      <c r="L185" s="1">
        <f t="shared" si="8"/>
        <v>0</v>
      </c>
    </row>
    <row r="186" spans="1:12" x14ac:dyDescent="0.3">
      <c r="A186" s="30" t="s">
        <v>407</v>
      </c>
      <c r="B186" s="31" t="s">
        <v>408</v>
      </c>
      <c r="C186" s="32" t="s">
        <v>45</v>
      </c>
      <c r="D186" s="24">
        <v>22</v>
      </c>
      <c r="E186" s="24">
        <v>19.8</v>
      </c>
      <c r="F186" s="82">
        <f t="shared" si="6"/>
        <v>435.6</v>
      </c>
      <c r="G186" s="100">
        <v>0</v>
      </c>
      <c r="H186" s="73">
        <v>0</v>
      </c>
      <c r="I186" s="73">
        <v>435.6</v>
      </c>
      <c r="J186" s="101">
        <v>0</v>
      </c>
      <c r="K186" s="62">
        <f t="shared" si="7"/>
        <v>435.6</v>
      </c>
      <c r="L186" s="1">
        <f t="shared" si="8"/>
        <v>0</v>
      </c>
    </row>
    <row r="187" spans="1:12" x14ac:dyDescent="0.3">
      <c r="A187" s="30" t="s">
        <v>409</v>
      </c>
      <c r="B187" s="31" t="s">
        <v>410</v>
      </c>
      <c r="C187" s="32" t="s">
        <v>45</v>
      </c>
      <c r="D187" s="24">
        <v>1</v>
      </c>
      <c r="E187" s="24">
        <v>1850</v>
      </c>
      <c r="F187" s="82">
        <f t="shared" si="6"/>
        <v>1850</v>
      </c>
      <c r="G187" s="100">
        <v>0</v>
      </c>
      <c r="H187" s="73">
        <v>0</v>
      </c>
      <c r="I187" s="73">
        <v>0</v>
      </c>
      <c r="J187" s="101">
        <v>1850</v>
      </c>
      <c r="K187" s="62">
        <f t="shared" si="7"/>
        <v>1850</v>
      </c>
      <c r="L187" s="1">
        <f t="shared" si="8"/>
        <v>0</v>
      </c>
    </row>
    <row r="188" spans="1:12" x14ac:dyDescent="0.3">
      <c r="A188" s="30" t="s">
        <v>411</v>
      </c>
      <c r="B188" s="31" t="s">
        <v>412</v>
      </c>
      <c r="C188" s="32" t="s">
        <v>268</v>
      </c>
      <c r="D188" s="24">
        <v>5.25</v>
      </c>
      <c r="E188" s="24">
        <v>7.1</v>
      </c>
      <c r="F188" s="82">
        <f t="shared" si="6"/>
        <v>37.28</v>
      </c>
      <c r="G188" s="100">
        <v>0</v>
      </c>
      <c r="H188" s="73">
        <v>0</v>
      </c>
      <c r="I188" s="73">
        <v>0</v>
      </c>
      <c r="J188" s="101">
        <v>37.28</v>
      </c>
      <c r="K188" s="62">
        <f t="shared" si="7"/>
        <v>37.28</v>
      </c>
      <c r="L188" s="1">
        <f t="shared" si="8"/>
        <v>0</v>
      </c>
    </row>
    <row r="189" spans="1:12" x14ac:dyDescent="0.3">
      <c r="A189" s="30" t="s">
        <v>413</v>
      </c>
      <c r="B189" s="31" t="s">
        <v>414</v>
      </c>
      <c r="C189" s="32" t="s">
        <v>326</v>
      </c>
      <c r="D189" s="24">
        <v>4</v>
      </c>
      <c r="E189" s="24">
        <v>60.93</v>
      </c>
      <c r="F189" s="82">
        <f t="shared" si="6"/>
        <v>243.72</v>
      </c>
      <c r="G189" s="100">
        <v>0</v>
      </c>
      <c r="H189" s="73">
        <v>0</v>
      </c>
      <c r="I189" s="73">
        <v>243.72</v>
      </c>
      <c r="J189" s="101">
        <v>0</v>
      </c>
      <c r="K189" s="62">
        <f t="shared" si="7"/>
        <v>243.72</v>
      </c>
      <c r="L189" s="1">
        <f t="shared" si="8"/>
        <v>0</v>
      </c>
    </row>
    <row r="190" spans="1:12" x14ac:dyDescent="0.3">
      <c r="A190" s="30" t="s">
        <v>415</v>
      </c>
      <c r="B190" s="31" t="s">
        <v>416</v>
      </c>
      <c r="C190" s="32" t="s">
        <v>319</v>
      </c>
      <c r="D190" s="24">
        <v>2.96</v>
      </c>
      <c r="E190" s="24">
        <v>7.04</v>
      </c>
      <c r="F190" s="82">
        <f t="shared" si="6"/>
        <v>20.84</v>
      </c>
      <c r="G190" s="100">
        <v>0</v>
      </c>
      <c r="H190" s="73">
        <v>20.84</v>
      </c>
      <c r="I190" s="73">
        <v>0</v>
      </c>
      <c r="J190" s="101">
        <v>0</v>
      </c>
      <c r="K190" s="62">
        <f t="shared" si="7"/>
        <v>20.84</v>
      </c>
      <c r="L190" s="1">
        <f t="shared" si="8"/>
        <v>0</v>
      </c>
    </row>
    <row r="191" spans="1:12" x14ac:dyDescent="0.3">
      <c r="A191" s="30" t="s">
        <v>417</v>
      </c>
      <c r="B191" s="31" t="s">
        <v>418</v>
      </c>
      <c r="C191" s="32" t="s">
        <v>123</v>
      </c>
      <c r="D191" s="24">
        <v>8.64</v>
      </c>
      <c r="E191" s="24">
        <v>0.14000000000000001</v>
      </c>
      <c r="F191" s="82">
        <f t="shared" si="6"/>
        <v>1.21</v>
      </c>
      <c r="G191" s="100">
        <v>0</v>
      </c>
      <c r="H191" s="73">
        <v>0</v>
      </c>
      <c r="I191" s="73">
        <v>0</v>
      </c>
      <c r="J191" s="101">
        <v>1.21</v>
      </c>
      <c r="K191" s="62">
        <f t="shared" si="7"/>
        <v>1.21</v>
      </c>
      <c r="L191" s="1">
        <f t="shared" si="8"/>
        <v>0</v>
      </c>
    </row>
    <row r="192" spans="1:12" x14ac:dyDescent="0.3">
      <c r="A192" s="30" t="s">
        <v>419</v>
      </c>
      <c r="B192" s="31" t="s">
        <v>420</v>
      </c>
      <c r="C192" s="32" t="s">
        <v>270</v>
      </c>
      <c r="D192" s="24">
        <v>0.64</v>
      </c>
      <c r="E192" s="24">
        <v>109.24</v>
      </c>
      <c r="F192" s="82">
        <f t="shared" si="6"/>
        <v>69.91</v>
      </c>
      <c r="G192" s="100">
        <v>21.28</v>
      </c>
      <c r="H192" s="73">
        <v>27.54</v>
      </c>
      <c r="I192" s="73">
        <v>21.09</v>
      </c>
      <c r="J192" s="101">
        <v>0</v>
      </c>
      <c r="K192" s="62">
        <f t="shared" si="7"/>
        <v>69.91</v>
      </c>
      <c r="L192" s="1">
        <f t="shared" si="8"/>
        <v>0</v>
      </c>
    </row>
    <row r="193" spans="1:12" x14ac:dyDescent="0.3">
      <c r="A193" s="30" t="s">
        <v>421</v>
      </c>
      <c r="B193" s="31" t="s">
        <v>422</v>
      </c>
      <c r="C193" s="32" t="s">
        <v>45</v>
      </c>
      <c r="D193" s="24">
        <v>1</v>
      </c>
      <c r="E193" s="24">
        <v>914</v>
      </c>
      <c r="F193" s="82">
        <f t="shared" si="6"/>
        <v>914</v>
      </c>
      <c r="G193" s="100">
        <v>0</v>
      </c>
      <c r="H193" s="73">
        <v>0</v>
      </c>
      <c r="I193" s="73">
        <v>0</v>
      </c>
      <c r="J193" s="101">
        <v>914</v>
      </c>
      <c r="K193" s="62">
        <f t="shared" si="7"/>
        <v>914</v>
      </c>
      <c r="L193" s="1">
        <f t="shared" si="8"/>
        <v>0</v>
      </c>
    </row>
    <row r="194" spans="1:12" x14ac:dyDescent="0.3">
      <c r="A194" s="30" t="s">
        <v>423</v>
      </c>
      <c r="B194" s="31" t="s">
        <v>424</v>
      </c>
      <c r="C194" s="32" t="s">
        <v>45</v>
      </c>
      <c r="D194" s="24">
        <v>1</v>
      </c>
      <c r="E194" s="24">
        <v>862</v>
      </c>
      <c r="F194" s="82">
        <f t="shared" si="6"/>
        <v>862</v>
      </c>
      <c r="G194" s="100">
        <v>0</v>
      </c>
      <c r="H194" s="73">
        <v>0</v>
      </c>
      <c r="I194" s="73">
        <v>0</v>
      </c>
      <c r="J194" s="101">
        <v>862</v>
      </c>
      <c r="K194" s="62">
        <f t="shared" si="7"/>
        <v>862</v>
      </c>
      <c r="L194" s="1">
        <f t="shared" si="8"/>
        <v>0</v>
      </c>
    </row>
    <row r="195" spans="1:12" x14ac:dyDescent="0.3">
      <c r="A195" s="30" t="s">
        <v>425</v>
      </c>
      <c r="B195" s="31" t="s">
        <v>426</v>
      </c>
      <c r="C195" s="32" t="s">
        <v>45</v>
      </c>
      <c r="D195" s="24">
        <v>1</v>
      </c>
      <c r="E195" s="24">
        <v>253</v>
      </c>
      <c r="F195" s="82">
        <f t="shared" si="6"/>
        <v>253</v>
      </c>
      <c r="G195" s="100">
        <v>0</v>
      </c>
      <c r="H195" s="73">
        <v>0</v>
      </c>
      <c r="I195" s="73">
        <v>0</v>
      </c>
      <c r="J195" s="101">
        <v>253</v>
      </c>
      <c r="K195" s="62">
        <f t="shared" si="7"/>
        <v>253</v>
      </c>
      <c r="L195" s="1">
        <f t="shared" si="8"/>
        <v>0</v>
      </c>
    </row>
    <row r="196" spans="1:12" x14ac:dyDescent="0.3">
      <c r="A196" s="30" t="s">
        <v>427</v>
      </c>
      <c r="B196" s="31" t="s">
        <v>428</v>
      </c>
      <c r="C196" s="32" t="s">
        <v>102</v>
      </c>
      <c r="D196" s="24">
        <v>9.24</v>
      </c>
      <c r="E196" s="24">
        <v>55</v>
      </c>
      <c r="F196" s="82">
        <f t="shared" si="6"/>
        <v>508.2</v>
      </c>
      <c r="G196" s="100">
        <v>0</v>
      </c>
      <c r="H196" s="73">
        <v>127.05</v>
      </c>
      <c r="I196" s="73">
        <v>381.15</v>
      </c>
      <c r="J196" s="101">
        <v>0</v>
      </c>
      <c r="K196" s="62">
        <f t="shared" si="7"/>
        <v>508.2</v>
      </c>
      <c r="L196" s="1">
        <f t="shared" si="8"/>
        <v>0</v>
      </c>
    </row>
    <row r="197" spans="1:12" x14ac:dyDescent="0.3">
      <c r="A197" s="30" t="s">
        <v>429</v>
      </c>
      <c r="B197" s="31" t="s">
        <v>430</v>
      </c>
      <c r="C197" s="32" t="s">
        <v>51</v>
      </c>
      <c r="D197" s="24">
        <v>0.75</v>
      </c>
      <c r="E197" s="24">
        <v>9.56</v>
      </c>
      <c r="F197" s="82">
        <f t="shared" si="6"/>
        <v>7.17</v>
      </c>
      <c r="G197" s="100">
        <v>0</v>
      </c>
      <c r="H197" s="73">
        <v>0</v>
      </c>
      <c r="I197" s="73">
        <v>1.44</v>
      </c>
      <c r="J197" s="101">
        <v>5.73</v>
      </c>
      <c r="K197" s="62">
        <f t="shared" si="7"/>
        <v>7.17</v>
      </c>
      <c r="L197" s="1">
        <f t="shared" si="8"/>
        <v>0</v>
      </c>
    </row>
    <row r="198" spans="1:12" x14ac:dyDescent="0.3">
      <c r="A198" s="117" t="s">
        <v>431</v>
      </c>
      <c r="B198" s="87" t="s">
        <v>432</v>
      </c>
      <c r="C198" s="111" t="s">
        <v>32</v>
      </c>
      <c r="D198" s="93">
        <v>1</v>
      </c>
      <c r="E198" s="93">
        <v>282025.2</v>
      </c>
      <c r="F198" s="112">
        <f t="shared" si="6"/>
        <v>282025.2</v>
      </c>
      <c r="G198" s="113">
        <f>65643.8+60000</f>
        <v>125643.8</v>
      </c>
      <c r="H198" s="114">
        <v>12937.55</v>
      </c>
      <c r="I198" s="114">
        <v>75368.800000000003</v>
      </c>
      <c r="J198" s="115">
        <v>68075.05</v>
      </c>
      <c r="K198" s="116">
        <f t="shared" si="7"/>
        <v>282025.2</v>
      </c>
      <c r="L198" s="1">
        <f t="shared" si="8"/>
        <v>0</v>
      </c>
    </row>
    <row r="199" spans="1:12" x14ac:dyDescent="0.3">
      <c r="A199" s="30" t="s">
        <v>433</v>
      </c>
      <c r="B199" s="31" t="s">
        <v>434</v>
      </c>
      <c r="C199" s="32" t="s">
        <v>39</v>
      </c>
      <c r="D199" s="24">
        <v>61.71</v>
      </c>
      <c r="E199" s="24">
        <v>65.069999999999993</v>
      </c>
      <c r="F199" s="82">
        <f t="shared" si="6"/>
        <v>4015.47</v>
      </c>
      <c r="G199" s="100">
        <v>0</v>
      </c>
      <c r="H199" s="73">
        <v>0</v>
      </c>
      <c r="I199" s="73">
        <v>4015.47</v>
      </c>
      <c r="J199" s="101">
        <v>0</v>
      </c>
      <c r="K199" s="62">
        <f t="shared" si="7"/>
        <v>4015.47</v>
      </c>
      <c r="L199" s="1">
        <f t="shared" si="8"/>
        <v>0</v>
      </c>
    </row>
    <row r="200" spans="1:12" x14ac:dyDescent="0.3">
      <c r="A200" s="30" t="s">
        <v>435</v>
      </c>
      <c r="B200" s="31" t="s">
        <v>436</v>
      </c>
      <c r="C200" s="32" t="s">
        <v>268</v>
      </c>
      <c r="D200" s="24">
        <v>1.37</v>
      </c>
      <c r="E200" s="24">
        <v>39.950000000000003</v>
      </c>
      <c r="F200" s="82">
        <f t="shared" si="6"/>
        <v>54.73</v>
      </c>
      <c r="G200" s="100">
        <v>0</v>
      </c>
      <c r="H200" s="73">
        <v>0</v>
      </c>
      <c r="I200" s="73">
        <v>0</v>
      </c>
      <c r="J200" s="101">
        <v>54.73</v>
      </c>
      <c r="K200" s="62">
        <f t="shared" si="7"/>
        <v>54.73</v>
      </c>
      <c r="L200" s="1">
        <f t="shared" si="8"/>
        <v>0</v>
      </c>
    </row>
    <row r="201" spans="1:12" x14ac:dyDescent="0.3">
      <c r="A201" s="30" t="s">
        <v>437</v>
      </c>
      <c r="B201" s="31" t="s">
        <v>438</v>
      </c>
      <c r="C201" s="32" t="s">
        <v>45</v>
      </c>
      <c r="D201" s="24">
        <v>2</v>
      </c>
      <c r="E201" s="24">
        <v>52.5</v>
      </c>
      <c r="F201" s="82">
        <f t="shared" si="6"/>
        <v>105</v>
      </c>
      <c r="G201" s="100">
        <v>0</v>
      </c>
      <c r="H201" s="73">
        <v>0</v>
      </c>
      <c r="I201" s="73">
        <v>0</v>
      </c>
      <c r="J201" s="101">
        <v>105</v>
      </c>
      <c r="K201" s="62">
        <f t="shared" si="7"/>
        <v>105</v>
      </c>
      <c r="L201" s="1">
        <f t="shared" si="8"/>
        <v>0</v>
      </c>
    </row>
    <row r="202" spans="1:12" x14ac:dyDescent="0.3">
      <c r="A202" s="30" t="s">
        <v>439</v>
      </c>
      <c r="B202" s="31" t="s">
        <v>440</v>
      </c>
      <c r="C202" s="32" t="s">
        <v>45</v>
      </c>
      <c r="D202" s="24">
        <v>1</v>
      </c>
      <c r="E202" s="24">
        <v>52.5</v>
      </c>
      <c r="F202" s="82">
        <f t="shared" si="6"/>
        <v>52.5</v>
      </c>
      <c r="G202" s="100">
        <v>0</v>
      </c>
      <c r="H202" s="73">
        <v>0</v>
      </c>
      <c r="I202" s="73">
        <v>0</v>
      </c>
      <c r="J202" s="101">
        <v>52.5</v>
      </c>
      <c r="K202" s="62">
        <f t="shared" si="7"/>
        <v>52.5</v>
      </c>
      <c r="L202" s="1">
        <f t="shared" si="8"/>
        <v>0</v>
      </c>
    </row>
    <row r="203" spans="1:12" x14ac:dyDescent="0.3">
      <c r="A203" s="30" t="s">
        <v>441</v>
      </c>
      <c r="B203" s="31" t="s">
        <v>442</v>
      </c>
      <c r="C203" s="32" t="s">
        <v>45</v>
      </c>
      <c r="D203" s="24">
        <v>2</v>
      </c>
      <c r="E203" s="24">
        <v>84</v>
      </c>
      <c r="F203" s="82">
        <f t="shared" si="6"/>
        <v>168</v>
      </c>
      <c r="G203" s="100">
        <v>0</v>
      </c>
      <c r="H203" s="73">
        <v>0</v>
      </c>
      <c r="I203" s="73">
        <v>0</v>
      </c>
      <c r="J203" s="101">
        <v>168</v>
      </c>
      <c r="K203" s="62">
        <f t="shared" si="7"/>
        <v>168</v>
      </c>
      <c r="L203" s="1">
        <f t="shared" si="8"/>
        <v>0</v>
      </c>
    </row>
    <row r="204" spans="1:12" x14ac:dyDescent="0.3">
      <c r="A204" s="30" t="s">
        <v>443</v>
      </c>
      <c r="B204" s="31" t="s">
        <v>444</v>
      </c>
      <c r="C204" s="32" t="s">
        <v>45</v>
      </c>
      <c r="D204" s="24">
        <v>1</v>
      </c>
      <c r="E204" s="24">
        <v>165</v>
      </c>
      <c r="F204" s="82">
        <f t="shared" ref="F204:F267" si="9">+ROUND(D204*E204,2)</f>
        <v>165</v>
      </c>
      <c r="G204" s="100">
        <v>0</v>
      </c>
      <c r="H204" s="73">
        <v>0</v>
      </c>
      <c r="I204" s="73">
        <v>0</v>
      </c>
      <c r="J204" s="101">
        <v>165</v>
      </c>
      <c r="K204" s="62">
        <f t="shared" ref="K204:K267" si="10">SUM(G204:J204)</f>
        <v>165</v>
      </c>
      <c r="L204" s="1">
        <f t="shared" ref="L204:L267" si="11">+F204-K204</f>
        <v>0</v>
      </c>
    </row>
    <row r="205" spans="1:12" x14ac:dyDescent="0.3">
      <c r="A205" s="30" t="s">
        <v>445</v>
      </c>
      <c r="B205" s="31" t="s">
        <v>446</v>
      </c>
      <c r="C205" s="32" t="s">
        <v>45</v>
      </c>
      <c r="D205" s="24">
        <v>100</v>
      </c>
      <c r="E205" s="24">
        <v>3</v>
      </c>
      <c r="F205" s="82">
        <f t="shared" si="9"/>
        <v>300</v>
      </c>
      <c r="G205" s="100">
        <v>78.150000000000006</v>
      </c>
      <c r="H205" s="73">
        <v>75.63</v>
      </c>
      <c r="I205" s="73">
        <v>78.150000000000006</v>
      </c>
      <c r="J205" s="101">
        <v>68.069999999999993</v>
      </c>
      <c r="K205" s="62">
        <f t="shared" si="10"/>
        <v>300</v>
      </c>
      <c r="L205" s="1">
        <f t="shared" si="11"/>
        <v>0</v>
      </c>
    </row>
    <row r="206" spans="1:12" x14ac:dyDescent="0.3">
      <c r="A206" s="30" t="s">
        <v>447</v>
      </c>
      <c r="B206" s="31" t="s">
        <v>448</v>
      </c>
      <c r="C206" s="32" t="s">
        <v>45</v>
      </c>
      <c r="D206" s="24">
        <v>2</v>
      </c>
      <c r="E206" s="24">
        <v>7120</v>
      </c>
      <c r="F206" s="82">
        <f t="shared" si="9"/>
        <v>14240</v>
      </c>
      <c r="G206" s="100">
        <v>0</v>
      </c>
      <c r="H206" s="73">
        <v>0</v>
      </c>
      <c r="I206" s="73">
        <v>14240</v>
      </c>
      <c r="J206" s="101">
        <v>0</v>
      </c>
      <c r="K206" s="62">
        <f t="shared" si="10"/>
        <v>14240</v>
      </c>
      <c r="L206" s="1">
        <f t="shared" si="11"/>
        <v>0</v>
      </c>
    </row>
    <row r="207" spans="1:12" x14ac:dyDescent="0.3">
      <c r="A207" s="30" t="s">
        <v>449</v>
      </c>
      <c r="B207" s="31" t="s">
        <v>450</v>
      </c>
      <c r="C207" s="32" t="s">
        <v>45</v>
      </c>
      <c r="D207" s="24">
        <v>2</v>
      </c>
      <c r="E207" s="24">
        <v>5220</v>
      </c>
      <c r="F207" s="82">
        <f t="shared" si="9"/>
        <v>10440</v>
      </c>
      <c r="G207" s="100">
        <v>0</v>
      </c>
      <c r="H207" s="73">
        <v>0</v>
      </c>
      <c r="I207" s="73">
        <v>10440</v>
      </c>
      <c r="J207" s="101">
        <v>0</v>
      </c>
      <c r="K207" s="62">
        <f t="shared" si="10"/>
        <v>10440</v>
      </c>
      <c r="L207" s="1">
        <f t="shared" si="11"/>
        <v>0</v>
      </c>
    </row>
    <row r="208" spans="1:12" x14ac:dyDescent="0.3">
      <c r="A208" s="30" t="s">
        <v>451</v>
      </c>
      <c r="B208" s="31" t="s">
        <v>452</v>
      </c>
      <c r="C208" s="32" t="s">
        <v>45</v>
      </c>
      <c r="D208" s="24">
        <v>3</v>
      </c>
      <c r="E208" s="24">
        <v>3320</v>
      </c>
      <c r="F208" s="82">
        <f t="shared" si="9"/>
        <v>9960</v>
      </c>
      <c r="G208" s="100">
        <v>0</v>
      </c>
      <c r="H208" s="73">
        <v>0</v>
      </c>
      <c r="I208" s="73">
        <v>9960</v>
      </c>
      <c r="J208" s="101">
        <v>0</v>
      </c>
      <c r="K208" s="62">
        <f t="shared" si="10"/>
        <v>9960</v>
      </c>
      <c r="L208" s="1">
        <f t="shared" si="11"/>
        <v>0</v>
      </c>
    </row>
    <row r="209" spans="1:12" x14ac:dyDescent="0.3">
      <c r="A209" s="30" t="s">
        <v>453</v>
      </c>
      <c r="B209" s="31" t="s">
        <v>454</v>
      </c>
      <c r="C209" s="32" t="s">
        <v>45</v>
      </c>
      <c r="D209" s="24">
        <v>1</v>
      </c>
      <c r="E209" s="24">
        <v>253</v>
      </c>
      <c r="F209" s="82">
        <f t="shared" si="9"/>
        <v>253</v>
      </c>
      <c r="G209" s="100">
        <v>0</v>
      </c>
      <c r="H209" s="73">
        <v>0</v>
      </c>
      <c r="I209" s="73">
        <v>0</v>
      </c>
      <c r="J209" s="101">
        <v>253</v>
      </c>
      <c r="K209" s="62">
        <f t="shared" si="10"/>
        <v>253</v>
      </c>
      <c r="L209" s="1">
        <f t="shared" si="11"/>
        <v>0</v>
      </c>
    </row>
    <row r="210" spans="1:12" x14ac:dyDescent="0.3">
      <c r="A210" s="30" t="s">
        <v>455</v>
      </c>
      <c r="B210" s="31" t="s">
        <v>456</v>
      </c>
      <c r="C210" s="32" t="s">
        <v>217</v>
      </c>
      <c r="D210" s="24">
        <v>4.21</v>
      </c>
      <c r="E210" s="24">
        <v>2.12</v>
      </c>
      <c r="F210" s="82">
        <f t="shared" si="9"/>
        <v>8.93</v>
      </c>
      <c r="G210" s="100">
        <v>0</v>
      </c>
      <c r="H210" s="73">
        <v>8.93</v>
      </c>
      <c r="I210" s="73">
        <v>0</v>
      </c>
      <c r="J210" s="101">
        <v>0</v>
      </c>
      <c r="K210" s="62">
        <f t="shared" si="10"/>
        <v>8.93</v>
      </c>
      <c r="L210" s="1">
        <f t="shared" si="11"/>
        <v>0</v>
      </c>
    </row>
    <row r="211" spans="1:12" x14ac:dyDescent="0.3">
      <c r="A211" s="30" t="s">
        <v>457</v>
      </c>
      <c r="B211" s="31" t="s">
        <v>458</v>
      </c>
      <c r="C211" s="32" t="s">
        <v>217</v>
      </c>
      <c r="D211" s="24">
        <v>68.739999999999995</v>
      </c>
      <c r="E211" s="24">
        <v>2.31</v>
      </c>
      <c r="F211" s="82">
        <f t="shared" si="9"/>
        <v>158.79</v>
      </c>
      <c r="G211" s="100">
        <v>0</v>
      </c>
      <c r="H211" s="73">
        <v>37.96</v>
      </c>
      <c r="I211" s="73">
        <v>33.880000000000003</v>
      </c>
      <c r="J211" s="101">
        <v>86.95</v>
      </c>
      <c r="K211" s="62">
        <f t="shared" si="10"/>
        <v>158.79000000000002</v>
      </c>
      <c r="L211" s="1">
        <f t="shared" si="11"/>
        <v>0</v>
      </c>
    </row>
    <row r="212" spans="1:12" x14ac:dyDescent="0.3">
      <c r="A212" s="30" t="s">
        <v>459</v>
      </c>
      <c r="B212" s="31" t="s">
        <v>460</v>
      </c>
      <c r="C212" s="32" t="s">
        <v>45</v>
      </c>
      <c r="D212" s="24">
        <v>1</v>
      </c>
      <c r="E212" s="24">
        <v>5800.69</v>
      </c>
      <c r="F212" s="82">
        <f t="shared" si="9"/>
        <v>5800.69</v>
      </c>
      <c r="G212" s="100">
        <v>0</v>
      </c>
      <c r="H212" s="73">
        <v>0</v>
      </c>
      <c r="I212" s="73">
        <v>5800.69</v>
      </c>
      <c r="J212" s="101">
        <v>0</v>
      </c>
      <c r="K212" s="62">
        <f t="shared" si="10"/>
        <v>5800.69</v>
      </c>
      <c r="L212" s="1">
        <f t="shared" si="11"/>
        <v>0</v>
      </c>
    </row>
    <row r="213" spans="1:12" x14ac:dyDescent="0.3">
      <c r="A213" s="30" t="s">
        <v>461</v>
      </c>
      <c r="B213" s="31" t="s">
        <v>462</v>
      </c>
      <c r="C213" s="32" t="s">
        <v>45</v>
      </c>
      <c r="D213" s="24">
        <v>1</v>
      </c>
      <c r="E213" s="24">
        <v>3583.16</v>
      </c>
      <c r="F213" s="82">
        <f t="shared" si="9"/>
        <v>3583.16</v>
      </c>
      <c r="G213" s="100">
        <v>0</v>
      </c>
      <c r="H213" s="73">
        <v>0</v>
      </c>
      <c r="I213" s="73">
        <v>3583.16</v>
      </c>
      <c r="J213" s="101">
        <v>0</v>
      </c>
      <c r="K213" s="62">
        <f t="shared" si="10"/>
        <v>3583.16</v>
      </c>
      <c r="L213" s="1">
        <f t="shared" si="11"/>
        <v>0</v>
      </c>
    </row>
    <row r="214" spans="1:12" x14ac:dyDescent="0.3">
      <c r="A214" s="30" t="s">
        <v>463</v>
      </c>
      <c r="B214" s="31" t="s">
        <v>464</v>
      </c>
      <c r="C214" s="32" t="s">
        <v>123</v>
      </c>
      <c r="D214" s="24">
        <v>1</v>
      </c>
      <c r="E214" s="24">
        <v>2000</v>
      </c>
      <c r="F214" s="82">
        <f t="shared" si="9"/>
        <v>2000</v>
      </c>
      <c r="G214" s="100">
        <v>0</v>
      </c>
      <c r="H214" s="73">
        <v>0</v>
      </c>
      <c r="I214" s="73">
        <v>0</v>
      </c>
      <c r="J214" s="101">
        <v>2000</v>
      </c>
      <c r="K214" s="62">
        <f t="shared" si="10"/>
        <v>2000</v>
      </c>
      <c r="L214" s="1">
        <f t="shared" si="11"/>
        <v>0</v>
      </c>
    </row>
    <row r="215" spans="1:12" x14ac:dyDescent="0.3">
      <c r="A215" s="30" t="s">
        <v>465</v>
      </c>
      <c r="B215" s="31" t="s">
        <v>466</v>
      </c>
      <c r="C215" s="32" t="s">
        <v>467</v>
      </c>
      <c r="D215" s="24">
        <v>39.17</v>
      </c>
      <c r="E215" s="24">
        <v>177.12</v>
      </c>
      <c r="F215" s="82">
        <f t="shared" si="9"/>
        <v>6937.79</v>
      </c>
      <c r="G215" s="100">
        <v>0</v>
      </c>
      <c r="H215" s="73">
        <v>6937.79</v>
      </c>
      <c r="I215" s="73">
        <v>0</v>
      </c>
      <c r="J215" s="101">
        <v>0</v>
      </c>
      <c r="K215" s="62">
        <f t="shared" si="10"/>
        <v>6937.79</v>
      </c>
      <c r="L215" s="1">
        <f t="shared" si="11"/>
        <v>0</v>
      </c>
    </row>
    <row r="216" spans="1:12" x14ac:dyDescent="0.3">
      <c r="A216" s="30" t="s">
        <v>468</v>
      </c>
      <c r="B216" s="31" t="s">
        <v>469</v>
      </c>
      <c r="C216" s="32" t="s">
        <v>268</v>
      </c>
      <c r="D216" s="24">
        <v>24.37</v>
      </c>
      <c r="E216" s="24">
        <v>82.06</v>
      </c>
      <c r="F216" s="82">
        <f t="shared" si="9"/>
        <v>1999.8</v>
      </c>
      <c r="G216" s="100">
        <v>0</v>
      </c>
      <c r="H216" s="73">
        <v>0</v>
      </c>
      <c r="I216" s="73">
        <v>1999.8</v>
      </c>
      <c r="J216" s="101">
        <v>0</v>
      </c>
      <c r="K216" s="62">
        <f t="shared" si="10"/>
        <v>1999.8</v>
      </c>
      <c r="L216" s="1">
        <f t="shared" si="11"/>
        <v>0</v>
      </c>
    </row>
    <row r="217" spans="1:12" x14ac:dyDescent="0.3">
      <c r="A217" s="30" t="s">
        <v>470</v>
      </c>
      <c r="B217" s="31" t="s">
        <v>471</v>
      </c>
      <c r="C217" s="32" t="s">
        <v>366</v>
      </c>
      <c r="D217" s="24">
        <v>2.04</v>
      </c>
      <c r="E217" s="24">
        <v>312.85000000000002</v>
      </c>
      <c r="F217" s="82">
        <f t="shared" si="9"/>
        <v>638.21</v>
      </c>
      <c r="G217" s="100">
        <v>638.21</v>
      </c>
      <c r="H217" s="73">
        <v>0</v>
      </c>
      <c r="I217" s="73">
        <v>0</v>
      </c>
      <c r="J217" s="101">
        <v>0</v>
      </c>
      <c r="K217" s="62">
        <f t="shared" si="10"/>
        <v>638.21</v>
      </c>
      <c r="L217" s="1">
        <f t="shared" si="11"/>
        <v>0</v>
      </c>
    </row>
    <row r="218" spans="1:12" x14ac:dyDescent="0.3">
      <c r="A218" s="30" t="s">
        <v>472</v>
      </c>
      <c r="B218" s="31" t="s">
        <v>473</v>
      </c>
      <c r="C218" s="32" t="s">
        <v>268</v>
      </c>
      <c r="D218" s="24">
        <v>33.229999999999997</v>
      </c>
      <c r="E218" s="24">
        <v>12.29</v>
      </c>
      <c r="F218" s="82">
        <f t="shared" si="9"/>
        <v>408.4</v>
      </c>
      <c r="G218" s="100">
        <v>0</v>
      </c>
      <c r="H218" s="73">
        <v>9.77</v>
      </c>
      <c r="I218" s="73">
        <v>106.4</v>
      </c>
      <c r="J218" s="101">
        <v>292.23</v>
      </c>
      <c r="K218" s="62">
        <f t="shared" si="10"/>
        <v>408.40000000000003</v>
      </c>
      <c r="L218" s="1">
        <f t="shared" si="11"/>
        <v>0</v>
      </c>
    </row>
    <row r="219" spans="1:12" x14ac:dyDescent="0.3">
      <c r="A219" s="30" t="s">
        <v>474</v>
      </c>
      <c r="B219" s="31" t="s">
        <v>475</v>
      </c>
      <c r="C219" s="32" t="s">
        <v>39</v>
      </c>
      <c r="D219" s="24">
        <v>52.75</v>
      </c>
      <c r="E219" s="24">
        <v>50</v>
      </c>
      <c r="F219" s="82">
        <f t="shared" si="9"/>
        <v>2637.5</v>
      </c>
      <c r="G219" s="100">
        <v>2637.5</v>
      </c>
      <c r="H219" s="73">
        <v>0</v>
      </c>
      <c r="I219" s="73">
        <v>0</v>
      </c>
      <c r="J219" s="101">
        <v>0</v>
      </c>
      <c r="K219" s="62">
        <f t="shared" si="10"/>
        <v>2637.5</v>
      </c>
      <c r="L219" s="1">
        <f t="shared" si="11"/>
        <v>0</v>
      </c>
    </row>
    <row r="220" spans="1:12" x14ac:dyDescent="0.3">
      <c r="A220" s="30" t="s">
        <v>476</v>
      </c>
      <c r="B220" s="31" t="s">
        <v>477</v>
      </c>
      <c r="C220" s="32" t="s">
        <v>366</v>
      </c>
      <c r="D220" s="24">
        <v>9.43</v>
      </c>
      <c r="E220" s="24">
        <v>69.41</v>
      </c>
      <c r="F220" s="82">
        <f t="shared" si="9"/>
        <v>654.54</v>
      </c>
      <c r="G220" s="100">
        <v>49.91</v>
      </c>
      <c r="H220" s="73">
        <v>432.71</v>
      </c>
      <c r="I220" s="73">
        <v>171.92</v>
      </c>
      <c r="J220" s="101">
        <v>0</v>
      </c>
      <c r="K220" s="62">
        <f t="shared" si="10"/>
        <v>654.54</v>
      </c>
      <c r="L220" s="1">
        <f t="shared" si="11"/>
        <v>0</v>
      </c>
    </row>
    <row r="221" spans="1:12" x14ac:dyDescent="0.3">
      <c r="A221" s="30" t="s">
        <v>478</v>
      </c>
      <c r="B221" s="31" t="s">
        <v>479</v>
      </c>
      <c r="C221" s="32" t="s">
        <v>32</v>
      </c>
      <c r="D221" s="24">
        <v>1</v>
      </c>
      <c r="E221" s="24">
        <v>805.09</v>
      </c>
      <c r="F221" s="82">
        <f t="shared" si="9"/>
        <v>805.09</v>
      </c>
      <c r="G221" s="100">
        <v>209.73</v>
      </c>
      <c r="H221" s="73">
        <v>202.96</v>
      </c>
      <c r="I221" s="73">
        <v>209.73</v>
      </c>
      <c r="J221" s="101">
        <v>182.67</v>
      </c>
      <c r="K221" s="62">
        <f t="shared" si="10"/>
        <v>805.08999999999992</v>
      </c>
      <c r="L221" s="1">
        <f t="shared" si="11"/>
        <v>0</v>
      </c>
    </row>
    <row r="222" spans="1:12" x14ac:dyDescent="0.3">
      <c r="A222" s="30" t="s">
        <v>480</v>
      </c>
      <c r="B222" s="31" t="s">
        <v>481</v>
      </c>
      <c r="C222" s="32" t="s">
        <v>32</v>
      </c>
      <c r="D222" s="24">
        <v>1</v>
      </c>
      <c r="E222" s="24">
        <v>8050.85</v>
      </c>
      <c r="F222" s="82">
        <f t="shared" si="9"/>
        <v>8050.85</v>
      </c>
      <c r="G222" s="100">
        <v>2097.2800000000002</v>
      </c>
      <c r="H222" s="73">
        <v>2029.63</v>
      </c>
      <c r="I222" s="73">
        <v>2097.2800000000002</v>
      </c>
      <c r="J222" s="101">
        <v>1826.66</v>
      </c>
      <c r="K222" s="62">
        <f t="shared" si="10"/>
        <v>8050.85</v>
      </c>
      <c r="L222" s="1">
        <f t="shared" si="11"/>
        <v>0</v>
      </c>
    </row>
    <row r="223" spans="1:12" x14ac:dyDescent="0.3">
      <c r="A223" s="30" t="s">
        <v>482</v>
      </c>
      <c r="B223" s="31" t="s">
        <v>483</v>
      </c>
      <c r="C223" s="32" t="s">
        <v>484</v>
      </c>
      <c r="D223" s="24">
        <v>2.62</v>
      </c>
      <c r="E223" s="24">
        <v>110.94</v>
      </c>
      <c r="F223" s="82">
        <f t="shared" si="9"/>
        <v>290.66000000000003</v>
      </c>
      <c r="G223" s="100">
        <v>0</v>
      </c>
      <c r="H223" s="73">
        <v>0</v>
      </c>
      <c r="I223" s="73">
        <v>72.67</v>
      </c>
      <c r="J223" s="101">
        <v>217.99</v>
      </c>
      <c r="K223" s="62">
        <f t="shared" si="10"/>
        <v>290.66000000000003</v>
      </c>
      <c r="L223" s="1">
        <f t="shared" si="11"/>
        <v>0</v>
      </c>
    </row>
    <row r="224" spans="1:12" x14ac:dyDescent="0.3">
      <c r="A224" s="30" t="s">
        <v>485</v>
      </c>
      <c r="B224" s="31" t="s">
        <v>486</v>
      </c>
      <c r="C224" s="32" t="s">
        <v>51</v>
      </c>
      <c r="D224" s="24">
        <v>56.66</v>
      </c>
      <c r="E224" s="24">
        <v>8.39</v>
      </c>
      <c r="F224" s="82">
        <f t="shared" si="9"/>
        <v>475.38</v>
      </c>
      <c r="G224" s="100">
        <v>0</v>
      </c>
      <c r="H224" s="73">
        <v>12.23</v>
      </c>
      <c r="I224" s="73">
        <v>126.1</v>
      </c>
      <c r="J224" s="101">
        <v>337.05</v>
      </c>
      <c r="K224" s="62">
        <f t="shared" si="10"/>
        <v>475.38</v>
      </c>
      <c r="L224" s="1">
        <f t="shared" si="11"/>
        <v>0</v>
      </c>
    </row>
    <row r="225" spans="1:12" x14ac:dyDescent="0.3">
      <c r="A225" s="30" t="s">
        <v>487</v>
      </c>
      <c r="B225" s="31" t="s">
        <v>488</v>
      </c>
      <c r="C225" s="32" t="s">
        <v>32</v>
      </c>
      <c r="D225" s="24">
        <v>1</v>
      </c>
      <c r="E225" s="24">
        <v>4025.43</v>
      </c>
      <c r="F225" s="82">
        <f t="shared" si="9"/>
        <v>4025.43</v>
      </c>
      <c r="G225" s="100">
        <v>1048.6400000000001</v>
      </c>
      <c r="H225" s="73">
        <v>1014.81</v>
      </c>
      <c r="I225" s="73">
        <v>1048.6400000000001</v>
      </c>
      <c r="J225" s="101">
        <v>913.34</v>
      </c>
      <c r="K225" s="62">
        <f t="shared" si="10"/>
        <v>4025.4300000000003</v>
      </c>
      <c r="L225" s="1">
        <f t="shared" si="11"/>
        <v>0</v>
      </c>
    </row>
    <row r="226" spans="1:12" x14ac:dyDescent="0.3">
      <c r="A226" s="30" t="s">
        <v>489</v>
      </c>
      <c r="B226" s="31" t="s">
        <v>490</v>
      </c>
      <c r="C226" s="32" t="s">
        <v>32</v>
      </c>
      <c r="D226" s="24">
        <v>1</v>
      </c>
      <c r="E226" s="24">
        <v>346.19</v>
      </c>
      <c r="F226" s="82">
        <f t="shared" si="9"/>
        <v>346.19</v>
      </c>
      <c r="G226" s="100">
        <v>346.19</v>
      </c>
      <c r="H226" s="73">
        <v>0</v>
      </c>
      <c r="I226" s="73">
        <v>0</v>
      </c>
      <c r="J226" s="101">
        <v>0</v>
      </c>
      <c r="K226" s="62">
        <f t="shared" si="10"/>
        <v>346.19</v>
      </c>
      <c r="L226" s="1">
        <f t="shared" si="11"/>
        <v>0</v>
      </c>
    </row>
    <row r="227" spans="1:12" x14ac:dyDescent="0.3">
      <c r="A227" s="30" t="s">
        <v>491</v>
      </c>
      <c r="B227" s="31" t="s">
        <v>492</v>
      </c>
      <c r="C227" s="32" t="s">
        <v>32</v>
      </c>
      <c r="D227" s="24">
        <v>1</v>
      </c>
      <c r="E227" s="24">
        <v>1127.6400000000001</v>
      </c>
      <c r="F227" s="82">
        <f t="shared" si="9"/>
        <v>1127.6400000000001</v>
      </c>
      <c r="G227" s="100">
        <v>293.75</v>
      </c>
      <c r="H227" s="73">
        <v>284.27999999999997</v>
      </c>
      <c r="I227" s="73">
        <v>293.75</v>
      </c>
      <c r="J227" s="101">
        <v>255.85999999999999</v>
      </c>
      <c r="K227" s="62">
        <f t="shared" si="10"/>
        <v>1127.6399999999999</v>
      </c>
      <c r="L227" s="1">
        <f t="shared" si="11"/>
        <v>0</v>
      </c>
    </row>
    <row r="228" spans="1:12" x14ac:dyDescent="0.3">
      <c r="A228" s="30" t="s">
        <v>493</v>
      </c>
      <c r="B228" s="31" t="s">
        <v>494</v>
      </c>
      <c r="C228" s="32" t="s">
        <v>32</v>
      </c>
      <c r="D228" s="24">
        <v>1</v>
      </c>
      <c r="E228" s="24">
        <v>4025.43</v>
      </c>
      <c r="F228" s="82">
        <f t="shared" si="9"/>
        <v>4025.43</v>
      </c>
      <c r="G228" s="100">
        <v>2228.36</v>
      </c>
      <c r="H228" s="73">
        <v>1797.07</v>
      </c>
      <c r="I228" s="73">
        <v>0</v>
      </c>
      <c r="J228" s="101">
        <v>0</v>
      </c>
      <c r="K228" s="62">
        <f t="shared" si="10"/>
        <v>4025.4300000000003</v>
      </c>
      <c r="L228" s="1">
        <f t="shared" si="11"/>
        <v>0</v>
      </c>
    </row>
    <row r="229" spans="1:12" x14ac:dyDescent="0.3">
      <c r="A229" s="30" t="s">
        <v>495</v>
      </c>
      <c r="B229" s="31" t="s">
        <v>496</v>
      </c>
      <c r="C229" s="32" t="s">
        <v>32</v>
      </c>
      <c r="D229" s="24">
        <v>1</v>
      </c>
      <c r="E229" s="24">
        <v>8050.85</v>
      </c>
      <c r="F229" s="82">
        <f t="shared" si="9"/>
        <v>8050.85</v>
      </c>
      <c r="G229" s="100">
        <v>2097.2800000000002</v>
      </c>
      <c r="H229" s="73">
        <v>2029.63</v>
      </c>
      <c r="I229" s="73">
        <v>2097.2800000000002</v>
      </c>
      <c r="J229" s="101">
        <v>1826.66</v>
      </c>
      <c r="K229" s="62">
        <f t="shared" si="10"/>
        <v>8050.85</v>
      </c>
      <c r="L229" s="1">
        <f t="shared" si="11"/>
        <v>0</v>
      </c>
    </row>
    <row r="230" spans="1:12" x14ac:dyDescent="0.3">
      <c r="A230" s="30" t="s">
        <v>497</v>
      </c>
      <c r="B230" s="31" t="s">
        <v>498</v>
      </c>
      <c r="C230" s="32" t="s">
        <v>32</v>
      </c>
      <c r="D230" s="24">
        <v>1</v>
      </c>
      <c r="E230" s="24">
        <v>1610.17</v>
      </c>
      <c r="F230" s="82">
        <f t="shared" si="9"/>
        <v>1610.17</v>
      </c>
      <c r="G230" s="100">
        <v>419.46</v>
      </c>
      <c r="H230" s="73">
        <v>405.93</v>
      </c>
      <c r="I230" s="73">
        <v>419.46</v>
      </c>
      <c r="J230" s="101">
        <v>365.32</v>
      </c>
      <c r="K230" s="62">
        <f t="shared" si="10"/>
        <v>1610.1699999999998</v>
      </c>
      <c r="L230" s="1">
        <f t="shared" si="11"/>
        <v>0</v>
      </c>
    </row>
    <row r="231" spans="1:12" x14ac:dyDescent="0.3">
      <c r="A231" s="30" t="s">
        <v>499</v>
      </c>
      <c r="B231" s="31" t="s">
        <v>500</v>
      </c>
      <c r="C231" s="32" t="s">
        <v>32</v>
      </c>
      <c r="D231" s="24">
        <v>1</v>
      </c>
      <c r="E231" s="24">
        <v>4023.37</v>
      </c>
      <c r="F231" s="82">
        <f t="shared" si="9"/>
        <v>4023.37</v>
      </c>
      <c r="G231" s="100">
        <v>1048.0999999999999</v>
      </c>
      <c r="H231" s="73">
        <v>1014.29</v>
      </c>
      <c r="I231" s="73">
        <v>1048.0999999999999</v>
      </c>
      <c r="J231" s="101">
        <v>912.88</v>
      </c>
      <c r="K231" s="62">
        <f t="shared" si="10"/>
        <v>4023.37</v>
      </c>
      <c r="L231" s="1">
        <f t="shared" si="11"/>
        <v>0</v>
      </c>
    </row>
    <row r="232" spans="1:12" x14ac:dyDescent="0.3">
      <c r="A232" s="30" t="s">
        <v>501</v>
      </c>
      <c r="B232" s="31" t="s">
        <v>502</v>
      </c>
      <c r="C232" s="32" t="s">
        <v>45</v>
      </c>
      <c r="D232" s="24">
        <v>1</v>
      </c>
      <c r="E232" s="24">
        <v>522.5</v>
      </c>
      <c r="F232" s="82">
        <f t="shared" si="9"/>
        <v>522.5</v>
      </c>
      <c r="G232" s="100">
        <v>0</v>
      </c>
      <c r="H232" s="73">
        <v>0</v>
      </c>
      <c r="I232" s="73">
        <v>0</v>
      </c>
      <c r="J232" s="101">
        <v>522.5</v>
      </c>
      <c r="K232" s="62">
        <f t="shared" si="10"/>
        <v>522.5</v>
      </c>
      <c r="L232" s="1">
        <f t="shared" si="11"/>
        <v>0</v>
      </c>
    </row>
    <row r="233" spans="1:12" x14ac:dyDescent="0.3">
      <c r="A233" s="30" t="s">
        <v>503</v>
      </c>
      <c r="B233" s="31" t="s">
        <v>504</v>
      </c>
      <c r="C233" s="32" t="s">
        <v>45</v>
      </c>
      <c r="D233" s="24">
        <v>2</v>
      </c>
      <c r="E233" s="24">
        <v>2642.98</v>
      </c>
      <c r="F233" s="82">
        <f t="shared" si="9"/>
        <v>5285.96</v>
      </c>
      <c r="G233" s="100">
        <v>0</v>
      </c>
      <c r="H233" s="73">
        <v>0</v>
      </c>
      <c r="I233" s="73">
        <v>0</v>
      </c>
      <c r="J233" s="101">
        <v>5285.96</v>
      </c>
      <c r="K233" s="62">
        <f t="shared" si="10"/>
        <v>5285.96</v>
      </c>
      <c r="L233" s="1">
        <f t="shared" si="11"/>
        <v>0</v>
      </c>
    </row>
    <row r="234" spans="1:12" x14ac:dyDescent="0.3">
      <c r="A234" s="30" t="s">
        <v>505</v>
      </c>
      <c r="B234" s="31" t="s">
        <v>506</v>
      </c>
      <c r="C234" s="32" t="s">
        <v>102</v>
      </c>
      <c r="D234" s="24">
        <v>27.34</v>
      </c>
      <c r="E234" s="24">
        <v>99</v>
      </c>
      <c r="F234" s="82">
        <f t="shared" si="9"/>
        <v>2706.66</v>
      </c>
      <c r="G234" s="100">
        <v>0</v>
      </c>
      <c r="H234" s="73">
        <v>0</v>
      </c>
      <c r="I234" s="73">
        <v>2706.66</v>
      </c>
      <c r="J234" s="101">
        <v>0</v>
      </c>
      <c r="K234" s="62">
        <f t="shared" si="10"/>
        <v>2706.66</v>
      </c>
      <c r="L234" s="1">
        <f t="shared" si="11"/>
        <v>0</v>
      </c>
    </row>
    <row r="235" spans="1:12" x14ac:dyDescent="0.3">
      <c r="A235" s="30" t="s">
        <v>507</v>
      </c>
      <c r="B235" s="31" t="s">
        <v>508</v>
      </c>
      <c r="C235" s="32" t="s">
        <v>45</v>
      </c>
      <c r="D235" s="24">
        <v>4</v>
      </c>
      <c r="E235" s="24">
        <v>88.1</v>
      </c>
      <c r="F235" s="82">
        <f t="shared" si="9"/>
        <v>352.4</v>
      </c>
      <c r="G235" s="100">
        <v>0</v>
      </c>
      <c r="H235" s="73">
        <v>0</v>
      </c>
      <c r="I235" s="73">
        <v>0</v>
      </c>
      <c r="J235" s="101">
        <v>352.4</v>
      </c>
      <c r="K235" s="62">
        <f t="shared" si="10"/>
        <v>352.4</v>
      </c>
      <c r="L235" s="1">
        <f t="shared" si="11"/>
        <v>0</v>
      </c>
    </row>
    <row r="236" spans="1:12" x14ac:dyDescent="0.3">
      <c r="A236" s="30" t="s">
        <v>509</v>
      </c>
      <c r="B236" s="31" t="s">
        <v>510</v>
      </c>
      <c r="C236" s="32" t="s">
        <v>45</v>
      </c>
      <c r="D236" s="24">
        <v>5</v>
      </c>
      <c r="E236" s="24">
        <v>4.24</v>
      </c>
      <c r="F236" s="82">
        <f t="shared" si="9"/>
        <v>21.2</v>
      </c>
      <c r="G236" s="100">
        <v>0</v>
      </c>
      <c r="H236" s="73">
        <v>0</v>
      </c>
      <c r="I236" s="73">
        <v>0</v>
      </c>
      <c r="J236" s="101">
        <v>21.2</v>
      </c>
      <c r="K236" s="62">
        <f t="shared" si="10"/>
        <v>21.2</v>
      </c>
      <c r="L236" s="1">
        <f t="shared" si="11"/>
        <v>0</v>
      </c>
    </row>
    <row r="237" spans="1:12" x14ac:dyDescent="0.3">
      <c r="A237" s="30" t="s">
        <v>511</v>
      </c>
      <c r="B237" s="31" t="s">
        <v>512</v>
      </c>
      <c r="C237" s="32" t="s">
        <v>45</v>
      </c>
      <c r="D237" s="24">
        <v>1</v>
      </c>
      <c r="E237" s="24">
        <v>4.24</v>
      </c>
      <c r="F237" s="82">
        <f t="shared" si="9"/>
        <v>4.24</v>
      </c>
      <c r="G237" s="100">
        <v>0</v>
      </c>
      <c r="H237" s="73">
        <v>0</v>
      </c>
      <c r="I237" s="73">
        <v>0</v>
      </c>
      <c r="J237" s="101">
        <v>4.24</v>
      </c>
      <c r="K237" s="62">
        <f t="shared" si="10"/>
        <v>4.24</v>
      </c>
      <c r="L237" s="1">
        <f t="shared" si="11"/>
        <v>0</v>
      </c>
    </row>
    <row r="238" spans="1:12" x14ac:dyDescent="0.3">
      <c r="A238" s="30" t="s">
        <v>513</v>
      </c>
      <c r="B238" s="31" t="s">
        <v>514</v>
      </c>
      <c r="C238" s="32" t="s">
        <v>45</v>
      </c>
      <c r="D238" s="24">
        <v>4</v>
      </c>
      <c r="E238" s="24">
        <v>4.24</v>
      </c>
      <c r="F238" s="82">
        <f t="shared" si="9"/>
        <v>16.96</v>
      </c>
      <c r="G238" s="100">
        <v>0</v>
      </c>
      <c r="H238" s="73">
        <v>0</v>
      </c>
      <c r="I238" s="73">
        <v>0</v>
      </c>
      <c r="J238" s="101">
        <v>16.96</v>
      </c>
      <c r="K238" s="62">
        <f t="shared" si="10"/>
        <v>16.96</v>
      </c>
      <c r="L238" s="1">
        <f t="shared" si="11"/>
        <v>0</v>
      </c>
    </row>
    <row r="239" spans="1:12" x14ac:dyDescent="0.3">
      <c r="A239" s="30" t="s">
        <v>515</v>
      </c>
      <c r="B239" s="31" t="s">
        <v>516</v>
      </c>
      <c r="C239" s="32" t="s">
        <v>45</v>
      </c>
      <c r="D239" s="24">
        <v>4</v>
      </c>
      <c r="E239" s="24">
        <v>4.24</v>
      </c>
      <c r="F239" s="82">
        <f t="shared" si="9"/>
        <v>16.96</v>
      </c>
      <c r="G239" s="100">
        <v>0</v>
      </c>
      <c r="H239" s="73">
        <v>0</v>
      </c>
      <c r="I239" s="73">
        <v>0</v>
      </c>
      <c r="J239" s="101">
        <v>16.96</v>
      </c>
      <c r="K239" s="62">
        <f t="shared" si="10"/>
        <v>16.96</v>
      </c>
      <c r="L239" s="1">
        <f t="shared" si="11"/>
        <v>0</v>
      </c>
    </row>
    <row r="240" spans="1:12" x14ac:dyDescent="0.3">
      <c r="A240" s="30" t="s">
        <v>517</v>
      </c>
      <c r="B240" s="31" t="s">
        <v>518</v>
      </c>
      <c r="C240" s="32" t="s">
        <v>45</v>
      </c>
      <c r="D240" s="24">
        <v>2</v>
      </c>
      <c r="E240" s="24">
        <v>4.24</v>
      </c>
      <c r="F240" s="82">
        <f t="shared" si="9"/>
        <v>8.48</v>
      </c>
      <c r="G240" s="100">
        <v>0</v>
      </c>
      <c r="H240" s="73">
        <v>0</v>
      </c>
      <c r="I240" s="73">
        <v>0</v>
      </c>
      <c r="J240" s="101">
        <v>8.48</v>
      </c>
      <c r="K240" s="62">
        <f t="shared" si="10"/>
        <v>8.48</v>
      </c>
      <c r="L240" s="1">
        <f t="shared" si="11"/>
        <v>0</v>
      </c>
    </row>
    <row r="241" spans="1:12" x14ac:dyDescent="0.3">
      <c r="A241" s="30" t="s">
        <v>519</v>
      </c>
      <c r="B241" s="31" t="s">
        <v>520</v>
      </c>
      <c r="C241" s="32" t="s">
        <v>45</v>
      </c>
      <c r="D241" s="24">
        <v>1</v>
      </c>
      <c r="E241" s="24">
        <v>4.24</v>
      </c>
      <c r="F241" s="82">
        <f t="shared" si="9"/>
        <v>4.24</v>
      </c>
      <c r="G241" s="100">
        <v>0</v>
      </c>
      <c r="H241" s="73">
        <v>0</v>
      </c>
      <c r="I241" s="73">
        <v>0</v>
      </c>
      <c r="J241" s="101">
        <v>4.24</v>
      </c>
      <c r="K241" s="62">
        <f t="shared" si="10"/>
        <v>4.24</v>
      </c>
      <c r="L241" s="1">
        <f t="shared" si="11"/>
        <v>0</v>
      </c>
    </row>
    <row r="242" spans="1:12" x14ac:dyDescent="0.3">
      <c r="A242" s="30" t="s">
        <v>521</v>
      </c>
      <c r="B242" s="31" t="s">
        <v>522</v>
      </c>
      <c r="C242" s="32" t="s">
        <v>45</v>
      </c>
      <c r="D242" s="24">
        <v>1</v>
      </c>
      <c r="E242" s="24">
        <v>9.35</v>
      </c>
      <c r="F242" s="82">
        <f t="shared" si="9"/>
        <v>9.35</v>
      </c>
      <c r="G242" s="100">
        <v>0</v>
      </c>
      <c r="H242" s="73">
        <v>0</v>
      </c>
      <c r="I242" s="73">
        <v>0</v>
      </c>
      <c r="J242" s="101">
        <v>9.35</v>
      </c>
      <c r="K242" s="62">
        <f t="shared" si="10"/>
        <v>9.35</v>
      </c>
      <c r="L242" s="1">
        <f t="shared" si="11"/>
        <v>0</v>
      </c>
    </row>
    <row r="243" spans="1:12" x14ac:dyDescent="0.3">
      <c r="A243" s="30" t="s">
        <v>523</v>
      </c>
      <c r="B243" s="31" t="s">
        <v>524</v>
      </c>
      <c r="C243" s="32" t="s">
        <v>45</v>
      </c>
      <c r="D243" s="24">
        <v>5</v>
      </c>
      <c r="E243" s="24">
        <v>9.35</v>
      </c>
      <c r="F243" s="82">
        <f t="shared" si="9"/>
        <v>46.75</v>
      </c>
      <c r="G243" s="100">
        <v>0</v>
      </c>
      <c r="H243" s="73">
        <v>0</v>
      </c>
      <c r="I243" s="73">
        <v>0</v>
      </c>
      <c r="J243" s="101">
        <v>46.75</v>
      </c>
      <c r="K243" s="62">
        <f t="shared" si="10"/>
        <v>46.75</v>
      </c>
      <c r="L243" s="1">
        <f t="shared" si="11"/>
        <v>0</v>
      </c>
    </row>
    <row r="244" spans="1:12" x14ac:dyDescent="0.3">
      <c r="A244" s="30" t="s">
        <v>525</v>
      </c>
      <c r="B244" s="31" t="s">
        <v>526</v>
      </c>
      <c r="C244" s="32" t="s">
        <v>45</v>
      </c>
      <c r="D244" s="24">
        <v>4</v>
      </c>
      <c r="E244" s="24">
        <v>9.35</v>
      </c>
      <c r="F244" s="82">
        <f t="shared" si="9"/>
        <v>37.4</v>
      </c>
      <c r="G244" s="100">
        <v>0</v>
      </c>
      <c r="H244" s="73">
        <v>0</v>
      </c>
      <c r="I244" s="73">
        <v>0</v>
      </c>
      <c r="J244" s="101">
        <v>37.4</v>
      </c>
      <c r="K244" s="62">
        <f t="shared" si="10"/>
        <v>37.4</v>
      </c>
      <c r="L244" s="1">
        <f t="shared" si="11"/>
        <v>0</v>
      </c>
    </row>
    <row r="245" spans="1:12" x14ac:dyDescent="0.3">
      <c r="A245" s="30" t="s">
        <v>527</v>
      </c>
      <c r="B245" s="31" t="s">
        <v>528</v>
      </c>
      <c r="C245" s="32" t="s">
        <v>45</v>
      </c>
      <c r="D245" s="24">
        <v>3</v>
      </c>
      <c r="E245" s="24">
        <v>4.24</v>
      </c>
      <c r="F245" s="82">
        <f t="shared" si="9"/>
        <v>12.72</v>
      </c>
      <c r="G245" s="100">
        <v>0</v>
      </c>
      <c r="H245" s="73">
        <v>0</v>
      </c>
      <c r="I245" s="73">
        <v>0</v>
      </c>
      <c r="J245" s="101">
        <v>12.72</v>
      </c>
      <c r="K245" s="62">
        <f t="shared" si="10"/>
        <v>12.72</v>
      </c>
      <c r="L245" s="1">
        <f t="shared" si="11"/>
        <v>0</v>
      </c>
    </row>
    <row r="246" spans="1:12" x14ac:dyDescent="0.3">
      <c r="A246" s="30" t="s">
        <v>529</v>
      </c>
      <c r="B246" s="31" t="s">
        <v>530</v>
      </c>
      <c r="C246" s="32" t="s">
        <v>45</v>
      </c>
      <c r="D246" s="24">
        <v>1</v>
      </c>
      <c r="E246" s="24">
        <v>4.24</v>
      </c>
      <c r="F246" s="82">
        <f t="shared" si="9"/>
        <v>4.24</v>
      </c>
      <c r="G246" s="100">
        <v>0</v>
      </c>
      <c r="H246" s="73">
        <v>0</v>
      </c>
      <c r="I246" s="73">
        <v>0</v>
      </c>
      <c r="J246" s="101">
        <v>4.24</v>
      </c>
      <c r="K246" s="62">
        <f t="shared" si="10"/>
        <v>4.24</v>
      </c>
      <c r="L246" s="1">
        <f t="shared" si="11"/>
        <v>0</v>
      </c>
    </row>
    <row r="247" spans="1:12" x14ac:dyDescent="0.3">
      <c r="A247" s="30" t="s">
        <v>531</v>
      </c>
      <c r="B247" s="31" t="s">
        <v>532</v>
      </c>
      <c r="C247" s="32" t="s">
        <v>45</v>
      </c>
      <c r="D247" s="24">
        <v>2</v>
      </c>
      <c r="E247" s="24">
        <v>4.24</v>
      </c>
      <c r="F247" s="82">
        <f t="shared" si="9"/>
        <v>8.48</v>
      </c>
      <c r="G247" s="100">
        <v>0</v>
      </c>
      <c r="H247" s="73">
        <v>0</v>
      </c>
      <c r="I247" s="73">
        <v>0</v>
      </c>
      <c r="J247" s="101">
        <v>8.48</v>
      </c>
      <c r="K247" s="62">
        <f t="shared" si="10"/>
        <v>8.48</v>
      </c>
      <c r="L247" s="1">
        <f t="shared" si="11"/>
        <v>0</v>
      </c>
    </row>
    <row r="248" spans="1:12" x14ac:dyDescent="0.3">
      <c r="A248" s="30" t="s">
        <v>533</v>
      </c>
      <c r="B248" s="31" t="s">
        <v>534</v>
      </c>
      <c r="C248" s="32" t="s">
        <v>45</v>
      </c>
      <c r="D248" s="24">
        <v>7</v>
      </c>
      <c r="E248" s="24">
        <v>4.24</v>
      </c>
      <c r="F248" s="82">
        <f t="shared" si="9"/>
        <v>29.68</v>
      </c>
      <c r="G248" s="100">
        <v>0</v>
      </c>
      <c r="H248" s="73">
        <v>0</v>
      </c>
      <c r="I248" s="73">
        <v>0</v>
      </c>
      <c r="J248" s="101">
        <v>29.68</v>
      </c>
      <c r="K248" s="62">
        <f t="shared" si="10"/>
        <v>29.68</v>
      </c>
      <c r="L248" s="1">
        <f t="shared" si="11"/>
        <v>0</v>
      </c>
    </row>
    <row r="249" spans="1:12" x14ac:dyDescent="0.3">
      <c r="A249" s="30" t="s">
        <v>535</v>
      </c>
      <c r="B249" s="31" t="s">
        <v>536</v>
      </c>
      <c r="C249" s="32" t="s">
        <v>45</v>
      </c>
      <c r="D249" s="24">
        <v>1</v>
      </c>
      <c r="E249" s="24">
        <v>4.24</v>
      </c>
      <c r="F249" s="82">
        <f t="shared" si="9"/>
        <v>4.24</v>
      </c>
      <c r="G249" s="100">
        <v>0</v>
      </c>
      <c r="H249" s="73">
        <v>0</v>
      </c>
      <c r="I249" s="73">
        <v>0</v>
      </c>
      <c r="J249" s="101">
        <v>4.24</v>
      </c>
      <c r="K249" s="62">
        <f t="shared" si="10"/>
        <v>4.24</v>
      </c>
      <c r="L249" s="1">
        <f t="shared" si="11"/>
        <v>0</v>
      </c>
    </row>
    <row r="250" spans="1:12" x14ac:dyDescent="0.3">
      <c r="A250" s="30" t="s">
        <v>537</v>
      </c>
      <c r="B250" s="31" t="s">
        <v>538</v>
      </c>
      <c r="C250" s="32" t="s">
        <v>45</v>
      </c>
      <c r="D250" s="24">
        <v>4</v>
      </c>
      <c r="E250" s="24">
        <v>4.24</v>
      </c>
      <c r="F250" s="82">
        <f t="shared" si="9"/>
        <v>16.96</v>
      </c>
      <c r="G250" s="100">
        <v>0</v>
      </c>
      <c r="H250" s="73">
        <v>0</v>
      </c>
      <c r="I250" s="73">
        <v>0</v>
      </c>
      <c r="J250" s="101">
        <v>16.96</v>
      </c>
      <c r="K250" s="62">
        <f t="shared" si="10"/>
        <v>16.96</v>
      </c>
      <c r="L250" s="1">
        <f t="shared" si="11"/>
        <v>0</v>
      </c>
    </row>
    <row r="251" spans="1:12" x14ac:dyDescent="0.3">
      <c r="A251" s="30" t="s">
        <v>539</v>
      </c>
      <c r="B251" s="31" t="s">
        <v>540</v>
      </c>
      <c r="C251" s="32" t="s">
        <v>45</v>
      </c>
      <c r="D251" s="24">
        <v>2</v>
      </c>
      <c r="E251" s="24">
        <v>4.24</v>
      </c>
      <c r="F251" s="82">
        <f t="shared" si="9"/>
        <v>8.48</v>
      </c>
      <c r="G251" s="100">
        <v>0</v>
      </c>
      <c r="H251" s="73">
        <v>0</v>
      </c>
      <c r="I251" s="73">
        <v>0</v>
      </c>
      <c r="J251" s="101">
        <v>8.48</v>
      </c>
      <c r="K251" s="62">
        <f t="shared" si="10"/>
        <v>8.48</v>
      </c>
      <c r="L251" s="1">
        <f t="shared" si="11"/>
        <v>0</v>
      </c>
    </row>
    <row r="252" spans="1:12" x14ac:dyDescent="0.3">
      <c r="A252" s="30" t="s">
        <v>541</v>
      </c>
      <c r="B252" s="31" t="s">
        <v>542</v>
      </c>
      <c r="C252" s="32" t="s">
        <v>45</v>
      </c>
      <c r="D252" s="24">
        <v>3</v>
      </c>
      <c r="E252" s="24">
        <v>4.24</v>
      </c>
      <c r="F252" s="82">
        <f t="shared" si="9"/>
        <v>12.72</v>
      </c>
      <c r="G252" s="100">
        <v>0</v>
      </c>
      <c r="H252" s="73">
        <v>0</v>
      </c>
      <c r="I252" s="73">
        <v>0</v>
      </c>
      <c r="J252" s="101">
        <v>12.72</v>
      </c>
      <c r="K252" s="62">
        <f t="shared" si="10"/>
        <v>12.72</v>
      </c>
      <c r="L252" s="1">
        <f t="shared" si="11"/>
        <v>0</v>
      </c>
    </row>
    <row r="253" spans="1:12" x14ac:dyDescent="0.3">
      <c r="A253" s="30" t="s">
        <v>543</v>
      </c>
      <c r="B253" s="31" t="s">
        <v>544</v>
      </c>
      <c r="C253" s="32" t="s">
        <v>45</v>
      </c>
      <c r="D253" s="24">
        <v>3</v>
      </c>
      <c r="E253" s="24">
        <v>4.24</v>
      </c>
      <c r="F253" s="82">
        <f t="shared" si="9"/>
        <v>12.72</v>
      </c>
      <c r="G253" s="100">
        <v>0</v>
      </c>
      <c r="H253" s="73">
        <v>0</v>
      </c>
      <c r="I253" s="73">
        <v>0</v>
      </c>
      <c r="J253" s="101">
        <v>12.72</v>
      </c>
      <c r="K253" s="62">
        <f t="shared" si="10"/>
        <v>12.72</v>
      </c>
      <c r="L253" s="1">
        <f t="shared" si="11"/>
        <v>0</v>
      </c>
    </row>
    <row r="254" spans="1:12" x14ac:dyDescent="0.3">
      <c r="A254" s="30" t="s">
        <v>545</v>
      </c>
      <c r="B254" s="31" t="s">
        <v>546</v>
      </c>
      <c r="C254" s="32" t="s">
        <v>45</v>
      </c>
      <c r="D254" s="24">
        <v>5</v>
      </c>
      <c r="E254" s="24">
        <v>29.16</v>
      </c>
      <c r="F254" s="82">
        <f t="shared" si="9"/>
        <v>145.80000000000001</v>
      </c>
      <c r="G254" s="100">
        <v>0</v>
      </c>
      <c r="H254" s="73">
        <v>62.49</v>
      </c>
      <c r="I254" s="73">
        <v>83.31</v>
      </c>
      <c r="J254" s="101">
        <v>0</v>
      </c>
      <c r="K254" s="62">
        <f t="shared" si="10"/>
        <v>145.80000000000001</v>
      </c>
      <c r="L254" s="1">
        <f t="shared" si="11"/>
        <v>0</v>
      </c>
    </row>
    <row r="255" spans="1:12" x14ac:dyDescent="0.3">
      <c r="A255" s="30" t="s">
        <v>547</v>
      </c>
      <c r="B255" s="31" t="s">
        <v>548</v>
      </c>
      <c r="C255" s="32" t="s">
        <v>45</v>
      </c>
      <c r="D255" s="24">
        <v>1</v>
      </c>
      <c r="E255" s="24">
        <v>44</v>
      </c>
      <c r="F255" s="82">
        <f t="shared" si="9"/>
        <v>44</v>
      </c>
      <c r="G255" s="100">
        <v>0</v>
      </c>
      <c r="H255" s="73">
        <v>0</v>
      </c>
      <c r="I255" s="73">
        <v>0</v>
      </c>
      <c r="J255" s="101">
        <v>44</v>
      </c>
      <c r="K255" s="62">
        <f t="shared" si="10"/>
        <v>44</v>
      </c>
      <c r="L255" s="1">
        <f t="shared" si="11"/>
        <v>0</v>
      </c>
    </row>
    <row r="256" spans="1:12" x14ac:dyDescent="0.3">
      <c r="A256" s="30" t="s">
        <v>549</v>
      </c>
      <c r="B256" s="31" t="s">
        <v>550</v>
      </c>
      <c r="C256" s="32" t="s">
        <v>45</v>
      </c>
      <c r="D256" s="24">
        <v>1</v>
      </c>
      <c r="E256" s="24">
        <v>2936.64</v>
      </c>
      <c r="F256" s="82">
        <f t="shared" si="9"/>
        <v>2936.64</v>
      </c>
      <c r="G256" s="100">
        <v>0</v>
      </c>
      <c r="H256" s="73">
        <v>0</v>
      </c>
      <c r="I256" s="73">
        <v>0</v>
      </c>
      <c r="J256" s="101">
        <v>2936.64</v>
      </c>
      <c r="K256" s="62">
        <f t="shared" si="10"/>
        <v>2936.64</v>
      </c>
      <c r="L256" s="1">
        <f t="shared" si="11"/>
        <v>0</v>
      </c>
    </row>
    <row r="257" spans="1:12" x14ac:dyDescent="0.3">
      <c r="A257" s="30" t="s">
        <v>551</v>
      </c>
      <c r="B257" s="31" t="s">
        <v>552</v>
      </c>
      <c r="C257" s="32" t="s">
        <v>45</v>
      </c>
      <c r="D257" s="24">
        <v>1</v>
      </c>
      <c r="E257" s="24">
        <v>2852.74</v>
      </c>
      <c r="F257" s="82">
        <f t="shared" si="9"/>
        <v>2852.74</v>
      </c>
      <c r="G257" s="100">
        <v>0</v>
      </c>
      <c r="H257" s="73">
        <v>0</v>
      </c>
      <c r="I257" s="73">
        <v>0</v>
      </c>
      <c r="J257" s="101">
        <v>2852.74</v>
      </c>
      <c r="K257" s="62">
        <f t="shared" si="10"/>
        <v>2852.74</v>
      </c>
      <c r="L257" s="1">
        <f t="shared" si="11"/>
        <v>0</v>
      </c>
    </row>
    <row r="258" spans="1:12" x14ac:dyDescent="0.3">
      <c r="A258" s="30" t="s">
        <v>553</v>
      </c>
      <c r="B258" s="31" t="s">
        <v>554</v>
      </c>
      <c r="C258" s="32" t="s">
        <v>45</v>
      </c>
      <c r="D258" s="24">
        <v>1</v>
      </c>
      <c r="E258" s="24">
        <v>1090.75</v>
      </c>
      <c r="F258" s="82">
        <f t="shared" si="9"/>
        <v>1090.75</v>
      </c>
      <c r="G258" s="100">
        <v>0</v>
      </c>
      <c r="H258" s="73">
        <v>0</v>
      </c>
      <c r="I258" s="73">
        <v>0</v>
      </c>
      <c r="J258" s="101">
        <v>1090.75</v>
      </c>
      <c r="K258" s="62">
        <f t="shared" si="10"/>
        <v>1090.75</v>
      </c>
      <c r="L258" s="1">
        <f t="shared" si="11"/>
        <v>0</v>
      </c>
    </row>
    <row r="259" spans="1:12" x14ac:dyDescent="0.3">
      <c r="A259" s="30" t="s">
        <v>555</v>
      </c>
      <c r="B259" s="31" t="s">
        <v>556</v>
      </c>
      <c r="C259" s="32" t="s">
        <v>45</v>
      </c>
      <c r="D259" s="24">
        <v>1</v>
      </c>
      <c r="E259" s="24">
        <v>2768.83</v>
      </c>
      <c r="F259" s="82">
        <f t="shared" si="9"/>
        <v>2768.83</v>
      </c>
      <c r="G259" s="100">
        <v>0</v>
      </c>
      <c r="H259" s="73">
        <v>0</v>
      </c>
      <c r="I259" s="73">
        <v>0</v>
      </c>
      <c r="J259" s="101">
        <v>2768.83</v>
      </c>
      <c r="K259" s="62">
        <f t="shared" si="10"/>
        <v>2768.83</v>
      </c>
      <c r="L259" s="1">
        <f t="shared" si="11"/>
        <v>0</v>
      </c>
    </row>
    <row r="260" spans="1:12" x14ac:dyDescent="0.3">
      <c r="A260" s="30" t="s">
        <v>557</v>
      </c>
      <c r="B260" s="31" t="s">
        <v>558</v>
      </c>
      <c r="C260" s="32" t="s">
        <v>45</v>
      </c>
      <c r="D260" s="24">
        <v>1</v>
      </c>
      <c r="E260" s="24">
        <v>4027.39</v>
      </c>
      <c r="F260" s="82">
        <f t="shared" si="9"/>
        <v>4027.39</v>
      </c>
      <c r="G260" s="100">
        <v>0</v>
      </c>
      <c r="H260" s="73">
        <v>0</v>
      </c>
      <c r="I260" s="73">
        <v>0</v>
      </c>
      <c r="J260" s="101">
        <v>4027.39</v>
      </c>
      <c r="K260" s="62">
        <f t="shared" si="10"/>
        <v>4027.39</v>
      </c>
      <c r="L260" s="1">
        <f t="shared" si="11"/>
        <v>0</v>
      </c>
    </row>
    <row r="261" spans="1:12" x14ac:dyDescent="0.3">
      <c r="A261" s="30" t="s">
        <v>559</v>
      </c>
      <c r="B261" s="31" t="s">
        <v>560</v>
      </c>
      <c r="C261" s="32" t="s">
        <v>45</v>
      </c>
      <c r="D261" s="24">
        <v>1</v>
      </c>
      <c r="E261" s="24">
        <v>1006.85</v>
      </c>
      <c r="F261" s="82">
        <f t="shared" si="9"/>
        <v>1006.85</v>
      </c>
      <c r="G261" s="100">
        <v>0</v>
      </c>
      <c r="H261" s="73">
        <v>0</v>
      </c>
      <c r="I261" s="73">
        <v>0</v>
      </c>
      <c r="J261" s="101">
        <v>1006.85</v>
      </c>
      <c r="K261" s="62">
        <f t="shared" si="10"/>
        <v>1006.85</v>
      </c>
      <c r="L261" s="1">
        <f t="shared" si="11"/>
        <v>0</v>
      </c>
    </row>
    <row r="262" spans="1:12" x14ac:dyDescent="0.3">
      <c r="A262" s="30" t="s">
        <v>561</v>
      </c>
      <c r="B262" s="31" t="s">
        <v>562</v>
      </c>
      <c r="C262" s="32" t="s">
        <v>45</v>
      </c>
      <c r="D262" s="24">
        <v>2</v>
      </c>
      <c r="E262" s="24">
        <v>545.38</v>
      </c>
      <c r="F262" s="82">
        <f t="shared" si="9"/>
        <v>1090.76</v>
      </c>
      <c r="G262" s="100">
        <v>0</v>
      </c>
      <c r="H262" s="73">
        <v>0</v>
      </c>
      <c r="I262" s="73">
        <v>0</v>
      </c>
      <c r="J262" s="101">
        <v>1090.76</v>
      </c>
      <c r="K262" s="62">
        <f t="shared" si="10"/>
        <v>1090.76</v>
      </c>
      <c r="L262" s="1">
        <f t="shared" si="11"/>
        <v>0</v>
      </c>
    </row>
    <row r="263" spans="1:12" x14ac:dyDescent="0.3">
      <c r="A263" s="30" t="s">
        <v>563</v>
      </c>
      <c r="B263" s="31" t="s">
        <v>564</v>
      </c>
      <c r="C263" s="32" t="s">
        <v>45</v>
      </c>
      <c r="D263" s="24">
        <v>1</v>
      </c>
      <c r="E263" s="24">
        <v>1887.84</v>
      </c>
      <c r="F263" s="82">
        <f t="shared" si="9"/>
        <v>1887.84</v>
      </c>
      <c r="G263" s="100">
        <v>0</v>
      </c>
      <c r="H263" s="73">
        <v>0</v>
      </c>
      <c r="I263" s="73">
        <v>0</v>
      </c>
      <c r="J263" s="101">
        <v>1887.84</v>
      </c>
      <c r="K263" s="62">
        <f t="shared" si="10"/>
        <v>1887.84</v>
      </c>
      <c r="L263" s="1">
        <f t="shared" si="11"/>
        <v>0</v>
      </c>
    </row>
    <row r="264" spans="1:12" x14ac:dyDescent="0.3">
      <c r="A264" s="30" t="s">
        <v>565</v>
      </c>
      <c r="B264" s="31" t="s">
        <v>566</v>
      </c>
      <c r="C264" s="32" t="s">
        <v>45</v>
      </c>
      <c r="D264" s="24">
        <v>1</v>
      </c>
      <c r="E264" s="24">
        <v>1975.24</v>
      </c>
      <c r="F264" s="82">
        <f t="shared" si="9"/>
        <v>1975.24</v>
      </c>
      <c r="G264" s="100">
        <v>0</v>
      </c>
      <c r="H264" s="73">
        <v>0</v>
      </c>
      <c r="I264" s="73">
        <v>0</v>
      </c>
      <c r="J264" s="101">
        <v>1975.24</v>
      </c>
      <c r="K264" s="62">
        <f t="shared" si="10"/>
        <v>1975.24</v>
      </c>
      <c r="L264" s="1">
        <f t="shared" si="11"/>
        <v>0</v>
      </c>
    </row>
    <row r="265" spans="1:12" x14ac:dyDescent="0.3">
      <c r="A265" s="30" t="s">
        <v>567</v>
      </c>
      <c r="B265" s="31" t="s">
        <v>568</v>
      </c>
      <c r="C265" s="32" t="s">
        <v>45</v>
      </c>
      <c r="D265" s="24">
        <v>8</v>
      </c>
      <c r="E265" s="24">
        <v>340.86</v>
      </c>
      <c r="F265" s="82">
        <f t="shared" si="9"/>
        <v>2726.88</v>
      </c>
      <c r="G265" s="100">
        <v>0</v>
      </c>
      <c r="H265" s="73">
        <v>0</v>
      </c>
      <c r="I265" s="73">
        <v>0</v>
      </c>
      <c r="J265" s="101">
        <v>2726.88</v>
      </c>
      <c r="K265" s="62">
        <f t="shared" si="10"/>
        <v>2726.88</v>
      </c>
      <c r="L265" s="1">
        <f t="shared" si="11"/>
        <v>0</v>
      </c>
    </row>
    <row r="266" spans="1:12" x14ac:dyDescent="0.3">
      <c r="A266" s="30" t="s">
        <v>569</v>
      </c>
      <c r="B266" s="31" t="s">
        <v>570</v>
      </c>
      <c r="C266" s="32" t="s">
        <v>45</v>
      </c>
      <c r="D266" s="24">
        <v>1</v>
      </c>
      <c r="E266" s="24">
        <v>31071.96</v>
      </c>
      <c r="F266" s="82">
        <f t="shared" si="9"/>
        <v>31071.96</v>
      </c>
      <c r="G266" s="100">
        <v>0</v>
      </c>
      <c r="H266" s="73">
        <v>0</v>
      </c>
      <c r="I266" s="73">
        <v>0</v>
      </c>
      <c r="J266" s="101">
        <v>31071.96</v>
      </c>
      <c r="K266" s="62">
        <f t="shared" si="10"/>
        <v>31071.96</v>
      </c>
      <c r="L266" s="1">
        <f t="shared" si="11"/>
        <v>0</v>
      </c>
    </row>
    <row r="267" spans="1:12" x14ac:dyDescent="0.3">
      <c r="A267" s="30" t="s">
        <v>571</v>
      </c>
      <c r="B267" s="31" t="s">
        <v>572</v>
      </c>
      <c r="C267" s="32" t="s">
        <v>484</v>
      </c>
      <c r="D267" s="24">
        <v>12</v>
      </c>
      <c r="E267" s="24">
        <v>16.72</v>
      </c>
      <c r="F267" s="82">
        <f t="shared" si="9"/>
        <v>200.64</v>
      </c>
      <c r="G267" s="100">
        <v>0</v>
      </c>
      <c r="H267" s="73">
        <v>200.64</v>
      </c>
      <c r="I267" s="73">
        <v>0</v>
      </c>
      <c r="J267" s="101">
        <v>0</v>
      </c>
      <c r="K267" s="62">
        <f t="shared" si="10"/>
        <v>200.64</v>
      </c>
      <c r="L267" s="1">
        <f t="shared" si="11"/>
        <v>0</v>
      </c>
    </row>
    <row r="268" spans="1:12" x14ac:dyDescent="0.3">
      <c r="A268" s="30" t="s">
        <v>573</v>
      </c>
      <c r="B268" s="31" t="s">
        <v>574</v>
      </c>
      <c r="C268" s="32" t="s">
        <v>366</v>
      </c>
      <c r="D268" s="24">
        <v>6.4</v>
      </c>
      <c r="E268" s="24">
        <v>106.79</v>
      </c>
      <c r="F268" s="82">
        <f t="shared" ref="F268:F331" si="12">+ROUND(D268*E268,2)</f>
        <v>683.46</v>
      </c>
      <c r="G268" s="100">
        <v>0</v>
      </c>
      <c r="H268" s="73">
        <v>0</v>
      </c>
      <c r="I268" s="73">
        <v>683.46</v>
      </c>
      <c r="J268" s="101">
        <v>0</v>
      </c>
      <c r="K268" s="62">
        <f t="shared" ref="K268:K331" si="13">SUM(G268:J268)</f>
        <v>683.46</v>
      </c>
      <c r="L268" s="1">
        <f t="shared" ref="L268:L331" si="14">+F268-K268</f>
        <v>0</v>
      </c>
    </row>
    <row r="269" spans="1:12" x14ac:dyDescent="0.3">
      <c r="A269" s="30" t="s">
        <v>575</v>
      </c>
      <c r="B269" s="31" t="s">
        <v>576</v>
      </c>
      <c r="C269" s="32" t="s">
        <v>32</v>
      </c>
      <c r="D269" s="24">
        <v>1</v>
      </c>
      <c r="E269" s="24">
        <v>2280</v>
      </c>
      <c r="F269" s="82">
        <f t="shared" si="12"/>
        <v>2280</v>
      </c>
      <c r="G269" s="100">
        <v>2280</v>
      </c>
      <c r="H269" s="73">
        <v>0</v>
      </c>
      <c r="I269" s="73">
        <v>0</v>
      </c>
      <c r="J269" s="101">
        <v>0</v>
      </c>
      <c r="K269" s="62">
        <f t="shared" si="13"/>
        <v>2280</v>
      </c>
      <c r="L269" s="1">
        <f t="shared" si="14"/>
        <v>0</v>
      </c>
    </row>
    <row r="270" spans="1:12" x14ac:dyDescent="0.3">
      <c r="A270" s="30" t="s">
        <v>577</v>
      </c>
      <c r="B270" s="31" t="s">
        <v>578</v>
      </c>
      <c r="C270" s="32" t="s">
        <v>45</v>
      </c>
      <c r="D270" s="24">
        <v>38</v>
      </c>
      <c r="E270" s="24">
        <v>15.17</v>
      </c>
      <c r="F270" s="82">
        <f t="shared" si="12"/>
        <v>576.46</v>
      </c>
      <c r="G270" s="100">
        <v>150.16999999999999</v>
      </c>
      <c r="H270" s="73">
        <v>145.33000000000001</v>
      </c>
      <c r="I270" s="73">
        <v>150.16999999999999</v>
      </c>
      <c r="J270" s="101">
        <v>130.79</v>
      </c>
      <c r="K270" s="62">
        <f t="shared" si="13"/>
        <v>576.45999999999992</v>
      </c>
      <c r="L270" s="1">
        <f t="shared" si="14"/>
        <v>0</v>
      </c>
    </row>
    <row r="271" spans="1:12" x14ac:dyDescent="0.3">
      <c r="A271" s="30" t="s">
        <v>579</v>
      </c>
      <c r="B271" s="31" t="s">
        <v>580</v>
      </c>
      <c r="C271" s="32" t="s">
        <v>45</v>
      </c>
      <c r="D271" s="24">
        <v>78</v>
      </c>
      <c r="E271" s="24">
        <v>25.98</v>
      </c>
      <c r="F271" s="82">
        <f t="shared" si="12"/>
        <v>2026.44</v>
      </c>
      <c r="G271" s="100">
        <v>527.9</v>
      </c>
      <c r="H271" s="73">
        <v>510.87</v>
      </c>
      <c r="I271" s="73">
        <v>527.9</v>
      </c>
      <c r="J271" s="101">
        <v>459.77</v>
      </c>
      <c r="K271" s="62">
        <f t="shared" si="13"/>
        <v>2026.44</v>
      </c>
      <c r="L271" s="1">
        <f t="shared" si="14"/>
        <v>0</v>
      </c>
    </row>
    <row r="272" spans="1:12" x14ac:dyDescent="0.3">
      <c r="A272" s="30" t="s">
        <v>581</v>
      </c>
      <c r="B272" s="31" t="s">
        <v>582</v>
      </c>
      <c r="C272" s="32" t="s">
        <v>583</v>
      </c>
      <c r="D272" s="24">
        <v>28</v>
      </c>
      <c r="E272" s="24">
        <v>8.51</v>
      </c>
      <c r="F272" s="82">
        <f t="shared" si="12"/>
        <v>238.28</v>
      </c>
      <c r="G272" s="100">
        <v>62.07</v>
      </c>
      <c r="H272" s="73">
        <v>60.07</v>
      </c>
      <c r="I272" s="73">
        <v>62.07</v>
      </c>
      <c r="J272" s="101">
        <v>54.07</v>
      </c>
      <c r="K272" s="62">
        <f t="shared" si="13"/>
        <v>238.28</v>
      </c>
      <c r="L272" s="1">
        <f t="shared" si="14"/>
        <v>0</v>
      </c>
    </row>
    <row r="273" spans="1:12" x14ac:dyDescent="0.3">
      <c r="A273" s="30" t="s">
        <v>584</v>
      </c>
      <c r="B273" s="31" t="s">
        <v>585</v>
      </c>
      <c r="C273" s="32" t="s">
        <v>93</v>
      </c>
      <c r="D273" s="24">
        <v>33.64</v>
      </c>
      <c r="E273" s="24">
        <v>51.32</v>
      </c>
      <c r="F273" s="82">
        <f t="shared" si="12"/>
        <v>1726.4</v>
      </c>
      <c r="G273" s="100">
        <v>466.62</v>
      </c>
      <c r="H273" s="73">
        <v>1098.56</v>
      </c>
      <c r="I273" s="73">
        <v>161.22</v>
      </c>
      <c r="J273" s="101">
        <v>0</v>
      </c>
      <c r="K273" s="62">
        <f t="shared" si="13"/>
        <v>1726.3999999999999</v>
      </c>
      <c r="L273" s="1">
        <f t="shared" si="14"/>
        <v>0</v>
      </c>
    </row>
    <row r="274" spans="1:12" x14ac:dyDescent="0.3">
      <c r="A274" s="30" t="s">
        <v>586</v>
      </c>
      <c r="B274" s="31" t="s">
        <v>587</v>
      </c>
      <c r="C274" s="32" t="s">
        <v>32</v>
      </c>
      <c r="D274" s="24">
        <v>1</v>
      </c>
      <c r="E274" s="24">
        <v>2350.85</v>
      </c>
      <c r="F274" s="82">
        <f t="shared" si="12"/>
        <v>2350.85</v>
      </c>
      <c r="G274" s="100">
        <v>2350.85</v>
      </c>
      <c r="H274" s="73">
        <v>0</v>
      </c>
      <c r="I274" s="73">
        <v>0</v>
      </c>
      <c r="J274" s="101">
        <v>0</v>
      </c>
      <c r="K274" s="62">
        <f t="shared" si="13"/>
        <v>2350.85</v>
      </c>
      <c r="L274" s="1">
        <f t="shared" si="14"/>
        <v>0</v>
      </c>
    </row>
    <row r="275" spans="1:12" x14ac:dyDescent="0.3">
      <c r="A275" s="30" t="s">
        <v>588</v>
      </c>
      <c r="B275" s="31" t="s">
        <v>589</v>
      </c>
      <c r="C275" s="32" t="s">
        <v>590</v>
      </c>
      <c r="D275" s="24">
        <v>0.2</v>
      </c>
      <c r="E275" s="24">
        <v>3.31</v>
      </c>
      <c r="F275" s="82">
        <f t="shared" si="12"/>
        <v>0.66</v>
      </c>
      <c r="G275" s="100">
        <v>0</v>
      </c>
      <c r="H275" s="73">
        <v>0</v>
      </c>
      <c r="I275" s="73">
        <v>0</v>
      </c>
      <c r="J275" s="101">
        <v>0.66</v>
      </c>
      <c r="K275" s="62">
        <f t="shared" si="13"/>
        <v>0.66</v>
      </c>
      <c r="L275" s="1">
        <f t="shared" si="14"/>
        <v>0</v>
      </c>
    </row>
    <row r="276" spans="1:12" x14ac:dyDescent="0.3">
      <c r="A276" s="30" t="s">
        <v>591</v>
      </c>
      <c r="B276" s="31" t="s">
        <v>592</v>
      </c>
      <c r="C276" s="32" t="s">
        <v>51</v>
      </c>
      <c r="D276" s="33">
        <v>4.0000000000000001E-3</v>
      </c>
      <c r="E276" s="24">
        <v>34.5</v>
      </c>
      <c r="F276" s="82">
        <f t="shared" si="12"/>
        <v>0.14000000000000001</v>
      </c>
      <c r="G276" s="100">
        <v>0</v>
      </c>
      <c r="H276" s="73">
        <v>0</v>
      </c>
      <c r="I276" s="73">
        <v>0</v>
      </c>
      <c r="J276" s="101">
        <v>0.14000000000000001</v>
      </c>
      <c r="K276" s="62">
        <f t="shared" si="13"/>
        <v>0.14000000000000001</v>
      </c>
      <c r="L276" s="1">
        <f t="shared" si="14"/>
        <v>0</v>
      </c>
    </row>
    <row r="277" spans="1:12" x14ac:dyDescent="0.3">
      <c r="A277" s="30" t="s">
        <v>593</v>
      </c>
      <c r="B277" s="31" t="s">
        <v>594</v>
      </c>
      <c r="C277" s="32" t="s">
        <v>45</v>
      </c>
      <c r="D277" s="24">
        <v>4.2</v>
      </c>
      <c r="E277" s="24">
        <v>26</v>
      </c>
      <c r="F277" s="82">
        <f t="shared" si="12"/>
        <v>109.2</v>
      </c>
      <c r="G277" s="100">
        <v>0</v>
      </c>
      <c r="H277" s="73">
        <v>109.2</v>
      </c>
      <c r="I277" s="73">
        <v>0</v>
      </c>
      <c r="J277" s="101">
        <v>0</v>
      </c>
      <c r="K277" s="62">
        <f t="shared" si="13"/>
        <v>109.2</v>
      </c>
      <c r="L277" s="1">
        <f t="shared" si="14"/>
        <v>0</v>
      </c>
    </row>
    <row r="278" spans="1:12" x14ac:dyDescent="0.3">
      <c r="A278" s="30" t="s">
        <v>595</v>
      </c>
      <c r="B278" s="31" t="s">
        <v>596</v>
      </c>
      <c r="C278" s="32" t="s">
        <v>597</v>
      </c>
      <c r="D278" s="24">
        <v>84.94</v>
      </c>
      <c r="E278" s="24">
        <v>2.0299999999999998</v>
      </c>
      <c r="F278" s="82">
        <f t="shared" si="12"/>
        <v>172.43</v>
      </c>
      <c r="G278" s="100">
        <v>0</v>
      </c>
      <c r="H278" s="73">
        <v>149.80000000000001</v>
      </c>
      <c r="I278" s="73">
        <v>0</v>
      </c>
      <c r="J278" s="101">
        <v>22.63</v>
      </c>
      <c r="K278" s="62">
        <f t="shared" si="13"/>
        <v>172.43</v>
      </c>
      <c r="L278" s="1">
        <f t="shared" si="14"/>
        <v>0</v>
      </c>
    </row>
    <row r="279" spans="1:12" x14ac:dyDescent="0.3">
      <c r="A279" s="30" t="s">
        <v>598</v>
      </c>
      <c r="B279" s="31" t="s">
        <v>599</v>
      </c>
      <c r="C279" s="32" t="s">
        <v>326</v>
      </c>
      <c r="D279" s="24">
        <v>3</v>
      </c>
      <c r="E279" s="24">
        <v>17.71</v>
      </c>
      <c r="F279" s="82">
        <f t="shared" si="12"/>
        <v>53.13</v>
      </c>
      <c r="G279" s="100">
        <v>0</v>
      </c>
      <c r="H279" s="73">
        <v>0</v>
      </c>
      <c r="I279" s="73">
        <v>53.13</v>
      </c>
      <c r="J279" s="101">
        <v>0</v>
      </c>
      <c r="K279" s="62">
        <f t="shared" si="13"/>
        <v>53.13</v>
      </c>
      <c r="L279" s="1">
        <f t="shared" si="14"/>
        <v>0</v>
      </c>
    </row>
    <row r="280" spans="1:12" x14ac:dyDescent="0.3">
      <c r="A280" s="30" t="s">
        <v>600</v>
      </c>
      <c r="B280" s="31" t="s">
        <v>601</v>
      </c>
      <c r="C280" s="32" t="s">
        <v>123</v>
      </c>
      <c r="D280" s="24">
        <v>3</v>
      </c>
      <c r="E280" s="24">
        <v>156</v>
      </c>
      <c r="F280" s="82">
        <f t="shared" si="12"/>
        <v>468</v>
      </c>
      <c r="G280" s="100">
        <v>0</v>
      </c>
      <c r="H280" s="73">
        <v>0</v>
      </c>
      <c r="I280" s="73">
        <v>0</v>
      </c>
      <c r="J280" s="101">
        <v>468</v>
      </c>
      <c r="K280" s="62">
        <f t="shared" si="13"/>
        <v>468</v>
      </c>
      <c r="L280" s="1">
        <f t="shared" si="14"/>
        <v>0</v>
      </c>
    </row>
    <row r="281" spans="1:12" x14ac:dyDescent="0.3">
      <c r="A281" s="30" t="s">
        <v>602</v>
      </c>
      <c r="B281" s="31" t="s">
        <v>603</v>
      </c>
      <c r="C281" s="32" t="s">
        <v>45</v>
      </c>
      <c r="D281" s="24">
        <v>9</v>
      </c>
      <c r="E281" s="24">
        <v>14.7</v>
      </c>
      <c r="F281" s="82">
        <f t="shared" si="12"/>
        <v>132.30000000000001</v>
      </c>
      <c r="G281" s="100">
        <v>0</v>
      </c>
      <c r="H281" s="73">
        <v>132.30000000000001</v>
      </c>
      <c r="I281" s="73">
        <v>0</v>
      </c>
      <c r="J281" s="101">
        <v>0</v>
      </c>
      <c r="K281" s="62">
        <f t="shared" si="13"/>
        <v>132.30000000000001</v>
      </c>
      <c r="L281" s="1">
        <f t="shared" si="14"/>
        <v>0</v>
      </c>
    </row>
    <row r="282" spans="1:12" x14ac:dyDescent="0.3">
      <c r="A282" s="30" t="s">
        <v>604</v>
      </c>
      <c r="B282" s="31" t="s">
        <v>605</v>
      </c>
      <c r="C282" s="32" t="s">
        <v>45</v>
      </c>
      <c r="D282" s="24">
        <v>14</v>
      </c>
      <c r="E282" s="24">
        <v>14.08</v>
      </c>
      <c r="F282" s="82">
        <f t="shared" si="12"/>
        <v>197.12</v>
      </c>
      <c r="G282" s="100">
        <v>0</v>
      </c>
      <c r="H282" s="73">
        <v>0</v>
      </c>
      <c r="I282" s="73">
        <v>197.12</v>
      </c>
      <c r="J282" s="101">
        <v>0</v>
      </c>
      <c r="K282" s="62">
        <f t="shared" si="13"/>
        <v>197.12</v>
      </c>
      <c r="L282" s="1">
        <f t="shared" si="14"/>
        <v>0</v>
      </c>
    </row>
    <row r="283" spans="1:12" x14ac:dyDescent="0.3">
      <c r="A283" s="30" t="s">
        <v>606</v>
      </c>
      <c r="B283" s="31" t="s">
        <v>607</v>
      </c>
      <c r="C283" s="32" t="s">
        <v>45</v>
      </c>
      <c r="D283" s="24">
        <v>2</v>
      </c>
      <c r="E283" s="24">
        <v>18.649999999999999</v>
      </c>
      <c r="F283" s="82">
        <f t="shared" si="12"/>
        <v>37.299999999999997</v>
      </c>
      <c r="G283" s="100">
        <v>0</v>
      </c>
      <c r="H283" s="73">
        <v>0</v>
      </c>
      <c r="I283" s="73">
        <v>37.299999999999997</v>
      </c>
      <c r="J283" s="101">
        <v>0</v>
      </c>
      <c r="K283" s="62">
        <f t="shared" si="13"/>
        <v>37.299999999999997</v>
      </c>
      <c r="L283" s="1">
        <f t="shared" si="14"/>
        <v>0</v>
      </c>
    </row>
    <row r="284" spans="1:12" x14ac:dyDescent="0.3">
      <c r="A284" s="30" t="s">
        <v>608</v>
      </c>
      <c r="B284" s="31" t="s">
        <v>609</v>
      </c>
      <c r="C284" s="32" t="s">
        <v>45</v>
      </c>
      <c r="D284" s="24">
        <v>3</v>
      </c>
      <c r="E284" s="24">
        <v>37.29</v>
      </c>
      <c r="F284" s="82">
        <f t="shared" si="12"/>
        <v>111.87</v>
      </c>
      <c r="G284" s="100">
        <v>0</v>
      </c>
      <c r="H284" s="73">
        <v>0</v>
      </c>
      <c r="I284" s="73">
        <v>111.87</v>
      </c>
      <c r="J284" s="101">
        <v>0</v>
      </c>
      <c r="K284" s="62">
        <f t="shared" si="13"/>
        <v>111.87</v>
      </c>
      <c r="L284" s="1">
        <f t="shared" si="14"/>
        <v>0</v>
      </c>
    </row>
    <row r="285" spans="1:12" x14ac:dyDescent="0.3">
      <c r="A285" s="30" t="s">
        <v>610</v>
      </c>
      <c r="B285" s="31" t="s">
        <v>611</v>
      </c>
      <c r="C285" s="32" t="s">
        <v>128</v>
      </c>
      <c r="D285" s="24">
        <v>7.5</v>
      </c>
      <c r="E285" s="24">
        <v>24.31</v>
      </c>
      <c r="F285" s="82">
        <f t="shared" si="12"/>
        <v>182.33</v>
      </c>
      <c r="G285" s="100">
        <v>0</v>
      </c>
      <c r="H285" s="73">
        <v>182.33</v>
      </c>
      <c r="I285" s="73">
        <v>0</v>
      </c>
      <c r="J285" s="101">
        <v>0</v>
      </c>
      <c r="K285" s="62">
        <f t="shared" si="13"/>
        <v>182.33</v>
      </c>
      <c r="L285" s="1">
        <f t="shared" si="14"/>
        <v>0</v>
      </c>
    </row>
    <row r="286" spans="1:12" x14ac:dyDescent="0.3">
      <c r="A286" s="30" t="s">
        <v>612</v>
      </c>
      <c r="B286" s="31" t="s">
        <v>613</v>
      </c>
      <c r="C286" s="32" t="s">
        <v>128</v>
      </c>
      <c r="D286" s="24">
        <v>9.35</v>
      </c>
      <c r="E286" s="24">
        <v>27.94</v>
      </c>
      <c r="F286" s="82">
        <f t="shared" si="12"/>
        <v>261.24</v>
      </c>
      <c r="G286" s="100">
        <v>0</v>
      </c>
      <c r="H286" s="73">
        <v>261.24</v>
      </c>
      <c r="I286" s="73">
        <v>0</v>
      </c>
      <c r="J286" s="101">
        <v>0</v>
      </c>
      <c r="K286" s="62">
        <f t="shared" si="13"/>
        <v>261.24</v>
      </c>
      <c r="L286" s="1">
        <f t="shared" si="14"/>
        <v>0</v>
      </c>
    </row>
    <row r="287" spans="1:12" x14ac:dyDescent="0.3">
      <c r="A287" s="30" t="s">
        <v>614</v>
      </c>
      <c r="B287" s="31" t="s">
        <v>615</v>
      </c>
      <c r="C287" s="32" t="s">
        <v>128</v>
      </c>
      <c r="D287" s="24">
        <v>2</v>
      </c>
      <c r="E287" s="24">
        <v>51.26</v>
      </c>
      <c r="F287" s="82">
        <f t="shared" si="12"/>
        <v>102.52</v>
      </c>
      <c r="G287" s="100">
        <v>0</v>
      </c>
      <c r="H287" s="73">
        <v>102.52</v>
      </c>
      <c r="I287" s="73">
        <v>0</v>
      </c>
      <c r="J287" s="101">
        <v>0</v>
      </c>
      <c r="K287" s="62">
        <f t="shared" si="13"/>
        <v>102.52</v>
      </c>
      <c r="L287" s="1">
        <f t="shared" si="14"/>
        <v>0</v>
      </c>
    </row>
    <row r="288" spans="1:12" x14ac:dyDescent="0.3">
      <c r="A288" s="30" t="s">
        <v>616</v>
      </c>
      <c r="B288" s="31" t="s">
        <v>617</v>
      </c>
      <c r="C288" s="32" t="s">
        <v>128</v>
      </c>
      <c r="D288" s="24">
        <v>2.5</v>
      </c>
      <c r="E288" s="24">
        <v>51.26</v>
      </c>
      <c r="F288" s="82">
        <f t="shared" si="12"/>
        <v>128.15</v>
      </c>
      <c r="G288" s="100">
        <v>0</v>
      </c>
      <c r="H288" s="73">
        <v>128.15</v>
      </c>
      <c r="I288" s="73">
        <v>0</v>
      </c>
      <c r="J288" s="101">
        <v>0</v>
      </c>
      <c r="K288" s="62">
        <f t="shared" si="13"/>
        <v>128.15</v>
      </c>
      <c r="L288" s="1">
        <f t="shared" si="14"/>
        <v>0</v>
      </c>
    </row>
    <row r="289" spans="1:12" x14ac:dyDescent="0.3">
      <c r="A289" s="30" t="s">
        <v>618</v>
      </c>
      <c r="B289" s="31" t="s">
        <v>619</v>
      </c>
      <c r="C289" s="32" t="s">
        <v>45</v>
      </c>
      <c r="D289" s="24">
        <v>16.27</v>
      </c>
      <c r="E289" s="24">
        <v>73.680000000000007</v>
      </c>
      <c r="F289" s="82">
        <f t="shared" si="12"/>
        <v>1198.77</v>
      </c>
      <c r="G289" s="100">
        <v>1198.77</v>
      </c>
      <c r="H289" s="73">
        <v>0</v>
      </c>
      <c r="I289" s="73">
        <v>0</v>
      </c>
      <c r="J289" s="101">
        <v>0</v>
      </c>
      <c r="K289" s="62">
        <f t="shared" si="13"/>
        <v>1198.77</v>
      </c>
      <c r="L289" s="1">
        <f t="shared" si="14"/>
        <v>0</v>
      </c>
    </row>
    <row r="290" spans="1:12" x14ac:dyDescent="0.3">
      <c r="A290" s="30" t="s">
        <v>620</v>
      </c>
      <c r="B290" s="31" t="s">
        <v>621</v>
      </c>
      <c r="C290" s="32" t="s">
        <v>45</v>
      </c>
      <c r="D290" s="24">
        <v>29.27</v>
      </c>
      <c r="E290" s="24">
        <v>2.12</v>
      </c>
      <c r="F290" s="82">
        <f t="shared" si="12"/>
        <v>62.05</v>
      </c>
      <c r="G290" s="100">
        <v>0</v>
      </c>
      <c r="H290" s="73">
        <v>0</v>
      </c>
      <c r="I290" s="73">
        <v>42.24</v>
      </c>
      <c r="J290" s="101">
        <v>19.809999999999999</v>
      </c>
      <c r="K290" s="62">
        <f t="shared" si="13"/>
        <v>62.05</v>
      </c>
      <c r="L290" s="1">
        <f t="shared" si="14"/>
        <v>0</v>
      </c>
    </row>
    <row r="291" spans="1:12" x14ac:dyDescent="0.3">
      <c r="A291" s="30" t="s">
        <v>622</v>
      </c>
      <c r="B291" s="31" t="s">
        <v>623</v>
      </c>
      <c r="C291" s="32" t="s">
        <v>624</v>
      </c>
      <c r="D291" s="24">
        <v>1099.04</v>
      </c>
      <c r="E291" s="24">
        <v>2.97</v>
      </c>
      <c r="F291" s="82">
        <f t="shared" si="12"/>
        <v>3264.15</v>
      </c>
      <c r="G291" s="100">
        <v>0</v>
      </c>
      <c r="H291" s="73">
        <v>0</v>
      </c>
      <c r="I291" s="73">
        <v>530.24</v>
      </c>
      <c r="J291" s="101">
        <v>2733.91</v>
      </c>
      <c r="K291" s="62">
        <f t="shared" si="13"/>
        <v>3264.1499999999996</v>
      </c>
      <c r="L291" s="1">
        <f t="shared" si="14"/>
        <v>0</v>
      </c>
    </row>
    <row r="292" spans="1:12" x14ac:dyDescent="0.3">
      <c r="A292" s="30" t="s">
        <v>625</v>
      </c>
      <c r="B292" s="31" t="s">
        <v>626</v>
      </c>
      <c r="C292" s="32" t="s">
        <v>624</v>
      </c>
      <c r="D292" s="24">
        <v>6215.68</v>
      </c>
      <c r="E292" s="24">
        <v>4.83</v>
      </c>
      <c r="F292" s="82">
        <f t="shared" si="12"/>
        <v>30021.73</v>
      </c>
      <c r="G292" s="100">
        <v>3448.45</v>
      </c>
      <c r="H292" s="73">
        <v>18205.82</v>
      </c>
      <c r="I292" s="73">
        <v>8367.4600000000009</v>
      </c>
      <c r="J292" s="101">
        <v>0</v>
      </c>
      <c r="K292" s="62">
        <f t="shared" si="13"/>
        <v>30021.730000000003</v>
      </c>
      <c r="L292" s="1">
        <f t="shared" si="14"/>
        <v>0</v>
      </c>
    </row>
    <row r="293" spans="1:12" x14ac:dyDescent="0.3">
      <c r="A293" s="30" t="s">
        <v>627</v>
      </c>
      <c r="B293" s="31" t="s">
        <v>628</v>
      </c>
      <c r="C293" s="32" t="s">
        <v>624</v>
      </c>
      <c r="D293" s="24">
        <v>0.42</v>
      </c>
      <c r="E293" s="24">
        <v>4.83</v>
      </c>
      <c r="F293" s="82">
        <f t="shared" si="12"/>
        <v>2.0299999999999998</v>
      </c>
      <c r="G293" s="100">
        <v>0</v>
      </c>
      <c r="H293" s="73">
        <v>0</v>
      </c>
      <c r="I293" s="73">
        <v>2.0299999999999998</v>
      </c>
      <c r="J293" s="101">
        <v>0</v>
      </c>
      <c r="K293" s="62">
        <f t="shared" si="13"/>
        <v>2.0299999999999998</v>
      </c>
      <c r="L293" s="1">
        <f t="shared" si="14"/>
        <v>0</v>
      </c>
    </row>
    <row r="294" spans="1:12" x14ac:dyDescent="0.3">
      <c r="A294" s="30" t="s">
        <v>629</v>
      </c>
      <c r="B294" s="31" t="s">
        <v>630</v>
      </c>
      <c r="C294" s="32" t="s">
        <v>45</v>
      </c>
      <c r="D294" s="24">
        <v>1</v>
      </c>
      <c r="E294" s="24">
        <v>12.71</v>
      </c>
      <c r="F294" s="82">
        <f t="shared" si="12"/>
        <v>12.71</v>
      </c>
      <c r="G294" s="100">
        <v>0</v>
      </c>
      <c r="H294" s="73">
        <v>0</v>
      </c>
      <c r="I294" s="73">
        <v>0</v>
      </c>
      <c r="J294" s="101">
        <v>12.71</v>
      </c>
      <c r="K294" s="62">
        <f t="shared" si="13"/>
        <v>12.71</v>
      </c>
      <c r="L294" s="1">
        <f t="shared" si="14"/>
        <v>0</v>
      </c>
    </row>
    <row r="295" spans="1:12" x14ac:dyDescent="0.3">
      <c r="A295" s="30" t="s">
        <v>631</v>
      </c>
      <c r="B295" s="31" t="s">
        <v>632</v>
      </c>
      <c r="C295" s="32" t="s">
        <v>45</v>
      </c>
      <c r="D295" s="24">
        <v>1</v>
      </c>
      <c r="E295" s="24">
        <v>261.02</v>
      </c>
      <c r="F295" s="82">
        <f t="shared" si="12"/>
        <v>261.02</v>
      </c>
      <c r="G295" s="100">
        <v>0</v>
      </c>
      <c r="H295" s="73">
        <v>0</v>
      </c>
      <c r="I295" s="73">
        <v>261.02</v>
      </c>
      <c r="J295" s="101">
        <v>0</v>
      </c>
      <c r="K295" s="62">
        <f t="shared" si="13"/>
        <v>261.02</v>
      </c>
      <c r="L295" s="1">
        <f t="shared" si="14"/>
        <v>0</v>
      </c>
    </row>
    <row r="296" spans="1:12" x14ac:dyDescent="0.3">
      <c r="A296" s="30" t="s">
        <v>633</v>
      </c>
      <c r="B296" s="31" t="s">
        <v>634</v>
      </c>
      <c r="C296" s="32" t="s">
        <v>624</v>
      </c>
      <c r="D296" s="24">
        <v>32.54</v>
      </c>
      <c r="E296" s="24">
        <v>8.5</v>
      </c>
      <c r="F296" s="82">
        <f t="shared" si="12"/>
        <v>276.58999999999997</v>
      </c>
      <c r="G296" s="100">
        <v>276.58999999999997</v>
      </c>
      <c r="H296" s="73">
        <v>0</v>
      </c>
      <c r="I296" s="73">
        <v>0</v>
      </c>
      <c r="J296" s="101">
        <v>0</v>
      </c>
      <c r="K296" s="62">
        <f t="shared" si="13"/>
        <v>276.58999999999997</v>
      </c>
      <c r="L296" s="1">
        <f t="shared" si="14"/>
        <v>0</v>
      </c>
    </row>
    <row r="297" spans="1:12" x14ac:dyDescent="0.3">
      <c r="A297" s="30" t="s">
        <v>635</v>
      </c>
      <c r="B297" s="31" t="s">
        <v>636</v>
      </c>
      <c r="C297" s="32" t="s">
        <v>45</v>
      </c>
      <c r="D297" s="24">
        <v>3.68</v>
      </c>
      <c r="E297" s="24">
        <v>27.88</v>
      </c>
      <c r="F297" s="82">
        <f t="shared" si="12"/>
        <v>102.6</v>
      </c>
      <c r="G297" s="100">
        <v>102.6</v>
      </c>
      <c r="H297" s="73">
        <v>0</v>
      </c>
      <c r="I297" s="73">
        <v>0</v>
      </c>
      <c r="J297" s="101">
        <v>0</v>
      </c>
      <c r="K297" s="62">
        <f t="shared" si="13"/>
        <v>102.6</v>
      </c>
      <c r="L297" s="1">
        <f t="shared" si="14"/>
        <v>0</v>
      </c>
    </row>
    <row r="298" spans="1:12" x14ac:dyDescent="0.3">
      <c r="A298" s="30" t="s">
        <v>637</v>
      </c>
      <c r="B298" s="31" t="s">
        <v>638</v>
      </c>
      <c r="C298" s="32" t="s">
        <v>639</v>
      </c>
      <c r="D298" s="24">
        <v>1</v>
      </c>
      <c r="E298" s="24">
        <v>38.35</v>
      </c>
      <c r="F298" s="82">
        <f t="shared" si="12"/>
        <v>38.35</v>
      </c>
      <c r="G298" s="100">
        <v>0</v>
      </c>
      <c r="H298" s="73">
        <v>0</v>
      </c>
      <c r="I298" s="73">
        <v>38.35</v>
      </c>
      <c r="J298" s="101">
        <v>0</v>
      </c>
      <c r="K298" s="62">
        <f t="shared" si="13"/>
        <v>38.35</v>
      </c>
      <c r="L298" s="1">
        <f t="shared" si="14"/>
        <v>0</v>
      </c>
    </row>
    <row r="299" spans="1:12" x14ac:dyDescent="0.3">
      <c r="A299" s="30" t="s">
        <v>640</v>
      </c>
      <c r="B299" s="31" t="s">
        <v>641</v>
      </c>
      <c r="C299" s="32" t="s">
        <v>128</v>
      </c>
      <c r="D299" s="24">
        <v>2.83</v>
      </c>
      <c r="E299" s="24">
        <v>126.28</v>
      </c>
      <c r="F299" s="82">
        <f t="shared" si="12"/>
        <v>357.37</v>
      </c>
      <c r="G299" s="100">
        <v>0</v>
      </c>
      <c r="H299" s="73">
        <v>0</v>
      </c>
      <c r="I299" s="73">
        <v>357.37</v>
      </c>
      <c r="J299" s="101">
        <v>0</v>
      </c>
      <c r="K299" s="62">
        <f t="shared" si="13"/>
        <v>357.37</v>
      </c>
      <c r="L299" s="1">
        <f t="shared" si="14"/>
        <v>0</v>
      </c>
    </row>
    <row r="300" spans="1:12" x14ac:dyDescent="0.3">
      <c r="A300" s="30" t="s">
        <v>642</v>
      </c>
      <c r="B300" s="31" t="s">
        <v>643</v>
      </c>
      <c r="C300" s="32" t="s">
        <v>39</v>
      </c>
      <c r="D300" s="24">
        <v>0.67</v>
      </c>
      <c r="E300" s="24">
        <v>205.92</v>
      </c>
      <c r="F300" s="82">
        <f t="shared" si="12"/>
        <v>137.97</v>
      </c>
      <c r="G300" s="100">
        <v>0</v>
      </c>
      <c r="H300" s="73">
        <v>0</v>
      </c>
      <c r="I300" s="73">
        <v>118.8</v>
      </c>
      <c r="J300" s="101">
        <v>19.170000000000002</v>
      </c>
      <c r="K300" s="62">
        <f t="shared" si="13"/>
        <v>137.97</v>
      </c>
      <c r="L300" s="1">
        <f t="shared" si="14"/>
        <v>0</v>
      </c>
    </row>
    <row r="301" spans="1:12" x14ac:dyDescent="0.3">
      <c r="A301" s="30" t="s">
        <v>644</v>
      </c>
      <c r="B301" s="31" t="s">
        <v>645</v>
      </c>
      <c r="C301" s="32" t="s">
        <v>366</v>
      </c>
      <c r="D301" s="24">
        <v>0.75</v>
      </c>
      <c r="E301" s="24">
        <v>89.87</v>
      </c>
      <c r="F301" s="82">
        <f t="shared" si="12"/>
        <v>67.400000000000006</v>
      </c>
      <c r="G301" s="100">
        <v>0</v>
      </c>
      <c r="H301" s="73">
        <v>0</v>
      </c>
      <c r="I301" s="73">
        <v>0</v>
      </c>
      <c r="J301" s="101">
        <v>67.400000000000006</v>
      </c>
      <c r="K301" s="62">
        <f t="shared" si="13"/>
        <v>67.400000000000006</v>
      </c>
      <c r="L301" s="1">
        <f t="shared" si="14"/>
        <v>0</v>
      </c>
    </row>
    <row r="302" spans="1:12" x14ac:dyDescent="0.3">
      <c r="A302" s="30" t="s">
        <v>646</v>
      </c>
      <c r="B302" s="31" t="s">
        <v>647</v>
      </c>
      <c r="C302" s="32" t="s">
        <v>39</v>
      </c>
      <c r="D302" s="24">
        <v>0.03</v>
      </c>
      <c r="E302" s="24">
        <v>152.54</v>
      </c>
      <c r="F302" s="82">
        <f t="shared" si="12"/>
        <v>4.58</v>
      </c>
      <c r="G302" s="100">
        <v>0</v>
      </c>
      <c r="H302" s="73">
        <v>0</v>
      </c>
      <c r="I302" s="73">
        <v>0</v>
      </c>
      <c r="J302" s="101">
        <v>4.58</v>
      </c>
      <c r="K302" s="62">
        <f t="shared" si="13"/>
        <v>4.58</v>
      </c>
      <c r="L302" s="1">
        <f t="shared" si="14"/>
        <v>0</v>
      </c>
    </row>
    <row r="303" spans="1:12" x14ac:dyDescent="0.3">
      <c r="A303" s="30" t="s">
        <v>648</v>
      </c>
      <c r="B303" s="31" t="s">
        <v>649</v>
      </c>
      <c r="C303" s="32" t="s">
        <v>366</v>
      </c>
      <c r="D303" s="24">
        <v>0.67</v>
      </c>
      <c r="E303" s="24">
        <v>211.86</v>
      </c>
      <c r="F303" s="82">
        <f t="shared" si="12"/>
        <v>141.94999999999999</v>
      </c>
      <c r="G303" s="100">
        <v>0</v>
      </c>
      <c r="H303" s="73">
        <v>0</v>
      </c>
      <c r="I303" s="73">
        <v>122.23</v>
      </c>
      <c r="J303" s="101">
        <v>19.72</v>
      </c>
      <c r="K303" s="62">
        <f t="shared" si="13"/>
        <v>141.94999999999999</v>
      </c>
      <c r="L303" s="1">
        <f t="shared" si="14"/>
        <v>0</v>
      </c>
    </row>
    <row r="304" spans="1:12" x14ac:dyDescent="0.3">
      <c r="A304" s="30" t="s">
        <v>650</v>
      </c>
      <c r="B304" s="31" t="s">
        <v>651</v>
      </c>
      <c r="C304" s="32" t="s">
        <v>366</v>
      </c>
      <c r="D304" s="24">
        <v>0.54</v>
      </c>
      <c r="E304" s="24">
        <v>30.8</v>
      </c>
      <c r="F304" s="82">
        <f t="shared" si="12"/>
        <v>16.63</v>
      </c>
      <c r="G304" s="100">
        <v>0</v>
      </c>
      <c r="H304" s="73">
        <v>0</v>
      </c>
      <c r="I304" s="73">
        <v>0</v>
      </c>
      <c r="J304" s="101">
        <v>16.63</v>
      </c>
      <c r="K304" s="62">
        <f t="shared" si="13"/>
        <v>16.63</v>
      </c>
      <c r="L304" s="1">
        <f t="shared" si="14"/>
        <v>0</v>
      </c>
    </row>
    <row r="305" spans="1:12" x14ac:dyDescent="0.3">
      <c r="A305" s="30" t="s">
        <v>652</v>
      </c>
      <c r="B305" s="31" t="s">
        <v>653</v>
      </c>
      <c r="C305" s="32" t="s">
        <v>39</v>
      </c>
      <c r="D305" s="24">
        <v>42.14</v>
      </c>
      <c r="E305" s="24">
        <v>57.59</v>
      </c>
      <c r="F305" s="82">
        <f t="shared" si="12"/>
        <v>2426.84</v>
      </c>
      <c r="G305" s="100">
        <v>0</v>
      </c>
      <c r="H305" s="73">
        <v>518.84</v>
      </c>
      <c r="I305" s="73">
        <v>402.56</v>
      </c>
      <c r="J305" s="101">
        <v>1505.44</v>
      </c>
      <c r="K305" s="62">
        <f t="shared" si="13"/>
        <v>2426.84</v>
      </c>
      <c r="L305" s="1">
        <f t="shared" si="14"/>
        <v>0</v>
      </c>
    </row>
    <row r="306" spans="1:12" x14ac:dyDescent="0.3">
      <c r="A306" s="30" t="s">
        <v>654</v>
      </c>
      <c r="B306" s="31" t="s">
        <v>655</v>
      </c>
      <c r="C306" s="32" t="s">
        <v>366</v>
      </c>
      <c r="D306" s="24">
        <v>1.92</v>
      </c>
      <c r="E306" s="24">
        <v>52.77</v>
      </c>
      <c r="F306" s="82">
        <f t="shared" si="12"/>
        <v>101.32</v>
      </c>
      <c r="G306" s="100">
        <v>0</v>
      </c>
      <c r="H306" s="73">
        <v>0</v>
      </c>
      <c r="I306" s="73">
        <v>101.32</v>
      </c>
      <c r="J306" s="101">
        <v>0</v>
      </c>
      <c r="K306" s="62">
        <f t="shared" si="13"/>
        <v>101.32</v>
      </c>
      <c r="L306" s="1">
        <f t="shared" si="14"/>
        <v>0</v>
      </c>
    </row>
    <row r="307" spans="1:12" x14ac:dyDescent="0.3">
      <c r="A307" s="30" t="s">
        <v>656</v>
      </c>
      <c r="B307" s="31" t="s">
        <v>657</v>
      </c>
      <c r="C307" s="32" t="s">
        <v>366</v>
      </c>
      <c r="D307" s="24">
        <v>0.23</v>
      </c>
      <c r="E307" s="24">
        <v>24.2</v>
      </c>
      <c r="F307" s="82">
        <f t="shared" si="12"/>
        <v>5.57</v>
      </c>
      <c r="G307" s="100">
        <v>0</v>
      </c>
      <c r="H307" s="73">
        <v>0</v>
      </c>
      <c r="I307" s="73">
        <v>0</v>
      </c>
      <c r="J307" s="101">
        <v>5.57</v>
      </c>
      <c r="K307" s="62">
        <f t="shared" si="13"/>
        <v>5.57</v>
      </c>
      <c r="L307" s="1">
        <f t="shared" si="14"/>
        <v>0</v>
      </c>
    </row>
    <row r="308" spans="1:12" x14ac:dyDescent="0.3">
      <c r="A308" s="30" t="s">
        <v>658</v>
      </c>
      <c r="B308" s="31" t="s">
        <v>659</v>
      </c>
      <c r="C308" s="32" t="s">
        <v>366</v>
      </c>
      <c r="D308" s="24">
        <v>0.25</v>
      </c>
      <c r="E308" s="24">
        <v>61.44</v>
      </c>
      <c r="F308" s="82">
        <f t="shared" si="12"/>
        <v>15.36</v>
      </c>
      <c r="G308" s="100">
        <v>0</v>
      </c>
      <c r="H308" s="73">
        <v>0</v>
      </c>
      <c r="I308" s="73">
        <v>0</v>
      </c>
      <c r="J308" s="101">
        <v>15.36</v>
      </c>
      <c r="K308" s="62">
        <f t="shared" si="13"/>
        <v>15.36</v>
      </c>
      <c r="L308" s="1">
        <f t="shared" si="14"/>
        <v>0</v>
      </c>
    </row>
    <row r="309" spans="1:12" x14ac:dyDescent="0.3">
      <c r="A309" s="30" t="s">
        <v>660</v>
      </c>
      <c r="B309" s="31" t="s">
        <v>661</v>
      </c>
      <c r="C309" s="32" t="s">
        <v>484</v>
      </c>
      <c r="D309" s="24">
        <v>6.34</v>
      </c>
      <c r="E309" s="24">
        <v>25.34</v>
      </c>
      <c r="F309" s="82">
        <f t="shared" si="12"/>
        <v>160.66</v>
      </c>
      <c r="G309" s="100">
        <v>160.66</v>
      </c>
      <c r="H309" s="73">
        <v>0</v>
      </c>
      <c r="I309" s="73">
        <v>0</v>
      </c>
      <c r="J309" s="101">
        <v>0</v>
      </c>
      <c r="K309" s="62">
        <f t="shared" si="13"/>
        <v>160.66</v>
      </c>
      <c r="L309" s="1">
        <f t="shared" si="14"/>
        <v>0</v>
      </c>
    </row>
    <row r="310" spans="1:12" x14ac:dyDescent="0.3">
      <c r="A310" s="30" t="s">
        <v>662</v>
      </c>
      <c r="B310" s="31" t="s">
        <v>663</v>
      </c>
      <c r="C310" s="32" t="s">
        <v>123</v>
      </c>
      <c r="D310" s="24">
        <v>18.29</v>
      </c>
      <c r="E310" s="24">
        <v>8.39</v>
      </c>
      <c r="F310" s="82">
        <f t="shared" si="12"/>
        <v>153.44999999999999</v>
      </c>
      <c r="G310" s="100">
        <v>0</v>
      </c>
      <c r="H310" s="73">
        <v>0</v>
      </c>
      <c r="I310" s="73">
        <v>128.41999999999999</v>
      </c>
      <c r="J310" s="101">
        <v>25.03</v>
      </c>
      <c r="K310" s="62">
        <f t="shared" si="13"/>
        <v>153.44999999999999</v>
      </c>
      <c r="L310" s="1">
        <f t="shared" si="14"/>
        <v>0</v>
      </c>
    </row>
    <row r="311" spans="1:12" x14ac:dyDescent="0.3">
      <c r="A311" s="30" t="s">
        <v>664</v>
      </c>
      <c r="B311" s="31" t="s">
        <v>665</v>
      </c>
      <c r="C311" s="32" t="s">
        <v>45</v>
      </c>
      <c r="D311" s="24">
        <v>1</v>
      </c>
      <c r="E311" s="24">
        <v>168.3</v>
      </c>
      <c r="F311" s="82">
        <f t="shared" si="12"/>
        <v>168.3</v>
      </c>
      <c r="G311" s="100">
        <v>0</v>
      </c>
      <c r="H311" s="73">
        <v>0</v>
      </c>
      <c r="I311" s="73">
        <v>0</v>
      </c>
      <c r="J311" s="101">
        <v>168.3</v>
      </c>
      <c r="K311" s="62">
        <f t="shared" si="13"/>
        <v>168.3</v>
      </c>
      <c r="L311" s="1">
        <f t="shared" si="14"/>
        <v>0</v>
      </c>
    </row>
    <row r="312" spans="1:12" x14ac:dyDescent="0.3">
      <c r="A312" s="30" t="s">
        <v>666</v>
      </c>
      <c r="B312" s="31" t="s">
        <v>667</v>
      </c>
      <c r="C312" s="32" t="s">
        <v>484</v>
      </c>
      <c r="D312" s="24">
        <v>18.010000000000002</v>
      </c>
      <c r="E312" s="24">
        <v>67</v>
      </c>
      <c r="F312" s="82">
        <f t="shared" si="12"/>
        <v>1206.67</v>
      </c>
      <c r="G312" s="100">
        <v>0</v>
      </c>
      <c r="H312" s="73">
        <v>0</v>
      </c>
      <c r="I312" s="73">
        <v>1206.67</v>
      </c>
      <c r="J312" s="101">
        <v>0</v>
      </c>
      <c r="K312" s="62">
        <f t="shared" si="13"/>
        <v>1206.67</v>
      </c>
      <c r="L312" s="1">
        <f t="shared" si="14"/>
        <v>0</v>
      </c>
    </row>
    <row r="313" spans="1:12" x14ac:dyDescent="0.3">
      <c r="A313" s="30" t="s">
        <v>668</v>
      </c>
      <c r="B313" s="31" t="s">
        <v>669</v>
      </c>
      <c r="C313" s="32" t="s">
        <v>128</v>
      </c>
      <c r="D313" s="24">
        <v>4.47</v>
      </c>
      <c r="E313" s="24">
        <v>26.78</v>
      </c>
      <c r="F313" s="82">
        <f t="shared" si="12"/>
        <v>119.71</v>
      </c>
      <c r="G313" s="100">
        <v>0</v>
      </c>
      <c r="H313" s="73">
        <v>0</v>
      </c>
      <c r="I313" s="73">
        <v>119.71</v>
      </c>
      <c r="J313" s="101">
        <v>0</v>
      </c>
      <c r="K313" s="62">
        <f t="shared" si="13"/>
        <v>119.71</v>
      </c>
      <c r="L313" s="1">
        <f t="shared" si="14"/>
        <v>0</v>
      </c>
    </row>
    <row r="314" spans="1:12" x14ac:dyDescent="0.3">
      <c r="A314" s="30" t="s">
        <v>670</v>
      </c>
      <c r="B314" s="31" t="s">
        <v>671</v>
      </c>
      <c r="C314" s="32" t="s">
        <v>128</v>
      </c>
      <c r="D314" s="24">
        <v>3.25</v>
      </c>
      <c r="E314" s="24">
        <v>42</v>
      </c>
      <c r="F314" s="82">
        <f t="shared" si="12"/>
        <v>136.5</v>
      </c>
      <c r="G314" s="100">
        <v>0</v>
      </c>
      <c r="H314" s="73">
        <v>0</v>
      </c>
      <c r="I314" s="73">
        <v>0</v>
      </c>
      <c r="J314" s="101">
        <v>136.5</v>
      </c>
      <c r="K314" s="62">
        <f t="shared" si="13"/>
        <v>136.5</v>
      </c>
      <c r="L314" s="1">
        <f t="shared" si="14"/>
        <v>0</v>
      </c>
    </row>
    <row r="315" spans="1:12" x14ac:dyDescent="0.3">
      <c r="A315" s="30" t="s">
        <v>672</v>
      </c>
      <c r="B315" s="31" t="s">
        <v>673</v>
      </c>
      <c r="C315" s="32" t="s">
        <v>674</v>
      </c>
      <c r="D315" s="24">
        <v>1.71</v>
      </c>
      <c r="E315" s="24">
        <v>7.2</v>
      </c>
      <c r="F315" s="82">
        <f t="shared" si="12"/>
        <v>12.31</v>
      </c>
      <c r="G315" s="100">
        <v>0</v>
      </c>
      <c r="H315" s="73">
        <v>0.32</v>
      </c>
      <c r="I315" s="73">
        <v>3.25</v>
      </c>
      <c r="J315" s="101">
        <v>8.74</v>
      </c>
      <c r="K315" s="62">
        <f t="shared" si="13"/>
        <v>12.31</v>
      </c>
      <c r="L315" s="1">
        <f t="shared" si="14"/>
        <v>0</v>
      </c>
    </row>
    <row r="316" spans="1:12" x14ac:dyDescent="0.3">
      <c r="A316" s="30" t="s">
        <v>675</v>
      </c>
      <c r="B316" s="31" t="s">
        <v>676</v>
      </c>
      <c r="C316" s="32" t="s">
        <v>45</v>
      </c>
      <c r="D316" s="24">
        <v>2.2400000000000002</v>
      </c>
      <c r="E316" s="24">
        <v>506.25</v>
      </c>
      <c r="F316" s="82">
        <f t="shared" si="12"/>
        <v>1134</v>
      </c>
      <c r="G316" s="100">
        <v>0</v>
      </c>
      <c r="H316" s="73">
        <v>0</v>
      </c>
      <c r="I316" s="73">
        <v>283.5</v>
      </c>
      <c r="J316" s="101">
        <v>850.5</v>
      </c>
      <c r="K316" s="62">
        <f t="shared" si="13"/>
        <v>1134</v>
      </c>
      <c r="L316" s="1">
        <f t="shared" si="14"/>
        <v>0</v>
      </c>
    </row>
    <row r="317" spans="1:12" x14ac:dyDescent="0.3">
      <c r="A317" s="30" t="s">
        <v>677</v>
      </c>
      <c r="B317" s="31" t="s">
        <v>678</v>
      </c>
      <c r="C317" s="32" t="s">
        <v>45</v>
      </c>
      <c r="D317" s="24">
        <v>22.01</v>
      </c>
      <c r="E317" s="24">
        <v>1.05</v>
      </c>
      <c r="F317" s="82">
        <f t="shared" si="12"/>
        <v>23.11</v>
      </c>
      <c r="G317" s="100">
        <v>0</v>
      </c>
      <c r="H317" s="73">
        <v>0</v>
      </c>
      <c r="I317" s="73">
        <v>0</v>
      </c>
      <c r="J317" s="101">
        <v>23.11</v>
      </c>
      <c r="K317" s="62">
        <f t="shared" si="13"/>
        <v>23.11</v>
      </c>
      <c r="L317" s="1">
        <f t="shared" si="14"/>
        <v>0</v>
      </c>
    </row>
    <row r="318" spans="1:12" x14ac:dyDescent="0.3">
      <c r="A318" s="30" t="s">
        <v>679</v>
      </c>
      <c r="B318" s="31" t="s">
        <v>680</v>
      </c>
      <c r="C318" s="32" t="s">
        <v>128</v>
      </c>
      <c r="D318" s="24">
        <v>4</v>
      </c>
      <c r="E318" s="24">
        <v>9.35</v>
      </c>
      <c r="F318" s="82">
        <f t="shared" si="12"/>
        <v>37.4</v>
      </c>
      <c r="G318" s="100">
        <v>0</v>
      </c>
      <c r="H318" s="73">
        <v>0</v>
      </c>
      <c r="I318" s="73">
        <v>0</v>
      </c>
      <c r="J318" s="101">
        <v>37.4</v>
      </c>
      <c r="K318" s="62">
        <f t="shared" si="13"/>
        <v>37.4</v>
      </c>
      <c r="L318" s="1">
        <f t="shared" si="14"/>
        <v>0</v>
      </c>
    </row>
    <row r="319" spans="1:12" x14ac:dyDescent="0.3">
      <c r="A319" s="30" t="s">
        <v>681</v>
      </c>
      <c r="B319" s="31" t="s">
        <v>682</v>
      </c>
      <c r="C319" s="32" t="s">
        <v>45</v>
      </c>
      <c r="D319" s="24">
        <v>3</v>
      </c>
      <c r="E319" s="24">
        <v>11</v>
      </c>
      <c r="F319" s="82">
        <f t="shared" si="12"/>
        <v>33</v>
      </c>
      <c r="G319" s="100">
        <v>0</v>
      </c>
      <c r="H319" s="73">
        <v>33</v>
      </c>
      <c r="I319" s="73">
        <v>0</v>
      </c>
      <c r="J319" s="101">
        <v>0</v>
      </c>
      <c r="K319" s="62">
        <f t="shared" si="13"/>
        <v>33</v>
      </c>
      <c r="L319" s="1">
        <f t="shared" si="14"/>
        <v>0</v>
      </c>
    </row>
    <row r="320" spans="1:12" x14ac:dyDescent="0.3">
      <c r="A320" s="30" t="s">
        <v>683</v>
      </c>
      <c r="B320" s="31" t="s">
        <v>684</v>
      </c>
      <c r="C320" s="32" t="s">
        <v>128</v>
      </c>
      <c r="D320" s="24">
        <v>10</v>
      </c>
      <c r="E320" s="24">
        <v>35.42</v>
      </c>
      <c r="F320" s="82">
        <f t="shared" si="12"/>
        <v>354.2</v>
      </c>
      <c r="G320" s="100">
        <v>0</v>
      </c>
      <c r="H320" s="73">
        <v>0</v>
      </c>
      <c r="I320" s="73">
        <v>354.2</v>
      </c>
      <c r="J320" s="101">
        <v>0</v>
      </c>
      <c r="K320" s="62">
        <f t="shared" si="13"/>
        <v>354.2</v>
      </c>
      <c r="L320" s="1">
        <f t="shared" si="14"/>
        <v>0</v>
      </c>
    </row>
    <row r="321" spans="1:12" x14ac:dyDescent="0.3">
      <c r="A321" s="30" t="s">
        <v>685</v>
      </c>
      <c r="B321" s="31" t="s">
        <v>686</v>
      </c>
      <c r="C321" s="32" t="s">
        <v>128</v>
      </c>
      <c r="D321" s="24">
        <v>7</v>
      </c>
      <c r="E321" s="24">
        <v>25.62</v>
      </c>
      <c r="F321" s="82">
        <f t="shared" si="12"/>
        <v>179.34</v>
      </c>
      <c r="G321" s="100">
        <v>0</v>
      </c>
      <c r="H321" s="73">
        <v>0</v>
      </c>
      <c r="I321" s="73">
        <v>179.34</v>
      </c>
      <c r="J321" s="101">
        <v>0</v>
      </c>
      <c r="K321" s="62">
        <f t="shared" si="13"/>
        <v>179.34</v>
      </c>
      <c r="L321" s="1">
        <f t="shared" si="14"/>
        <v>0</v>
      </c>
    </row>
    <row r="322" spans="1:12" x14ac:dyDescent="0.3">
      <c r="A322" s="30" t="s">
        <v>687</v>
      </c>
      <c r="B322" s="31" t="s">
        <v>688</v>
      </c>
      <c r="C322" s="32" t="s">
        <v>128</v>
      </c>
      <c r="D322" s="24">
        <v>16</v>
      </c>
      <c r="E322" s="24">
        <v>13.99</v>
      </c>
      <c r="F322" s="82">
        <f t="shared" si="12"/>
        <v>223.84</v>
      </c>
      <c r="G322" s="100">
        <v>27.98</v>
      </c>
      <c r="H322" s="73">
        <v>0</v>
      </c>
      <c r="I322" s="73">
        <v>195.86</v>
      </c>
      <c r="J322" s="101">
        <v>0</v>
      </c>
      <c r="K322" s="62">
        <f t="shared" si="13"/>
        <v>223.84</v>
      </c>
      <c r="L322" s="1">
        <f t="shared" si="14"/>
        <v>0</v>
      </c>
    </row>
    <row r="323" spans="1:12" x14ac:dyDescent="0.3">
      <c r="A323" s="30" t="s">
        <v>689</v>
      </c>
      <c r="B323" s="31" t="s">
        <v>690</v>
      </c>
      <c r="C323" s="32" t="s">
        <v>45</v>
      </c>
      <c r="D323" s="24">
        <v>65</v>
      </c>
      <c r="E323" s="24">
        <v>5.72</v>
      </c>
      <c r="F323" s="82">
        <f t="shared" si="12"/>
        <v>371.8</v>
      </c>
      <c r="G323" s="100">
        <v>97.24</v>
      </c>
      <c r="H323" s="73">
        <v>274.56</v>
      </c>
      <c r="I323" s="73">
        <v>0</v>
      </c>
      <c r="J323" s="101">
        <v>0</v>
      </c>
      <c r="K323" s="62">
        <f t="shared" si="13"/>
        <v>371.8</v>
      </c>
      <c r="L323" s="1">
        <f t="shared" si="14"/>
        <v>0</v>
      </c>
    </row>
    <row r="324" spans="1:12" x14ac:dyDescent="0.3">
      <c r="A324" s="30" t="s">
        <v>691</v>
      </c>
      <c r="B324" s="31" t="s">
        <v>692</v>
      </c>
      <c r="C324" s="32" t="s">
        <v>45</v>
      </c>
      <c r="D324" s="24">
        <v>35.61</v>
      </c>
      <c r="E324" s="24">
        <v>1.21</v>
      </c>
      <c r="F324" s="82">
        <f t="shared" si="12"/>
        <v>43.09</v>
      </c>
      <c r="G324" s="100">
        <v>0</v>
      </c>
      <c r="H324" s="73">
        <v>43.09</v>
      </c>
      <c r="I324" s="73">
        <v>0</v>
      </c>
      <c r="J324" s="101">
        <v>0</v>
      </c>
      <c r="K324" s="62">
        <f t="shared" si="13"/>
        <v>43.09</v>
      </c>
      <c r="L324" s="1">
        <f t="shared" si="14"/>
        <v>0</v>
      </c>
    </row>
    <row r="325" spans="1:12" x14ac:dyDescent="0.3">
      <c r="A325" s="30" t="s">
        <v>693</v>
      </c>
      <c r="B325" s="31" t="s">
        <v>694</v>
      </c>
      <c r="C325" s="32" t="s">
        <v>45</v>
      </c>
      <c r="D325" s="24">
        <v>37.159999999999997</v>
      </c>
      <c r="E325" s="24">
        <v>1.54</v>
      </c>
      <c r="F325" s="82">
        <f t="shared" si="12"/>
        <v>57.23</v>
      </c>
      <c r="G325" s="100">
        <v>27.25</v>
      </c>
      <c r="H325" s="73">
        <v>29.98</v>
      </c>
      <c r="I325" s="73">
        <v>0</v>
      </c>
      <c r="J325" s="101">
        <v>0</v>
      </c>
      <c r="K325" s="62">
        <f t="shared" si="13"/>
        <v>57.230000000000004</v>
      </c>
      <c r="L325" s="1">
        <f t="shared" si="14"/>
        <v>0</v>
      </c>
    </row>
    <row r="326" spans="1:12" x14ac:dyDescent="0.3">
      <c r="A326" s="30" t="s">
        <v>695</v>
      </c>
      <c r="B326" s="31" t="s">
        <v>696</v>
      </c>
      <c r="C326" s="32" t="s">
        <v>45</v>
      </c>
      <c r="D326" s="24">
        <v>9.43</v>
      </c>
      <c r="E326" s="24">
        <v>1.76</v>
      </c>
      <c r="F326" s="82">
        <f t="shared" si="12"/>
        <v>16.600000000000001</v>
      </c>
      <c r="G326" s="100">
        <v>0</v>
      </c>
      <c r="H326" s="73">
        <v>16.600000000000001</v>
      </c>
      <c r="I326" s="73">
        <v>0</v>
      </c>
      <c r="J326" s="101">
        <v>0</v>
      </c>
      <c r="K326" s="62">
        <f t="shared" si="13"/>
        <v>16.600000000000001</v>
      </c>
      <c r="L326" s="1">
        <f t="shared" si="14"/>
        <v>0</v>
      </c>
    </row>
    <row r="327" spans="1:12" x14ac:dyDescent="0.3">
      <c r="A327" s="30" t="s">
        <v>697</v>
      </c>
      <c r="B327" s="31" t="s">
        <v>698</v>
      </c>
      <c r="C327" s="32" t="s">
        <v>128</v>
      </c>
      <c r="D327" s="24">
        <v>4</v>
      </c>
      <c r="E327" s="24">
        <v>13.97</v>
      </c>
      <c r="F327" s="82">
        <f t="shared" si="12"/>
        <v>55.88</v>
      </c>
      <c r="G327" s="100">
        <v>0</v>
      </c>
      <c r="H327" s="73">
        <v>0</v>
      </c>
      <c r="I327" s="73">
        <v>0</v>
      </c>
      <c r="J327" s="101">
        <v>55.88</v>
      </c>
      <c r="K327" s="62">
        <f t="shared" si="13"/>
        <v>55.88</v>
      </c>
      <c r="L327" s="1">
        <f t="shared" si="14"/>
        <v>0</v>
      </c>
    </row>
    <row r="328" spans="1:12" x14ac:dyDescent="0.3">
      <c r="A328" s="30" t="s">
        <v>699</v>
      </c>
      <c r="B328" s="31" t="s">
        <v>700</v>
      </c>
      <c r="C328" s="32" t="s">
        <v>128</v>
      </c>
      <c r="D328" s="24">
        <v>2</v>
      </c>
      <c r="E328" s="24">
        <v>11.22</v>
      </c>
      <c r="F328" s="82">
        <f t="shared" si="12"/>
        <v>22.44</v>
      </c>
      <c r="G328" s="100">
        <v>0</v>
      </c>
      <c r="H328" s="73">
        <v>22.44</v>
      </c>
      <c r="I328" s="73">
        <v>0</v>
      </c>
      <c r="J328" s="101">
        <v>0</v>
      </c>
      <c r="K328" s="62">
        <f t="shared" si="13"/>
        <v>22.44</v>
      </c>
      <c r="L328" s="1">
        <f t="shared" si="14"/>
        <v>0</v>
      </c>
    </row>
    <row r="329" spans="1:12" x14ac:dyDescent="0.3">
      <c r="A329" s="30" t="s">
        <v>701</v>
      </c>
      <c r="B329" s="31" t="s">
        <v>702</v>
      </c>
      <c r="C329" s="32" t="s">
        <v>128</v>
      </c>
      <c r="D329" s="24">
        <v>1</v>
      </c>
      <c r="E329" s="24">
        <v>23.32</v>
      </c>
      <c r="F329" s="82">
        <f t="shared" si="12"/>
        <v>23.32</v>
      </c>
      <c r="G329" s="100">
        <v>0</v>
      </c>
      <c r="H329" s="73">
        <v>0</v>
      </c>
      <c r="I329" s="73">
        <v>23.32</v>
      </c>
      <c r="J329" s="101">
        <v>0</v>
      </c>
      <c r="K329" s="62">
        <f t="shared" si="13"/>
        <v>23.32</v>
      </c>
      <c r="L329" s="1">
        <f t="shared" si="14"/>
        <v>0</v>
      </c>
    </row>
    <row r="330" spans="1:12" x14ac:dyDescent="0.3">
      <c r="A330" s="30" t="s">
        <v>703</v>
      </c>
      <c r="B330" s="31" t="s">
        <v>704</v>
      </c>
      <c r="C330" s="32" t="s">
        <v>128</v>
      </c>
      <c r="D330" s="24">
        <v>3</v>
      </c>
      <c r="E330" s="24">
        <v>20.52</v>
      </c>
      <c r="F330" s="82">
        <f t="shared" si="12"/>
        <v>61.56</v>
      </c>
      <c r="G330" s="100">
        <v>0</v>
      </c>
      <c r="H330" s="73">
        <v>0</v>
      </c>
      <c r="I330" s="73">
        <v>61.56</v>
      </c>
      <c r="J330" s="101">
        <v>0</v>
      </c>
      <c r="K330" s="62">
        <f t="shared" si="13"/>
        <v>61.56</v>
      </c>
      <c r="L330" s="1">
        <f t="shared" si="14"/>
        <v>0</v>
      </c>
    </row>
    <row r="331" spans="1:12" x14ac:dyDescent="0.3">
      <c r="A331" s="30" t="s">
        <v>705</v>
      </c>
      <c r="B331" s="31" t="s">
        <v>706</v>
      </c>
      <c r="C331" s="32" t="s">
        <v>128</v>
      </c>
      <c r="D331" s="24">
        <v>4.2</v>
      </c>
      <c r="E331" s="24">
        <v>9.35</v>
      </c>
      <c r="F331" s="82">
        <f t="shared" si="12"/>
        <v>39.270000000000003</v>
      </c>
      <c r="G331" s="100">
        <v>0</v>
      </c>
      <c r="H331" s="73">
        <v>39.270000000000003</v>
      </c>
      <c r="I331" s="73">
        <v>0</v>
      </c>
      <c r="J331" s="101">
        <v>0</v>
      </c>
      <c r="K331" s="62">
        <f t="shared" si="13"/>
        <v>39.270000000000003</v>
      </c>
      <c r="L331" s="1">
        <f t="shared" si="14"/>
        <v>0</v>
      </c>
    </row>
    <row r="332" spans="1:12" x14ac:dyDescent="0.3">
      <c r="A332" s="30" t="s">
        <v>707</v>
      </c>
      <c r="B332" s="31" t="s">
        <v>708</v>
      </c>
      <c r="C332" s="32" t="s">
        <v>128</v>
      </c>
      <c r="D332" s="24">
        <v>2</v>
      </c>
      <c r="E332" s="24">
        <v>24.31</v>
      </c>
      <c r="F332" s="82">
        <f t="shared" ref="F332:F395" si="15">+ROUND(D332*E332,2)</f>
        <v>48.62</v>
      </c>
      <c r="G332" s="100">
        <v>0</v>
      </c>
      <c r="H332" s="73">
        <v>48.62</v>
      </c>
      <c r="I332" s="73">
        <v>0</v>
      </c>
      <c r="J332" s="101">
        <v>0</v>
      </c>
      <c r="K332" s="62">
        <f t="shared" ref="K332:K395" si="16">SUM(G332:J332)</f>
        <v>48.62</v>
      </c>
      <c r="L332" s="1">
        <f t="shared" ref="L332:L395" si="17">+F332-K332</f>
        <v>0</v>
      </c>
    </row>
    <row r="333" spans="1:12" x14ac:dyDescent="0.3">
      <c r="A333" s="30" t="s">
        <v>709</v>
      </c>
      <c r="B333" s="31" t="s">
        <v>710</v>
      </c>
      <c r="C333" s="32" t="s">
        <v>32</v>
      </c>
      <c r="D333" s="24">
        <v>1</v>
      </c>
      <c r="E333" s="24">
        <v>22</v>
      </c>
      <c r="F333" s="82">
        <f t="shared" si="15"/>
        <v>22</v>
      </c>
      <c r="G333" s="100">
        <v>0</v>
      </c>
      <c r="H333" s="73">
        <v>0</v>
      </c>
      <c r="I333" s="73">
        <v>0</v>
      </c>
      <c r="J333" s="101">
        <v>22</v>
      </c>
      <c r="K333" s="62">
        <f t="shared" si="16"/>
        <v>22</v>
      </c>
      <c r="L333" s="1">
        <f t="shared" si="17"/>
        <v>0</v>
      </c>
    </row>
    <row r="334" spans="1:12" x14ac:dyDescent="0.3">
      <c r="A334" s="30" t="s">
        <v>711</v>
      </c>
      <c r="B334" s="31" t="s">
        <v>712</v>
      </c>
      <c r="C334" s="32" t="s">
        <v>45</v>
      </c>
      <c r="D334" s="24">
        <v>1</v>
      </c>
      <c r="E334" s="24">
        <v>18.649999999999999</v>
      </c>
      <c r="F334" s="82">
        <f t="shared" si="15"/>
        <v>18.649999999999999</v>
      </c>
      <c r="G334" s="100">
        <v>0</v>
      </c>
      <c r="H334" s="73">
        <v>0</v>
      </c>
      <c r="I334" s="73">
        <v>18.649999999999999</v>
      </c>
      <c r="J334" s="101">
        <v>0</v>
      </c>
      <c r="K334" s="62">
        <f t="shared" si="16"/>
        <v>18.649999999999999</v>
      </c>
      <c r="L334" s="1">
        <f t="shared" si="17"/>
        <v>0</v>
      </c>
    </row>
    <row r="335" spans="1:12" x14ac:dyDescent="0.3">
      <c r="A335" s="30" t="s">
        <v>713</v>
      </c>
      <c r="B335" s="31" t="s">
        <v>714</v>
      </c>
      <c r="C335" s="32" t="s">
        <v>128</v>
      </c>
      <c r="D335" s="24">
        <v>4</v>
      </c>
      <c r="E335" s="24">
        <v>23.32</v>
      </c>
      <c r="F335" s="82">
        <f t="shared" si="15"/>
        <v>93.28</v>
      </c>
      <c r="G335" s="100">
        <v>0</v>
      </c>
      <c r="H335" s="73">
        <v>0</v>
      </c>
      <c r="I335" s="73">
        <v>93.28</v>
      </c>
      <c r="J335" s="101">
        <v>0</v>
      </c>
      <c r="K335" s="62">
        <f t="shared" si="16"/>
        <v>93.28</v>
      </c>
      <c r="L335" s="1">
        <f t="shared" si="17"/>
        <v>0</v>
      </c>
    </row>
    <row r="336" spans="1:12" x14ac:dyDescent="0.3">
      <c r="A336" s="30" t="s">
        <v>715</v>
      </c>
      <c r="B336" s="31" t="s">
        <v>716</v>
      </c>
      <c r="C336" s="32" t="s">
        <v>128</v>
      </c>
      <c r="D336" s="24">
        <v>7</v>
      </c>
      <c r="E336" s="24">
        <v>29.83</v>
      </c>
      <c r="F336" s="82">
        <f t="shared" si="15"/>
        <v>208.81</v>
      </c>
      <c r="G336" s="100">
        <v>0</v>
      </c>
      <c r="H336" s="73">
        <v>0</v>
      </c>
      <c r="I336" s="73">
        <v>208.81</v>
      </c>
      <c r="J336" s="101">
        <v>0</v>
      </c>
      <c r="K336" s="62">
        <f t="shared" si="16"/>
        <v>208.81</v>
      </c>
      <c r="L336" s="1">
        <f t="shared" si="17"/>
        <v>0</v>
      </c>
    </row>
    <row r="337" spans="1:12" x14ac:dyDescent="0.3">
      <c r="A337" s="30" t="s">
        <v>717</v>
      </c>
      <c r="B337" s="31" t="s">
        <v>718</v>
      </c>
      <c r="C337" s="32" t="s">
        <v>128</v>
      </c>
      <c r="D337" s="24">
        <v>10</v>
      </c>
      <c r="E337" s="24">
        <v>11.22</v>
      </c>
      <c r="F337" s="82">
        <f t="shared" si="15"/>
        <v>112.2</v>
      </c>
      <c r="G337" s="100">
        <v>22.44</v>
      </c>
      <c r="H337" s="73">
        <v>0</v>
      </c>
      <c r="I337" s="73">
        <v>89.76</v>
      </c>
      <c r="J337" s="101">
        <v>0</v>
      </c>
      <c r="K337" s="62">
        <f t="shared" si="16"/>
        <v>112.2</v>
      </c>
      <c r="L337" s="1">
        <f t="shared" si="17"/>
        <v>0</v>
      </c>
    </row>
    <row r="338" spans="1:12" x14ac:dyDescent="0.3">
      <c r="A338" s="30" t="s">
        <v>719</v>
      </c>
      <c r="B338" s="31" t="s">
        <v>720</v>
      </c>
      <c r="C338" s="32" t="s">
        <v>45</v>
      </c>
      <c r="D338" s="24">
        <v>2</v>
      </c>
      <c r="E338" s="24">
        <v>39.159999999999997</v>
      </c>
      <c r="F338" s="82">
        <f t="shared" si="15"/>
        <v>78.319999999999993</v>
      </c>
      <c r="G338" s="100">
        <v>0</v>
      </c>
      <c r="H338" s="73">
        <v>78.319999999999993</v>
      </c>
      <c r="I338" s="73">
        <v>0</v>
      </c>
      <c r="J338" s="101">
        <v>0</v>
      </c>
      <c r="K338" s="62">
        <f t="shared" si="16"/>
        <v>78.319999999999993</v>
      </c>
      <c r="L338" s="1">
        <f t="shared" si="17"/>
        <v>0</v>
      </c>
    </row>
    <row r="339" spans="1:12" x14ac:dyDescent="0.3">
      <c r="A339" s="30" t="s">
        <v>721</v>
      </c>
      <c r="B339" s="31" t="s">
        <v>722</v>
      </c>
      <c r="C339" s="32" t="s">
        <v>128</v>
      </c>
      <c r="D339" s="24">
        <v>3.86</v>
      </c>
      <c r="E339" s="24">
        <v>60.61</v>
      </c>
      <c r="F339" s="82">
        <f t="shared" si="15"/>
        <v>233.95</v>
      </c>
      <c r="G339" s="100">
        <v>0</v>
      </c>
      <c r="H339" s="73">
        <v>233.95</v>
      </c>
      <c r="I339" s="73">
        <v>0</v>
      </c>
      <c r="J339" s="101">
        <v>0</v>
      </c>
      <c r="K339" s="62">
        <f t="shared" si="16"/>
        <v>233.95</v>
      </c>
      <c r="L339" s="1">
        <f t="shared" si="17"/>
        <v>0</v>
      </c>
    </row>
    <row r="340" spans="1:12" x14ac:dyDescent="0.3">
      <c r="A340" s="30" t="s">
        <v>723</v>
      </c>
      <c r="B340" s="31" t="s">
        <v>724</v>
      </c>
      <c r="C340" s="32" t="s">
        <v>45</v>
      </c>
      <c r="D340" s="24">
        <v>15</v>
      </c>
      <c r="E340" s="24">
        <v>17.8</v>
      </c>
      <c r="F340" s="82">
        <f t="shared" si="15"/>
        <v>267</v>
      </c>
      <c r="G340" s="100">
        <v>0</v>
      </c>
      <c r="H340" s="73">
        <v>267</v>
      </c>
      <c r="I340" s="73">
        <v>0</v>
      </c>
      <c r="J340" s="101">
        <v>0</v>
      </c>
      <c r="K340" s="62">
        <f t="shared" si="16"/>
        <v>267</v>
      </c>
      <c r="L340" s="1">
        <f t="shared" si="17"/>
        <v>0</v>
      </c>
    </row>
    <row r="341" spans="1:12" x14ac:dyDescent="0.3">
      <c r="A341" s="30" t="s">
        <v>725</v>
      </c>
      <c r="B341" s="31" t="s">
        <v>726</v>
      </c>
      <c r="C341" s="32" t="s">
        <v>45</v>
      </c>
      <c r="D341" s="24">
        <v>19.29</v>
      </c>
      <c r="E341" s="24">
        <v>10.25</v>
      </c>
      <c r="F341" s="82">
        <f t="shared" si="15"/>
        <v>197.72</v>
      </c>
      <c r="G341" s="100">
        <v>0</v>
      </c>
      <c r="H341" s="73">
        <v>197.72</v>
      </c>
      <c r="I341" s="73">
        <v>0</v>
      </c>
      <c r="J341" s="101">
        <v>0</v>
      </c>
      <c r="K341" s="62">
        <f t="shared" si="16"/>
        <v>197.72</v>
      </c>
      <c r="L341" s="1">
        <f t="shared" si="17"/>
        <v>0</v>
      </c>
    </row>
    <row r="342" spans="1:12" x14ac:dyDescent="0.3">
      <c r="A342" s="30" t="s">
        <v>727</v>
      </c>
      <c r="B342" s="31" t="s">
        <v>728</v>
      </c>
      <c r="C342" s="32" t="s">
        <v>45</v>
      </c>
      <c r="D342" s="24">
        <v>25.99</v>
      </c>
      <c r="E342" s="24">
        <v>12.17</v>
      </c>
      <c r="F342" s="82">
        <f t="shared" si="15"/>
        <v>316.3</v>
      </c>
      <c r="G342" s="100">
        <v>150.61000000000001</v>
      </c>
      <c r="H342" s="73">
        <v>165.69</v>
      </c>
      <c r="I342" s="73">
        <v>0</v>
      </c>
      <c r="J342" s="101">
        <v>0</v>
      </c>
      <c r="K342" s="62">
        <f t="shared" si="16"/>
        <v>316.3</v>
      </c>
      <c r="L342" s="1">
        <f t="shared" si="17"/>
        <v>0</v>
      </c>
    </row>
    <row r="343" spans="1:12" x14ac:dyDescent="0.3">
      <c r="A343" s="30" t="s">
        <v>729</v>
      </c>
      <c r="B343" s="31" t="s">
        <v>730</v>
      </c>
      <c r="C343" s="32" t="s">
        <v>45</v>
      </c>
      <c r="D343" s="24">
        <v>6.6</v>
      </c>
      <c r="E343" s="24">
        <v>15.25</v>
      </c>
      <c r="F343" s="82">
        <f t="shared" si="15"/>
        <v>100.65</v>
      </c>
      <c r="G343" s="100">
        <v>0</v>
      </c>
      <c r="H343" s="73">
        <v>100.65</v>
      </c>
      <c r="I343" s="73">
        <v>0</v>
      </c>
      <c r="J343" s="101">
        <v>0</v>
      </c>
      <c r="K343" s="62">
        <f t="shared" si="16"/>
        <v>100.65</v>
      </c>
      <c r="L343" s="1">
        <f t="shared" si="17"/>
        <v>0</v>
      </c>
    </row>
    <row r="344" spans="1:12" x14ac:dyDescent="0.3">
      <c r="A344" s="30" t="s">
        <v>731</v>
      </c>
      <c r="B344" s="31" t="s">
        <v>732</v>
      </c>
      <c r="C344" s="32" t="s">
        <v>45</v>
      </c>
      <c r="D344" s="24">
        <v>81</v>
      </c>
      <c r="E344" s="24">
        <v>12.17</v>
      </c>
      <c r="F344" s="82">
        <f t="shared" si="15"/>
        <v>985.77</v>
      </c>
      <c r="G344" s="100">
        <v>0</v>
      </c>
      <c r="H344" s="73">
        <v>985.77</v>
      </c>
      <c r="I344" s="73">
        <v>0</v>
      </c>
      <c r="J344" s="101">
        <v>0</v>
      </c>
      <c r="K344" s="62">
        <f t="shared" si="16"/>
        <v>985.77</v>
      </c>
      <c r="L344" s="1">
        <f t="shared" si="17"/>
        <v>0</v>
      </c>
    </row>
    <row r="345" spans="1:12" x14ac:dyDescent="0.3">
      <c r="A345" s="30" t="s">
        <v>733</v>
      </c>
      <c r="B345" s="31" t="s">
        <v>734</v>
      </c>
      <c r="C345" s="32" t="s">
        <v>123</v>
      </c>
      <c r="D345" s="24">
        <v>29</v>
      </c>
      <c r="E345" s="24">
        <v>9.7899999999999991</v>
      </c>
      <c r="F345" s="82">
        <f t="shared" si="15"/>
        <v>283.91000000000003</v>
      </c>
      <c r="G345" s="100">
        <v>166.43</v>
      </c>
      <c r="H345" s="73">
        <v>117.48</v>
      </c>
      <c r="I345" s="73">
        <v>0</v>
      </c>
      <c r="J345" s="101">
        <v>0</v>
      </c>
      <c r="K345" s="62">
        <f t="shared" si="16"/>
        <v>283.91000000000003</v>
      </c>
      <c r="L345" s="1">
        <f t="shared" si="17"/>
        <v>0</v>
      </c>
    </row>
    <row r="346" spans="1:12" x14ac:dyDescent="0.3">
      <c r="A346" s="30" t="s">
        <v>735</v>
      </c>
      <c r="B346" s="31" t="s">
        <v>736</v>
      </c>
      <c r="C346" s="32" t="s">
        <v>123</v>
      </c>
      <c r="D346" s="24">
        <v>27.29</v>
      </c>
      <c r="E346" s="24">
        <v>47.19</v>
      </c>
      <c r="F346" s="82">
        <f t="shared" si="15"/>
        <v>1287.82</v>
      </c>
      <c r="G346" s="100">
        <v>0</v>
      </c>
      <c r="H346" s="73">
        <v>0</v>
      </c>
      <c r="I346" s="73">
        <v>1287.82</v>
      </c>
      <c r="J346" s="101">
        <v>0</v>
      </c>
      <c r="K346" s="62">
        <f t="shared" si="16"/>
        <v>1287.82</v>
      </c>
      <c r="L346" s="1">
        <f t="shared" si="17"/>
        <v>0</v>
      </c>
    </row>
    <row r="347" spans="1:12" x14ac:dyDescent="0.3">
      <c r="A347" s="30" t="s">
        <v>737</v>
      </c>
      <c r="B347" s="31" t="s">
        <v>738</v>
      </c>
      <c r="C347" s="32" t="s">
        <v>123</v>
      </c>
      <c r="D347" s="24">
        <v>11.36</v>
      </c>
      <c r="E347" s="24">
        <v>41.95</v>
      </c>
      <c r="F347" s="82">
        <f t="shared" si="15"/>
        <v>476.55</v>
      </c>
      <c r="G347" s="100">
        <v>0</v>
      </c>
      <c r="H347" s="73">
        <v>0</v>
      </c>
      <c r="I347" s="73">
        <v>476.55</v>
      </c>
      <c r="J347" s="101">
        <v>0</v>
      </c>
      <c r="K347" s="62">
        <f t="shared" si="16"/>
        <v>476.55</v>
      </c>
      <c r="L347" s="1">
        <f t="shared" si="17"/>
        <v>0</v>
      </c>
    </row>
    <row r="348" spans="1:12" x14ac:dyDescent="0.3">
      <c r="A348" s="30" t="s">
        <v>739</v>
      </c>
      <c r="B348" s="31" t="s">
        <v>740</v>
      </c>
      <c r="C348" s="32" t="s">
        <v>123</v>
      </c>
      <c r="D348" s="24">
        <v>9.8699999999999992</v>
      </c>
      <c r="E348" s="24">
        <v>33.56</v>
      </c>
      <c r="F348" s="82">
        <f t="shared" si="15"/>
        <v>331.24</v>
      </c>
      <c r="G348" s="100">
        <v>68.459999999999994</v>
      </c>
      <c r="H348" s="73">
        <v>68.459999999999994</v>
      </c>
      <c r="I348" s="73">
        <v>194.32</v>
      </c>
      <c r="J348" s="101">
        <v>0</v>
      </c>
      <c r="K348" s="62">
        <f t="shared" si="16"/>
        <v>331.24</v>
      </c>
      <c r="L348" s="1">
        <f t="shared" si="17"/>
        <v>0</v>
      </c>
    </row>
    <row r="349" spans="1:12" x14ac:dyDescent="0.3">
      <c r="A349" s="30" t="s">
        <v>741</v>
      </c>
      <c r="B349" s="31" t="s">
        <v>742</v>
      </c>
      <c r="C349" s="32" t="s">
        <v>128</v>
      </c>
      <c r="D349" s="24">
        <v>16</v>
      </c>
      <c r="E349" s="24">
        <v>4.66</v>
      </c>
      <c r="F349" s="82">
        <f t="shared" si="15"/>
        <v>74.56</v>
      </c>
      <c r="G349" s="100">
        <v>0</v>
      </c>
      <c r="H349" s="73">
        <v>74.56</v>
      </c>
      <c r="I349" s="73">
        <v>0</v>
      </c>
      <c r="J349" s="101">
        <v>0</v>
      </c>
      <c r="K349" s="62">
        <f t="shared" si="16"/>
        <v>74.56</v>
      </c>
      <c r="L349" s="1">
        <f t="shared" si="17"/>
        <v>0</v>
      </c>
    </row>
    <row r="350" spans="1:12" x14ac:dyDescent="0.3">
      <c r="A350" s="30" t="s">
        <v>743</v>
      </c>
      <c r="B350" s="31" t="s">
        <v>744</v>
      </c>
      <c r="C350" s="32" t="s">
        <v>123</v>
      </c>
      <c r="D350" s="24">
        <v>1.51</v>
      </c>
      <c r="E350" s="24">
        <v>14.3</v>
      </c>
      <c r="F350" s="82">
        <f t="shared" si="15"/>
        <v>21.59</v>
      </c>
      <c r="G350" s="100">
        <v>21.59</v>
      </c>
      <c r="H350" s="73">
        <v>0</v>
      </c>
      <c r="I350" s="73">
        <v>0</v>
      </c>
      <c r="J350" s="101">
        <v>0</v>
      </c>
      <c r="K350" s="62">
        <f t="shared" si="16"/>
        <v>21.59</v>
      </c>
      <c r="L350" s="1">
        <f t="shared" si="17"/>
        <v>0</v>
      </c>
    </row>
    <row r="351" spans="1:12" x14ac:dyDescent="0.3">
      <c r="A351" s="30" t="s">
        <v>745</v>
      </c>
      <c r="B351" s="31" t="s">
        <v>746</v>
      </c>
      <c r="C351" s="32" t="s">
        <v>128</v>
      </c>
      <c r="D351" s="24">
        <v>10.36</v>
      </c>
      <c r="E351" s="24">
        <v>25.19</v>
      </c>
      <c r="F351" s="82">
        <f t="shared" si="15"/>
        <v>260.97000000000003</v>
      </c>
      <c r="G351" s="100">
        <v>0</v>
      </c>
      <c r="H351" s="73">
        <v>260.97000000000003</v>
      </c>
      <c r="I351" s="73">
        <v>0</v>
      </c>
      <c r="J351" s="101">
        <v>0</v>
      </c>
      <c r="K351" s="62">
        <f t="shared" si="16"/>
        <v>260.97000000000003</v>
      </c>
      <c r="L351" s="1">
        <f t="shared" si="17"/>
        <v>0</v>
      </c>
    </row>
    <row r="352" spans="1:12" x14ac:dyDescent="0.3">
      <c r="A352" s="30" t="s">
        <v>747</v>
      </c>
      <c r="B352" s="31" t="s">
        <v>748</v>
      </c>
      <c r="C352" s="32" t="s">
        <v>128</v>
      </c>
      <c r="D352" s="24">
        <v>2</v>
      </c>
      <c r="E352" s="24">
        <v>48.51</v>
      </c>
      <c r="F352" s="82">
        <f t="shared" si="15"/>
        <v>97.02</v>
      </c>
      <c r="G352" s="100">
        <v>0</v>
      </c>
      <c r="H352" s="73">
        <v>97.02</v>
      </c>
      <c r="I352" s="73">
        <v>0</v>
      </c>
      <c r="J352" s="101">
        <v>0</v>
      </c>
      <c r="K352" s="62">
        <f t="shared" si="16"/>
        <v>97.02</v>
      </c>
      <c r="L352" s="1">
        <f t="shared" si="17"/>
        <v>0</v>
      </c>
    </row>
    <row r="353" spans="1:12" x14ac:dyDescent="0.3">
      <c r="A353" s="30" t="s">
        <v>749</v>
      </c>
      <c r="B353" s="31" t="s">
        <v>750</v>
      </c>
      <c r="C353" s="32" t="s">
        <v>217</v>
      </c>
      <c r="D353" s="24">
        <v>28.86</v>
      </c>
      <c r="E353" s="24">
        <v>8.93</v>
      </c>
      <c r="F353" s="82">
        <f t="shared" si="15"/>
        <v>257.72000000000003</v>
      </c>
      <c r="G353" s="100">
        <v>0</v>
      </c>
      <c r="H353" s="73">
        <v>171.81</v>
      </c>
      <c r="I353" s="73">
        <v>85.91</v>
      </c>
      <c r="J353" s="101">
        <v>0</v>
      </c>
      <c r="K353" s="62">
        <f t="shared" si="16"/>
        <v>257.72000000000003</v>
      </c>
      <c r="L353" s="1">
        <f t="shared" si="17"/>
        <v>0</v>
      </c>
    </row>
    <row r="354" spans="1:12" x14ac:dyDescent="0.3">
      <c r="A354" s="30" t="s">
        <v>751</v>
      </c>
      <c r="B354" s="31" t="s">
        <v>752</v>
      </c>
      <c r="C354" s="32" t="s">
        <v>217</v>
      </c>
      <c r="D354" s="24">
        <v>21.41</v>
      </c>
      <c r="E354" s="24">
        <v>83.93</v>
      </c>
      <c r="F354" s="82">
        <f t="shared" si="15"/>
        <v>1796.94</v>
      </c>
      <c r="G354" s="100">
        <v>0</v>
      </c>
      <c r="H354" s="73">
        <v>1692.67</v>
      </c>
      <c r="I354" s="73">
        <v>104.27</v>
      </c>
      <c r="J354" s="101">
        <v>0</v>
      </c>
      <c r="K354" s="62">
        <f t="shared" si="16"/>
        <v>1796.94</v>
      </c>
      <c r="L354" s="1">
        <f t="shared" si="17"/>
        <v>0</v>
      </c>
    </row>
    <row r="355" spans="1:12" x14ac:dyDescent="0.3">
      <c r="A355" s="30" t="s">
        <v>753</v>
      </c>
      <c r="B355" s="31" t="s">
        <v>754</v>
      </c>
      <c r="C355" s="32" t="s">
        <v>45</v>
      </c>
      <c r="D355" s="24">
        <v>2.5</v>
      </c>
      <c r="E355" s="24">
        <v>41.95</v>
      </c>
      <c r="F355" s="82">
        <f t="shared" si="15"/>
        <v>104.88</v>
      </c>
      <c r="G355" s="100">
        <v>0</v>
      </c>
      <c r="H355" s="73">
        <v>104.88</v>
      </c>
      <c r="I355" s="73">
        <v>0</v>
      </c>
      <c r="J355" s="101">
        <v>0</v>
      </c>
      <c r="K355" s="62">
        <f t="shared" si="16"/>
        <v>104.88</v>
      </c>
      <c r="L355" s="1">
        <f t="shared" si="17"/>
        <v>0</v>
      </c>
    </row>
    <row r="356" spans="1:12" x14ac:dyDescent="0.3">
      <c r="A356" s="30" t="s">
        <v>755</v>
      </c>
      <c r="B356" s="31" t="s">
        <v>756</v>
      </c>
      <c r="C356" s="32" t="s">
        <v>45</v>
      </c>
      <c r="D356" s="24">
        <v>2</v>
      </c>
      <c r="E356" s="24">
        <v>29.92</v>
      </c>
      <c r="F356" s="82">
        <f t="shared" si="15"/>
        <v>59.84</v>
      </c>
      <c r="G356" s="100">
        <v>0</v>
      </c>
      <c r="H356" s="73">
        <v>0</v>
      </c>
      <c r="I356" s="73">
        <v>59.84</v>
      </c>
      <c r="J356" s="101">
        <v>0</v>
      </c>
      <c r="K356" s="62">
        <f t="shared" si="16"/>
        <v>59.84</v>
      </c>
      <c r="L356" s="1">
        <f t="shared" si="17"/>
        <v>0</v>
      </c>
    </row>
    <row r="357" spans="1:12" x14ac:dyDescent="0.3">
      <c r="A357" s="30" t="s">
        <v>757</v>
      </c>
      <c r="B357" s="31" t="s">
        <v>758</v>
      </c>
      <c r="C357" s="32" t="s">
        <v>128</v>
      </c>
      <c r="D357" s="24">
        <v>4.2</v>
      </c>
      <c r="E357" s="24">
        <v>20.57</v>
      </c>
      <c r="F357" s="82">
        <f t="shared" si="15"/>
        <v>86.39</v>
      </c>
      <c r="G357" s="100">
        <v>0</v>
      </c>
      <c r="H357" s="73">
        <v>86.39</v>
      </c>
      <c r="I357" s="73">
        <v>0</v>
      </c>
      <c r="J357" s="101">
        <v>0</v>
      </c>
      <c r="K357" s="62">
        <f t="shared" si="16"/>
        <v>86.39</v>
      </c>
      <c r="L357" s="1">
        <f t="shared" si="17"/>
        <v>0</v>
      </c>
    </row>
    <row r="358" spans="1:12" x14ac:dyDescent="0.3">
      <c r="A358" s="30" t="s">
        <v>759</v>
      </c>
      <c r="B358" s="31" t="s">
        <v>760</v>
      </c>
      <c r="C358" s="32" t="s">
        <v>128</v>
      </c>
      <c r="D358" s="24">
        <v>7.26</v>
      </c>
      <c r="E358" s="24">
        <v>51.37</v>
      </c>
      <c r="F358" s="82">
        <f t="shared" si="15"/>
        <v>372.95</v>
      </c>
      <c r="G358" s="100">
        <v>0</v>
      </c>
      <c r="H358" s="73">
        <v>372.95</v>
      </c>
      <c r="I358" s="73">
        <v>0</v>
      </c>
      <c r="J358" s="101">
        <v>0</v>
      </c>
      <c r="K358" s="62">
        <f t="shared" si="16"/>
        <v>372.95</v>
      </c>
      <c r="L358" s="1">
        <f t="shared" si="17"/>
        <v>0</v>
      </c>
    </row>
    <row r="359" spans="1:12" x14ac:dyDescent="0.3">
      <c r="A359" s="30" t="s">
        <v>761</v>
      </c>
      <c r="B359" s="31" t="s">
        <v>762</v>
      </c>
      <c r="C359" s="32" t="s">
        <v>128</v>
      </c>
      <c r="D359" s="24">
        <v>3</v>
      </c>
      <c r="E359" s="24">
        <v>13.89</v>
      </c>
      <c r="F359" s="82">
        <f t="shared" si="15"/>
        <v>41.67</v>
      </c>
      <c r="G359" s="100">
        <v>0</v>
      </c>
      <c r="H359" s="73">
        <v>0</v>
      </c>
      <c r="I359" s="73">
        <v>41.67</v>
      </c>
      <c r="J359" s="101">
        <v>0</v>
      </c>
      <c r="K359" s="62">
        <f t="shared" si="16"/>
        <v>41.67</v>
      </c>
      <c r="L359" s="1">
        <f t="shared" si="17"/>
        <v>0</v>
      </c>
    </row>
    <row r="360" spans="1:12" x14ac:dyDescent="0.3">
      <c r="A360" s="30" t="s">
        <v>763</v>
      </c>
      <c r="B360" s="31" t="s">
        <v>764</v>
      </c>
      <c r="C360" s="32" t="s">
        <v>45</v>
      </c>
      <c r="D360" s="24">
        <v>30</v>
      </c>
      <c r="E360" s="24">
        <v>1.1000000000000001</v>
      </c>
      <c r="F360" s="82">
        <f t="shared" si="15"/>
        <v>33</v>
      </c>
      <c r="G360" s="100">
        <v>0</v>
      </c>
      <c r="H360" s="73">
        <v>33</v>
      </c>
      <c r="I360" s="73">
        <v>0</v>
      </c>
      <c r="J360" s="101">
        <v>0</v>
      </c>
      <c r="K360" s="62">
        <f t="shared" si="16"/>
        <v>33</v>
      </c>
      <c r="L360" s="1">
        <f t="shared" si="17"/>
        <v>0</v>
      </c>
    </row>
    <row r="361" spans="1:12" x14ac:dyDescent="0.3">
      <c r="A361" s="30" t="s">
        <v>765</v>
      </c>
      <c r="B361" s="31" t="s">
        <v>766</v>
      </c>
      <c r="C361" s="32" t="s">
        <v>590</v>
      </c>
      <c r="D361" s="24">
        <v>12</v>
      </c>
      <c r="E361" s="24">
        <v>13.34</v>
      </c>
      <c r="F361" s="82">
        <f t="shared" si="15"/>
        <v>160.08000000000001</v>
      </c>
      <c r="G361" s="100">
        <v>0</v>
      </c>
      <c r="H361" s="73">
        <v>160.08000000000001</v>
      </c>
      <c r="I361" s="73">
        <v>0</v>
      </c>
      <c r="J361" s="101">
        <v>0</v>
      </c>
      <c r="K361" s="62">
        <f t="shared" si="16"/>
        <v>160.08000000000001</v>
      </c>
      <c r="L361" s="1">
        <f t="shared" si="17"/>
        <v>0</v>
      </c>
    </row>
    <row r="362" spans="1:12" x14ac:dyDescent="0.3">
      <c r="A362" s="30" t="s">
        <v>767</v>
      </c>
      <c r="B362" s="31" t="s">
        <v>768</v>
      </c>
      <c r="C362" s="32" t="s">
        <v>45</v>
      </c>
      <c r="D362" s="24">
        <v>37.200000000000003</v>
      </c>
      <c r="E362" s="24">
        <v>0.54</v>
      </c>
      <c r="F362" s="82">
        <f t="shared" si="15"/>
        <v>20.09</v>
      </c>
      <c r="G362" s="100">
        <v>0</v>
      </c>
      <c r="H362" s="73">
        <v>20.09</v>
      </c>
      <c r="I362" s="73">
        <v>0</v>
      </c>
      <c r="J362" s="101">
        <v>0</v>
      </c>
      <c r="K362" s="62">
        <f t="shared" si="16"/>
        <v>20.09</v>
      </c>
      <c r="L362" s="1">
        <f t="shared" si="17"/>
        <v>0</v>
      </c>
    </row>
    <row r="363" spans="1:12" x14ac:dyDescent="0.3">
      <c r="A363" s="30" t="s">
        <v>769</v>
      </c>
      <c r="B363" s="31" t="s">
        <v>770</v>
      </c>
      <c r="C363" s="32" t="s">
        <v>128</v>
      </c>
      <c r="D363" s="24">
        <v>8</v>
      </c>
      <c r="E363" s="24">
        <v>8.01</v>
      </c>
      <c r="F363" s="82">
        <f t="shared" si="15"/>
        <v>64.08</v>
      </c>
      <c r="G363" s="100">
        <v>0</v>
      </c>
      <c r="H363" s="73">
        <v>64.08</v>
      </c>
      <c r="I363" s="73">
        <v>0</v>
      </c>
      <c r="J363" s="101">
        <v>0</v>
      </c>
      <c r="K363" s="62">
        <f t="shared" si="16"/>
        <v>64.08</v>
      </c>
      <c r="L363" s="1">
        <f t="shared" si="17"/>
        <v>0</v>
      </c>
    </row>
    <row r="364" spans="1:12" x14ac:dyDescent="0.3">
      <c r="A364" s="30" t="s">
        <v>771</v>
      </c>
      <c r="B364" s="31" t="s">
        <v>772</v>
      </c>
      <c r="C364" s="32" t="s">
        <v>45</v>
      </c>
      <c r="D364" s="24">
        <v>1</v>
      </c>
      <c r="E364" s="24">
        <v>39.47</v>
      </c>
      <c r="F364" s="82">
        <f t="shared" si="15"/>
        <v>39.47</v>
      </c>
      <c r="G364" s="100">
        <v>0</v>
      </c>
      <c r="H364" s="73">
        <v>39.47</v>
      </c>
      <c r="I364" s="73">
        <v>0</v>
      </c>
      <c r="J364" s="101">
        <v>0</v>
      </c>
      <c r="K364" s="62">
        <f t="shared" si="16"/>
        <v>39.47</v>
      </c>
      <c r="L364" s="1">
        <f t="shared" si="17"/>
        <v>0</v>
      </c>
    </row>
    <row r="365" spans="1:12" x14ac:dyDescent="0.3">
      <c r="A365" s="30" t="s">
        <v>773</v>
      </c>
      <c r="B365" s="31" t="s">
        <v>774</v>
      </c>
      <c r="C365" s="32" t="s">
        <v>45</v>
      </c>
      <c r="D365" s="24">
        <v>2</v>
      </c>
      <c r="E365" s="24">
        <v>11.1</v>
      </c>
      <c r="F365" s="82">
        <f t="shared" si="15"/>
        <v>22.2</v>
      </c>
      <c r="G365" s="100">
        <v>0</v>
      </c>
      <c r="H365" s="73">
        <v>0</v>
      </c>
      <c r="I365" s="73">
        <v>0</v>
      </c>
      <c r="J365" s="101">
        <v>22.2</v>
      </c>
      <c r="K365" s="62">
        <f t="shared" si="16"/>
        <v>22.2</v>
      </c>
      <c r="L365" s="1">
        <f t="shared" si="17"/>
        <v>0</v>
      </c>
    </row>
    <row r="366" spans="1:12" x14ac:dyDescent="0.3">
      <c r="A366" s="30" t="s">
        <v>775</v>
      </c>
      <c r="B366" s="31" t="s">
        <v>776</v>
      </c>
      <c r="C366" s="32" t="s">
        <v>45</v>
      </c>
      <c r="D366" s="24">
        <v>25</v>
      </c>
      <c r="E366" s="24">
        <v>8.31</v>
      </c>
      <c r="F366" s="82">
        <f t="shared" si="15"/>
        <v>207.75</v>
      </c>
      <c r="G366" s="100">
        <v>0</v>
      </c>
      <c r="H366" s="73">
        <v>0</v>
      </c>
      <c r="I366" s="73">
        <v>207.75</v>
      </c>
      <c r="J366" s="101">
        <v>0</v>
      </c>
      <c r="K366" s="62">
        <f t="shared" si="16"/>
        <v>207.75</v>
      </c>
      <c r="L366" s="1">
        <f t="shared" si="17"/>
        <v>0</v>
      </c>
    </row>
    <row r="367" spans="1:12" x14ac:dyDescent="0.3">
      <c r="A367" s="30" t="s">
        <v>777</v>
      </c>
      <c r="B367" s="31" t="s">
        <v>778</v>
      </c>
      <c r="C367" s="32" t="s">
        <v>102</v>
      </c>
      <c r="D367" s="24">
        <v>3</v>
      </c>
      <c r="E367" s="24">
        <v>145</v>
      </c>
      <c r="F367" s="82">
        <f t="shared" si="15"/>
        <v>435</v>
      </c>
      <c r="G367" s="100">
        <v>0</v>
      </c>
      <c r="H367" s="73">
        <v>0</v>
      </c>
      <c r="I367" s="73">
        <v>435</v>
      </c>
      <c r="J367" s="101">
        <v>0</v>
      </c>
      <c r="K367" s="62">
        <f t="shared" si="16"/>
        <v>435</v>
      </c>
      <c r="L367" s="1">
        <f t="shared" si="17"/>
        <v>0</v>
      </c>
    </row>
    <row r="368" spans="1:12" x14ac:dyDescent="0.3">
      <c r="A368" s="30" t="s">
        <v>779</v>
      </c>
      <c r="B368" s="31" t="s">
        <v>780</v>
      </c>
      <c r="C368" s="32" t="s">
        <v>45</v>
      </c>
      <c r="D368" s="24">
        <v>0.46</v>
      </c>
      <c r="E368" s="24">
        <v>291.99</v>
      </c>
      <c r="F368" s="82">
        <f t="shared" si="15"/>
        <v>134.32</v>
      </c>
      <c r="G368" s="100">
        <v>0</v>
      </c>
      <c r="H368" s="73">
        <v>134.32</v>
      </c>
      <c r="I368" s="73">
        <v>0</v>
      </c>
      <c r="J368" s="101">
        <v>0</v>
      </c>
      <c r="K368" s="62">
        <f t="shared" si="16"/>
        <v>134.32</v>
      </c>
      <c r="L368" s="1">
        <f t="shared" si="17"/>
        <v>0</v>
      </c>
    </row>
    <row r="369" spans="1:12" x14ac:dyDescent="0.3">
      <c r="A369" s="23"/>
      <c r="B369" s="29" t="s">
        <v>781</v>
      </c>
      <c r="C369" s="24"/>
      <c r="D369" s="24"/>
      <c r="E369" s="24"/>
      <c r="F369" s="82">
        <f t="shared" si="15"/>
        <v>0</v>
      </c>
      <c r="G369" s="100"/>
      <c r="H369" s="73"/>
      <c r="I369" s="73"/>
      <c r="J369" s="101"/>
      <c r="K369" s="62">
        <f t="shared" si="16"/>
        <v>0</v>
      </c>
      <c r="L369" s="1">
        <f t="shared" si="17"/>
        <v>0</v>
      </c>
    </row>
    <row r="370" spans="1:12" x14ac:dyDescent="0.3">
      <c r="A370" s="30" t="s">
        <v>782</v>
      </c>
      <c r="B370" s="31" t="s">
        <v>783</v>
      </c>
      <c r="C370" s="32" t="s">
        <v>784</v>
      </c>
      <c r="D370" s="24">
        <v>7.0000000000000007E-2</v>
      </c>
      <c r="E370" s="24">
        <v>84.75</v>
      </c>
      <c r="F370" s="82">
        <f t="shared" si="15"/>
        <v>5.93</v>
      </c>
      <c r="G370" s="100">
        <v>0</v>
      </c>
      <c r="H370" s="73">
        <v>0</v>
      </c>
      <c r="I370" s="73">
        <v>0</v>
      </c>
      <c r="J370" s="101">
        <v>5.93</v>
      </c>
      <c r="K370" s="62">
        <f t="shared" si="16"/>
        <v>5.93</v>
      </c>
      <c r="L370" s="1">
        <f t="shared" si="17"/>
        <v>0</v>
      </c>
    </row>
    <row r="371" spans="1:12" x14ac:dyDescent="0.3">
      <c r="A371" s="30" t="s">
        <v>785</v>
      </c>
      <c r="B371" s="31" t="s">
        <v>786</v>
      </c>
      <c r="C371" s="32" t="s">
        <v>784</v>
      </c>
      <c r="D371" s="24">
        <v>1.1399999999999999</v>
      </c>
      <c r="E371" s="24">
        <v>26.06</v>
      </c>
      <c r="F371" s="82">
        <f t="shared" si="15"/>
        <v>29.71</v>
      </c>
      <c r="G371" s="100">
        <v>0</v>
      </c>
      <c r="H371" s="73">
        <v>0</v>
      </c>
      <c r="I371" s="73">
        <v>0</v>
      </c>
      <c r="J371" s="101">
        <v>29.71</v>
      </c>
      <c r="K371" s="62">
        <f t="shared" si="16"/>
        <v>29.71</v>
      </c>
      <c r="L371" s="1">
        <f t="shared" si="17"/>
        <v>0</v>
      </c>
    </row>
    <row r="372" spans="1:12" x14ac:dyDescent="0.3">
      <c r="A372" s="30" t="s">
        <v>787</v>
      </c>
      <c r="B372" s="31" t="s">
        <v>788</v>
      </c>
      <c r="C372" s="32" t="s">
        <v>789</v>
      </c>
      <c r="D372" s="24"/>
      <c r="E372" s="24"/>
      <c r="F372" s="82">
        <v>9.4600000000000009</v>
      </c>
      <c r="G372" s="100">
        <v>0</v>
      </c>
      <c r="H372" s="73">
        <v>0</v>
      </c>
      <c r="I372" s="73">
        <v>0</v>
      </c>
      <c r="J372" s="101">
        <v>9.4600000000000009</v>
      </c>
      <c r="K372" s="62">
        <f t="shared" si="16"/>
        <v>9.4600000000000009</v>
      </c>
      <c r="L372" s="1">
        <f t="shared" si="17"/>
        <v>0</v>
      </c>
    </row>
    <row r="373" spans="1:12" x14ac:dyDescent="0.3">
      <c r="A373" s="30" t="s">
        <v>790</v>
      </c>
      <c r="B373" s="31" t="s">
        <v>791</v>
      </c>
      <c r="C373" s="32" t="s">
        <v>789</v>
      </c>
      <c r="D373" s="24"/>
      <c r="E373" s="24"/>
      <c r="F373" s="82">
        <v>9169.18</v>
      </c>
      <c r="G373" s="100">
        <v>1549.56</v>
      </c>
      <c r="H373" s="73">
        <v>3328.04</v>
      </c>
      <c r="I373" s="73">
        <v>3395.92</v>
      </c>
      <c r="J373" s="101">
        <v>895.66</v>
      </c>
      <c r="K373" s="62">
        <f t="shared" si="16"/>
        <v>9169.18</v>
      </c>
      <c r="L373" s="1">
        <f t="shared" si="17"/>
        <v>0</v>
      </c>
    </row>
    <row r="374" spans="1:12" x14ac:dyDescent="0.3">
      <c r="A374" s="30" t="s">
        <v>792</v>
      </c>
      <c r="B374" s="31" t="s">
        <v>793</v>
      </c>
      <c r="C374" s="32" t="s">
        <v>45</v>
      </c>
      <c r="D374" s="24">
        <v>1.59</v>
      </c>
      <c r="E374" s="24">
        <v>44</v>
      </c>
      <c r="F374" s="82">
        <f t="shared" si="15"/>
        <v>69.959999999999994</v>
      </c>
      <c r="G374" s="100">
        <v>69.959999999999994</v>
      </c>
      <c r="H374" s="73">
        <v>0</v>
      </c>
      <c r="I374" s="73">
        <v>0</v>
      </c>
      <c r="J374" s="101">
        <v>0</v>
      </c>
      <c r="K374" s="62">
        <f t="shared" si="16"/>
        <v>69.959999999999994</v>
      </c>
      <c r="L374" s="1">
        <f t="shared" si="17"/>
        <v>0</v>
      </c>
    </row>
    <row r="375" spans="1:12" x14ac:dyDescent="0.3">
      <c r="A375" s="30" t="s">
        <v>794</v>
      </c>
      <c r="B375" s="31" t="s">
        <v>795</v>
      </c>
      <c r="C375" s="32" t="s">
        <v>45</v>
      </c>
      <c r="D375" s="24">
        <v>2.4500000000000002</v>
      </c>
      <c r="E375" s="24">
        <v>81.540000000000006</v>
      </c>
      <c r="F375" s="82">
        <f t="shared" si="15"/>
        <v>199.77</v>
      </c>
      <c r="G375" s="100">
        <v>0</v>
      </c>
      <c r="H375" s="73">
        <v>0</v>
      </c>
      <c r="I375" s="73">
        <v>23.97</v>
      </c>
      <c r="J375" s="101">
        <v>175.8</v>
      </c>
      <c r="K375" s="62">
        <f t="shared" si="16"/>
        <v>199.77</v>
      </c>
      <c r="L375" s="1">
        <f t="shared" si="17"/>
        <v>0</v>
      </c>
    </row>
    <row r="376" spans="1:12" x14ac:dyDescent="0.3">
      <c r="A376" s="30" t="s">
        <v>796</v>
      </c>
      <c r="B376" s="31" t="s">
        <v>797</v>
      </c>
      <c r="C376" s="32" t="s">
        <v>784</v>
      </c>
      <c r="D376" s="24">
        <v>381.44</v>
      </c>
      <c r="E376" s="24">
        <v>11.25</v>
      </c>
      <c r="F376" s="82">
        <f t="shared" si="15"/>
        <v>4291.2</v>
      </c>
      <c r="G376" s="100">
        <v>0</v>
      </c>
      <c r="H376" s="73">
        <v>207.86</v>
      </c>
      <c r="I376" s="73">
        <v>2151.42</v>
      </c>
      <c r="J376" s="101">
        <v>1931.92</v>
      </c>
      <c r="K376" s="62">
        <f t="shared" si="16"/>
        <v>4291.2000000000007</v>
      </c>
      <c r="L376" s="1">
        <f t="shared" si="17"/>
        <v>0</v>
      </c>
    </row>
    <row r="377" spans="1:12" x14ac:dyDescent="0.3">
      <c r="A377" s="30" t="s">
        <v>798</v>
      </c>
      <c r="B377" s="31" t="s">
        <v>799</v>
      </c>
      <c r="C377" s="32" t="s">
        <v>784</v>
      </c>
      <c r="D377" s="24">
        <v>15.44</v>
      </c>
      <c r="E377" s="24">
        <v>359.79</v>
      </c>
      <c r="F377" s="82">
        <f t="shared" si="15"/>
        <v>5555.16</v>
      </c>
      <c r="G377" s="100">
        <v>3420.77</v>
      </c>
      <c r="H377" s="73">
        <v>17.93</v>
      </c>
      <c r="I377" s="73">
        <v>0</v>
      </c>
      <c r="J377" s="101">
        <v>2116.46</v>
      </c>
      <c r="K377" s="62">
        <f t="shared" si="16"/>
        <v>5555.16</v>
      </c>
      <c r="L377" s="1">
        <f t="shared" si="17"/>
        <v>0</v>
      </c>
    </row>
    <row r="378" spans="1:12" x14ac:dyDescent="0.3">
      <c r="A378" s="30" t="s">
        <v>800</v>
      </c>
      <c r="B378" s="31" t="s">
        <v>801</v>
      </c>
      <c r="C378" s="32" t="s">
        <v>784</v>
      </c>
      <c r="D378" s="24">
        <v>7.39</v>
      </c>
      <c r="E378" s="24">
        <v>329.82</v>
      </c>
      <c r="F378" s="82">
        <f t="shared" si="15"/>
        <v>2437.37</v>
      </c>
      <c r="G378" s="100">
        <v>2433.48</v>
      </c>
      <c r="H378" s="73">
        <v>3.89</v>
      </c>
      <c r="I378" s="73">
        <v>0</v>
      </c>
      <c r="J378" s="101">
        <v>0</v>
      </c>
      <c r="K378" s="62">
        <f t="shared" si="16"/>
        <v>2437.37</v>
      </c>
      <c r="L378" s="1">
        <f t="shared" si="17"/>
        <v>0</v>
      </c>
    </row>
    <row r="379" spans="1:12" x14ac:dyDescent="0.3">
      <c r="A379" s="30" t="s">
        <v>802</v>
      </c>
      <c r="B379" s="31" t="s">
        <v>803</v>
      </c>
      <c r="C379" s="32" t="s">
        <v>784</v>
      </c>
      <c r="D379" s="24">
        <v>233.39</v>
      </c>
      <c r="E379" s="24">
        <v>3.24</v>
      </c>
      <c r="F379" s="82">
        <f t="shared" si="15"/>
        <v>756.18</v>
      </c>
      <c r="G379" s="100">
        <v>299.7</v>
      </c>
      <c r="H379" s="73">
        <v>327.64999999999998</v>
      </c>
      <c r="I379" s="73">
        <v>128.82999999999998</v>
      </c>
      <c r="J379" s="101">
        <v>0</v>
      </c>
      <c r="K379" s="62">
        <f t="shared" si="16"/>
        <v>756.17999999999984</v>
      </c>
      <c r="L379" s="1">
        <f t="shared" si="17"/>
        <v>0</v>
      </c>
    </row>
    <row r="380" spans="1:12" x14ac:dyDescent="0.3">
      <c r="A380" s="30" t="s">
        <v>804</v>
      </c>
      <c r="B380" s="31" t="s">
        <v>805</v>
      </c>
      <c r="C380" s="32" t="s">
        <v>806</v>
      </c>
      <c r="D380" s="24">
        <v>26.75</v>
      </c>
      <c r="E380" s="24">
        <v>42.52</v>
      </c>
      <c r="F380" s="82">
        <f t="shared" si="15"/>
        <v>1137.4100000000001</v>
      </c>
      <c r="G380" s="100">
        <v>0</v>
      </c>
      <c r="H380" s="73">
        <v>925.27</v>
      </c>
      <c r="I380" s="73">
        <v>0</v>
      </c>
      <c r="J380" s="101">
        <v>212.14</v>
      </c>
      <c r="K380" s="62">
        <f t="shared" si="16"/>
        <v>1137.4099999999999</v>
      </c>
      <c r="L380" s="1">
        <f t="shared" si="17"/>
        <v>0</v>
      </c>
    </row>
    <row r="381" spans="1:12" x14ac:dyDescent="0.3">
      <c r="A381" s="30" t="s">
        <v>807</v>
      </c>
      <c r="B381" s="31" t="s">
        <v>808</v>
      </c>
      <c r="C381" s="32" t="s">
        <v>784</v>
      </c>
      <c r="D381" s="24">
        <v>20.46</v>
      </c>
      <c r="E381" s="24">
        <v>21.24</v>
      </c>
      <c r="F381" s="82">
        <f t="shared" si="15"/>
        <v>434.57</v>
      </c>
      <c r="G381" s="100">
        <v>0</v>
      </c>
      <c r="H381" s="73">
        <v>0</v>
      </c>
      <c r="I381" s="73">
        <v>15.45</v>
      </c>
      <c r="J381" s="101">
        <v>419.12</v>
      </c>
      <c r="K381" s="62">
        <f t="shared" si="16"/>
        <v>434.57</v>
      </c>
      <c r="L381" s="1">
        <f t="shared" si="17"/>
        <v>0</v>
      </c>
    </row>
    <row r="382" spans="1:12" x14ac:dyDescent="0.3">
      <c r="A382" s="30" t="s">
        <v>809</v>
      </c>
      <c r="B382" s="31" t="s">
        <v>810</v>
      </c>
      <c r="C382" s="32" t="s">
        <v>784</v>
      </c>
      <c r="D382" s="24">
        <v>14.1</v>
      </c>
      <c r="E382" s="24">
        <v>12.26</v>
      </c>
      <c r="F382" s="82">
        <f t="shared" si="15"/>
        <v>172.87</v>
      </c>
      <c r="G382" s="100">
        <v>0</v>
      </c>
      <c r="H382" s="73">
        <v>0</v>
      </c>
      <c r="I382" s="73">
        <v>172.87</v>
      </c>
      <c r="J382" s="101">
        <v>0</v>
      </c>
      <c r="K382" s="62">
        <f t="shared" si="16"/>
        <v>172.87</v>
      </c>
      <c r="L382" s="1">
        <f t="shared" si="17"/>
        <v>0</v>
      </c>
    </row>
    <row r="383" spans="1:12" x14ac:dyDescent="0.3">
      <c r="A383" s="30" t="s">
        <v>811</v>
      </c>
      <c r="B383" s="31" t="s">
        <v>812</v>
      </c>
      <c r="C383" s="32" t="s">
        <v>806</v>
      </c>
      <c r="D383" s="24">
        <v>0.25</v>
      </c>
      <c r="E383" s="24">
        <v>7.24</v>
      </c>
      <c r="F383" s="82">
        <f t="shared" si="15"/>
        <v>1.81</v>
      </c>
      <c r="G383" s="100">
        <v>0</v>
      </c>
      <c r="H383" s="73">
        <v>1.81</v>
      </c>
      <c r="I383" s="73">
        <v>0</v>
      </c>
      <c r="J383" s="101">
        <v>0</v>
      </c>
      <c r="K383" s="62">
        <f t="shared" si="16"/>
        <v>1.81</v>
      </c>
      <c r="L383" s="1">
        <f t="shared" si="17"/>
        <v>0</v>
      </c>
    </row>
    <row r="384" spans="1:12" x14ac:dyDescent="0.3">
      <c r="A384" s="30" t="s">
        <v>813</v>
      </c>
      <c r="B384" s="31" t="s">
        <v>814</v>
      </c>
      <c r="C384" s="32" t="s">
        <v>784</v>
      </c>
      <c r="D384" s="24">
        <v>2.41</v>
      </c>
      <c r="E384" s="24">
        <v>290</v>
      </c>
      <c r="F384" s="82">
        <f t="shared" si="15"/>
        <v>698.9</v>
      </c>
      <c r="G384" s="100">
        <v>698.9</v>
      </c>
      <c r="H384" s="73">
        <v>0</v>
      </c>
      <c r="I384" s="73">
        <v>0</v>
      </c>
      <c r="J384" s="101">
        <v>0</v>
      </c>
      <c r="K384" s="62">
        <f t="shared" si="16"/>
        <v>698.9</v>
      </c>
      <c r="L384" s="1">
        <f t="shared" si="17"/>
        <v>0</v>
      </c>
    </row>
    <row r="385" spans="1:14" x14ac:dyDescent="0.3">
      <c r="A385" s="30" t="s">
        <v>815</v>
      </c>
      <c r="B385" s="31" t="s">
        <v>816</v>
      </c>
      <c r="C385" s="32" t="s">
        <v>784</v>
      </c>
      <c r="D385" s="24">
        <v>0.6</v>
      </c>
      <c r="E385" s="24">
        <v>205.34</v>
      </c>
      <c r="F385" s="82">
        <f t="shared" si="15"/>
        <v>123.2</v>
      </c>
      <c r="G385" s="100">
        <v>123.2</v>
      </c>
      <c r="H385" s="73">
        <v>0</v>
      </c>
      <c r="I385" s="73">
        <v>0</v>
      </c>
      <c r="J385" s="101">
        <v>0</v>
      </c>
      <c r="K385" s="62">
        <f t="shared" si="16"/>
        <v>123.2</v>
      </c>
      <c r="L385" s="1">
        <f t="shared" si="17"/>
        <v>0</v>
      </c>
    </row>
    <row r="386" spans="1:14" x14ac:dyDescent="0.3">
      <c r="A386" s="30" t="s">
        <v>817</v>
      </c>
      <c r="B386" s="31" t="s">
        <v>818</v>
      </c>
      <c r="C386" s="32" t="s">
        <v>784</v>
      </c>
      <c r="D386" s="24">
        <v>9.67</v>
      </c>
      <c r="E386" s="24">
        <v>243.43</v>
      </c>
      <c r="F386" s="82">
        <f t="shared" si="15"/>
        <v>2353.9699999999998</v>
      </c>
      <c r="G386" s="100">
        <v>2353.9699999999998</v>
      </c>
      <c r="H386" s="73">
        <v>0</v>
      </c>
      <c r="I386" s="73">
        <v>0</v>
      </c>
      <c r="J386" s="101">
        <v>0</v>
      </c>
      <c r="K386" s="62">
        <f t="shared" si="16"/>
        <v>2353.9699999999998</v>
      </c>
      <c r="L386" s="1">
        <f t="shared" si="17"/>
        <v>0</v>
      </c>
    </row>
    <row r="387" spans="1:14" x14ac:dyDescent="0.3">
      <c r="A387" s="30" t="s">
        <v>819</v>
      </c>
      <c r="B387" s="31" t="s">
        <v>820</v>
      </c>
      <c r="C387" s="32" t="s">
        <v>784</v>
      </c>
      <c r="D387" s="24">
        <v>1.1399999999999999</v>
      </c>
      <c r="E387" s="24">
        <v>208.67</v>
      </c>
      <c r="F387" s="82">
        <f t="shared" si="15"/>
        <v>237.88</v>
      </c>
      <c r="G387" s="100">
        <v>0</v>
      </c>
      <c r="H387" s="73">
        <v>2</v>
      </c>
      <c r="I387" s="73">
        <v>0</v>
      </c>
      <c r="J387" s="101">
        <v>235.88</v>
      </c>
      <c r="K387" s="62">
        <f t="shared" si="16"/>
        <v>237.88</v>
      </c>
      <c r="L387" s="1">
        <f t="shared" si="17"/>
        <v>0</v>
      </c>
    </row>
    <row r="388" spans="1:14" x14ac:dyDescent="0.3">
      <c r="A388" s="30" t="s">
        <v>821</v>
      </c>
      <c r="B388" s="31" t="s">
        <v>822</v>
      </c>
      <c r="C388" s="32" t="s">
        <v>784</v>
      </c>
      <c r="D388" s="24">
        <v>2.74</v>
      </c>
      <c r="E388" s="24">
        <v>243.43</v>
      </c>
      <c r="F388" s="82">
        <f t="shared" si="15"/>
        <v>667</v>
      </c>
      <c r="G388" s="100">
        <v>666.64</v>
      </c>
      <c r="H388" s="73">
        <v>0.36</v>
      </c>
      <c r="I388" s="73">
        <v>0</v>
      </c>
      <c r="J388" s="101">
        <v>0</v>
      </c>
      <c r="K388" s="62">
        <f t="shared" si="16"/>
        <v>667</v>
      </c>
      <c r="L388" s="1">
        <f t="shared" si="17"/>
        <v>0</v>
      </c>
    </row>
    <row r="389" spans="1:14" x14ac:dyDescent="0.3">
      <c r="A389" s="30" t="s">
        <v>823</v>
      </c>
      <c r="B389" s="31" t="s">
        <v>824</v>
      </c>
      <c r="C389" s="32" t="s">
        <v>784</v>
      </c>
      <c r="D389" s="24">
        <v>1.03</v>
      </c>
      <c r="E389" s="24">
        <v>5</v>
      </c>
      <c r="F389" s="82">
        <f t="shared" si="15"/>
        <v>5.15</v>
      </c>
      <c r="G389" s="100">
        <v>0</v>
      </c>
      <c r="H389" s="73">
        <v>0</v>
      </c>
      <c r="I389" s="73">
        <v>5.15</v>
      </c>
      <c r="J389" s="101">
        <v>0</v>
      </c>
      <c r="K389" s="62">
        <f t="shared" si="16"/>
        <v>5.15</v>
      </c>
      <c r="L389" s="1">
        <f t="shared" si="17"/>
        <v>0</v>
      </c>
    </row>
    <row r="390" spans="1:14" x14ac:dyDescent="0.3">
      <c r="A390" s="30" t="s">
        <v>825</v>
      </c>
      <c r="B390" s="31" t="s">
        <v>826</v>
      </c>
      <c r="C390" s="32" t="s">
        <v>784</v>
      </c>
      <c r="D390" s="24">
        <v>86.87</v>
      </c>
      <c r="E390" s="24">
        <v>12.26</v>
      </c>
      <c r="F390" s="82">
        <f t="shared" si="15"/>
        <v>1065.03</v>
      </c>
      <c r="G390" s="100">
        <v>235.51</v>
      </c>
      <c r="H390" s="73">
        <v>483.74</v>
      </c>
      <c r="I390" s="73">
        <v>345.78</v>
      </c>
      <c r="J390" s="101">
        <v>0</v>
      </c>
      <c r="K390" s="62">
        <f t="shared" si="16"/>
        <v>1065.03</v>
      </c>
      <c r="L390" s="1">
        <f t="shared" si="17"/>
        <v>0</v>
      </c>
    </row>
    <row r="391" spans="1:14" x14ac:dyDescent="0.3">
      <c r="A391" s="30" t="s">
        <v>827</v>
      </c>
      <c r="B391" s="31" t="s">
        <v>828</v>
      </c>
      <c r="C391" s="32" t="s">
        <v>784</v>
      </c>
      <c r="D391" s="24">
        <v>5.79</v>
      </c>
      <c r="E391" s="24">
        <v>12.26</v>
      </c>
      <c r="F391" s="82">
        <f t="shared" si="15"/>
        <v>70.989999999999995</v>
      </c>
      <c r="G391" s="100">
        <v>0</v>
      </c>
      <c r="H391" s="73">
        <v>70.989999999999995</v>
      </c>
      <c r="I391" s="73">
        <v>0</v>
      </c>
      <c r="J391" s="101">
        <v>0</v>
      </c>
      <c r="K391" s="62">
        <f t="shared" si="16"/>
        <v>70.989999999999995</v>
      </c>
      <c r="L391" s="1">
        <f t="shared" si="17"/>
        <v>0</v>
      </c>
    </row>
    <row r="392" spans="1:14" x14ac:dyDescent="0.3">
      <c r="A392" s="30" t="s">
        <v>829</v>
      </c>
      <c r="B392" s="31" t="s">
        <v>830</v>
      </c>
      <c r="C392" s="32" t="s">
        <v>784</v>
      </c>
      <c r="D392" s="24">
        <v>3.18</v>
      </c>
      <c r="E392" s="24">
        <v>120.53</v>
      </c>
      <c r="F392" s="82">
        <f t="shared" si="15"/>
        <v>383.29</v>
      </c>
      <c r="G392" s="100">
        <v>0</v>
      </c>
      <c r="H392" s="73">
        <v>383.29</v>
      </c>
      <c r="I392" s="73">
        <v>0</v>
      </c>
      <c r="J392" s="101">
        <v>0</v>
      </c>
      <c r="K392" s="62">
        <f t="shared" si="16"/>
        <v>383.29</v>
      </c>
      <c r="L392" s="1">
        <f t="shared" si="17"/>
        <v>0</v>
      </c>
    </row>
    <row r="393" spans="1:14" x14ac:dyDescent="0.3">
      <c r="A393" s="30" t="s">
        <v>831</v>
      </c>
      <c r="B393" s="31" t="s">
        <v>832</v>
      </c>
      <c r="C393" s="32" t="s">
        <v>784</v>
      </c>
      <c r="D393" s="24">
        <v>7.53</v>
      </c>
      <c r="E393" s="24">
        <v>118.2</v>
      </c>
      <c r="F393" s="82">
        <f t="shared" si="15"/>
        <v>890.05</v>
      </c>
      <c r="G393" s="100">
        <v>890.05</v>
      </c>
      <c r="H393" s="73">
        <v>0</v>
      </c>
      <c r="I393" s="73">
        <v>0</v>
      </c>
      <c r="J393" s="101">
        <v>0</v>
      </c>
      <c r="K393" s="62">
        <f t="shared" si="16"/>
        <v>890.05</v>
      </c>
      <c r="L393" s="1">
        <f t="shared" si="17"/>
        <v>0</v>
      </c>
    </row>
    <row r="394" spans="1:14" x14ac:dyDescent="0.3">
      <c r="A394" s="30" t="s">
        <v>833</v>
      </c>
      <c r="B394" s="31" t="s">
        <v>834</v>
      </c>
      <c r="C394" s="32" t="s">
        <v>784</v>
      </c>
      <c r="D394" s="24">
        <v>59.94</v>
      </c>
      <c r="E394" s="24">
        <v>36.450000000000003</v>
      </c>
      <c r="F394" s="82">
        <f t="shared" si="15"/>
        <v>2184.81</v>
      </c>
      <c r="G394" s="100">
        <v>369.44</v>
      </c>
      <c r="H394" s="73">
        <v>1815.37</v>
      </c>
      <c r="I394" s="73">
        <v>0</v>
      </c>
      <c r="J394" s="101">
        <v>0</v>
      </c>
      <c r="K394" s="62">
        <f t="shared" si="16"/>
        <v>2184.81</v>
      </c>
      <c r="L394" s="1">
        <f t="shared" si="17"/>
        <v>0</v>
      </c>
    </row>
    <row r="395" spans="1:14" x14ac:dyDescent="0.3">
      <c r="A395" s="30" t="s">
        <v>835</v>
      </c>
      <c r="B395" s="31" t="s">
        <v>836</v>
      </c>
      <c r="C395" s="32" t="s">
        <v>784</v>
      </c>
      <c r="D395" s="24">
        <v>0.28000000000000003</v>
      </c>
      <c r="E395" s="24">
        <v>9.89</v>
      </c>
      <c r="F395" s="82">
        <f t="shared" si="15"/>
        <v>2.77</v>
      </c>
      <c r="G395" s="100">
        <v>0</v>
      </c>
      <c r="H395" s="73">
        <v>0</v>
      </c>
      <c r="I395" s="73">
        <v>0</v>
      </c>
      <c r="J395" s="101">
        <v>2.77</v>
      </c>
      <c r="K395" s="62">
        <f t="shared" si="16"/>
        <v>2.77</v>
      </c>
      <c r="L395" s="1">
        <f t="shared" si="17"/>
        <v>0</v>
      </c>
    </row>
    <row r="396" spans="1:14" x14ac:dyDescent="0.3">
      <c r="A396" s="30" t="s">
        <v>837</v>
      </c>
      <c r="B396" s="31" t="s">
        <v>838</v>
      </c>
      <c r="C396" s="32" t="s">
        <v>784</v>
      </c>
      <c r="D396" s="24">
        <v>16.12</v>
      </c>
      <c r="E396" s="24">
        <v>15.51</v>
      </c>
      <c r="F396" s="82">
        <f t="shared" ref="F396:F397" si="18">+ROUND(D396*E396,2)</f>
        <v>250.02</v>
      </c>
      <c r="G396" s="100">
        <v>250.02</v>
      </c>
      <c r="H396" s="73">
        <v>0</v>
      </c>
      <c r="I396" s="73">
        <v>0</v>
      </c>
      <c r="J396" s="101">
        <v>0</v>
      </c>
      <c r="K396" s="62">
        <f t="shared" ref="K396:K397" si="19">SUM(G396:J396)</f>
        <v>250.02</v>
      </c>
      <c r="L396" s="1">
        <f t="shared" ref="L396:L397" si="20">+F396-K396</f>
        <v>0</v>
      </c>
    </row>
    <row r="397" spans="1:14" x14ac:dyDescent="0.3">
      <c r="A397" s="30" t="s">
        <v>839</v>
      </c>
      <c r="B397" s="31" t="s">
        <v>840</v>
      </c>
      <c r="C397" s="32" t="s">
        <v>806</v>
      </c>
      <c r="D397" s="24">
        <v>69.27</v>
      </c>
      <c r="E397" s="24">
        <v>6.93</v>
      </c>
      <c r="F397" s="82">
        <f t="shared" si="18"/>
        <v>480.04</v>
      </c>
      <c r="G397" s="100">
        <v>87.25</v>
      </c>
      <c r="H397" s="73">
        <v>209.41</v>
      </c>
      <c r="I397" s="73">
        <v>183.38</v>
      </c>
      <c r="J397" s="101">
        <v>0</v>
      </c>
      <c r="K397" s="62">
        <f t="shared" si="19"/>
        <v>480.03999999999996</v>
      </c>
      <c r="L397" s="1">
        <f t="shared" si="20"/>
        <v>0</v>
      </c>
    </row>
    <row r="398" spans="1:14" x14ac:dyDescent="0.3">
      <c r="A398" s="17"/>
      <c r="B398" s="43" t="s">
        <v>841</v>
      </c>
      <c r="C398" s="18"/>
      <c r="D398" s="44" t="s">
        <v>842</v>
      </c>
      <c r="E398" s="110"/>
      <c r="F398" s="89">
        <f t="shared" ref="F398:K398" si="21">SUM(F10:F397)</f>
        <v>948231.15999999957</v>
      </c>
      <c r="G398" s="88">
        <f t="shared" si="21"/>
        <v>245689.03999999998</v>
      </c>
      <c r="H398" s="90">
        <f t="shared" si="21"/>
        <v>189018.92999999993</v>
      </c>
      <c r="I398" s="90">
        <f t="shared" si="21"/>
        <v>283636.7900000001</v>
      </c>
      <c r="J398" s="89">
        <f t="shared" si="21"/>
        <v>229886.39999999997</v>
      </c>
      <c r="K398" s="108">
        <f t="shared" si="21"/>
        <v>948231.15999999957</v>
      </c>
      <c r="L398" s="1">
        <f>SUM(G398:J398)</f>
        <v>948231.15999999992</v>
      </c>
      <c r="N398" s="1">
        <v>948231.15999999957</v>
      </c>
    </row>
    <row r="399" spans="1:14" x14ac:dyDescent="0.3">
      <c r="A399" s="23"/>
      <c r="B399" s="28" t="s">
        <v>843</v>
      </c>
      <c r="C399" s="24"/>
      <c r="D399" s="46" t="s">
        <v>844</v>
      </c>
      <c r="E399" s="24"/>
      <c r="F399" s="97">
        <f t="shared" ref="F399:K399" si="22">+F398*$D$399</f>
        <v>94823.115999999965</v>
      </c>
      <c r="G399" s="102">
        <f t="shared" si="22"/>
        <v>24568.903999999999</v>
      </c>
      <c r="H399" s="97">
        <f t="shared" si="22"/>
        <v>18901.892999999993</v>
      </c>
      <c r="I399" s="97">
        <f t="shared" si="22"/>
        <v>28363.679000000011</v>
      </c>
      <c r="J399" s="103">
        <f t="shared" si="22"/>
        <v>22988.639999999999</v>
      </c>
      <c r="K399" s="62">
        <f t="shared" si="22"/>
        <v>94823.115999999965</v>
      </c>
      <c r="L399" s="1">
        <f t="shared" ref="L399:L403" si="23">SUM(G399:J399)</f>
        <v>94823.115999999995</v>
      </c>
      <c r="M399" s="46" t="s">
        <v>844</v>
      </c>
      <c r="N399" s="55">
        <f>+N398*$M$399</f>
        <v>94823.115999999965</v>
      </c>
    </row>
    <row r="400" spans="1:14" x14ac:dyDescent="0.3">
      <c r="A400" s="34"/>
      <c r="B400" s="48" t="s">
        <v>845</v>
      </c>
      <c r="C400" s="35"/>
      <c r="D400" s="49" t="s">
        <v>846</v>
      </c>
      <c r="E400" s="35"/>
      <c r="F400" s="98">
        <f t="shared" ref="F400:K400" si="24">+F398*$D$400</f>
        <v>66376.181199999977</v>
      </c>
      <c r="G400" s="104">
        <f t="shared" si="24"/>
        <v>17198.232800000002</v>
      </c>
      <c r="H400" s="98">
        <f t="shared" si="24"/>
        <v>13231.325099999996</v>
      </c>
      <c r="I400" s="98">
        <f t="shared" si="24"/>
        <v>19854.575300000008</v>
      </c>
      <c r="J400" s="105">
        <f t="shared" si="24"/>
        <v>16092.047999999999</v>
      </c>
      <c r="K400" s="62">
        <f t="shared" si="24"/>
        <v>66376.181199999977</v>
      </c>
      <c r="L400" s="1">
        <f t="shared" si="23"/>
        <v>66376.181200000006</v>
      </c>
      <c r="M400" s="49" t="s">
        <v>846</v>
      </c>
      <c r="N400" s="56">
        <f>+N398*$M$400</f>
        <v>66376.181199999977</v>
      </c>
    </row>
    <row r="401" spans="1:14" x14ac:dyDescent="0.3">
      <c r="A401" s="17"/>
      <c r="B401" s="43" t="s">
        <v>847</v>
      </c>
      <c r="C401" s="18"/>
      <c r="D401" s="44" t="s">
        <v>842</v>
      </c>
      <c r="E401" s="18"/>
      <c r="F401" s="99">
        <f t="shared" ref="F401:K401" si="25">SUM(F398:F400)</f>
        <v>1109430.4571999994</v>
      </c>
      <c r="G401" s="88">
        <f t="shared" si="25"/>
        <v>287456.17679999996</v>
      </c>
      <c r="H401" s="99">
        <f t="shared" si="25"/>
        <v>221152.1480999999</v>
      </c>
      <c r="I401" s="99">
        <f t="shared" si="25"/>
        <v>331855.04430000013</v>
      </c>
      <c r="J401" s="106">
        <f t="shared" si="25"/>
        <v>268967.08799999999</v>
      </c>
      <c r="K401" s="108">
        <f t="shared" si="25"/>
        <v>1109430.4571999994</v>
      </c>
      <c r="L401" s="1">
        <f t="shared" si="23"/>
        <v>1109430.4572000001</v>
      </c>
      <c r="M401" s="44" t="s">
        <v>842</v>
      </c>
      <c r="N401" s="54">
        <f>SUM(N398:N400)</f>
        <v>1109430.4571999994</v>
      </c>
    </row>
    <row r="402" spans="1:14" x14ac:dyDescent="0.3">
      <c r="A402" s="34"/>
      <c r="B402" s="48" t="s">
        <v>848</v>
      </c>
      <c r="C402" s="35"/>
      <c r="D402" s="49" t="s">
        <v>849</v>
      </c>
      <c r="E402" s="35"/>
      <c r="F402" s="98">
        <f t="shared" ref="F402:K402" si="26">+F401*$D$402</f>
        <v>199697.48229599989</v>
      </c>
      <c r="G402" s="104">
        <f t="shared" si="26"/>
        <v>51742.111823999992</v>
      </c>
      <c r="H402" s="98">
        <f t="shared" si="26"/>
        <v>39807.386657999981</v>
      </c>
      <c r="I402" s="98">
        <f t="shared" si="26"/>
        <v>59733.907974000023</v>
      </c>
      <c r="J402" s="105">
        <f t="shared" si="26"/>
        <v>48414.075839999998</v>
      </c>
      <c r="K402" s="62">
        <f t="shared" si="26"/>
        <v>199697.48229599989</v>
      </c>
      <c r="L402" s="1">
        <f t="shared" si="23"/>
        <v>199697.482296</v>
      </c>
      <c r="M402" s="49" t="s">
        <v>849</v>
      </c>
      <c r="N402" s="56">
        <f>+N401*$M$402</f>
        <v>199697.48229599989</v>
      </c>
    </row>
    <row r="403" spans="1:14" x14ac:dyDescent="0.3">
      <c r="A403" s="63"/>
      <c r="B403" s="64" t="s">
        <v>850</v>
      </c>
      <c r="C403" s="65"/>
      <c r="D403" s="66" t="s">
        <v>842</v>
      </c>
      <c r="E403" s="65"/>
      <c r="F403" s="80">
        <f t="shared" ref="F403:K403" si="27">SUM(F401:F402)</f>
        <v>1309127.9394959994</v>
      </c>
      <c r="G403" s="107">
        <f t="shared" si="27"/>
        <v>339198.28862399992</v>
      </c>
      <c r="H403" s="80">
        <f t="shared" si="27"/>
        <v>260959.53475799988</v>
      </c>
      <c r="I403" s="80">
        <f t="shared" si="27"/>
        <v>391588.95227400016</v>
      </c>
      <c r="J403" s="76">
        <f t="shared" si="27"/>
        <v>317381.16383999999</v>
      </c>
      <c r="K403" s="109">
        <f t="shared" si="27"/>
        <v>1309127.9394959994</v>
      </c>
      <c r="L403" s="1">
        <f t="shared" si="23"/>
        <v>1309127.9394959998</v>
      </c>
      <c r="M403" s="66" t="s">
        <v>842</v>
      </c>
      <c r="N403" s="80">
        <f>SUM(N401:N402)</f>
        <v>1309127.9394959994</v>
      </c>
    </row>
    <row r="404" spans="1:14" x14ac:dyDescent="0.3">
      <c r="A404" s="68"/>
      <c r="B404" s="69" t="s">
        <v>851</v>
      </c>
      <c r="C404" s="70"/>
      <c r="D404" s="70"/>
      <c r="E404" s="70"/>
      <c r="F404" s="81" t="s">
        <v>855</v>
      </c>
      <c r="G404" s="84">
        <f>+G403</f>
        <v>339198.28862399992</v>
      </c>
      <c r="H404" s="70">
        <f>+G404+H403</f>
        <v>600157.82338199974</v>
      </c>
      <c r="I404" s="70">
        <f>+H404+I403</f>
        <v>991746.7756559999</v>
      </c>
      <c r="J404" s="77">
        <f>+I404+J403</f>
        <v>1309127.9394959998</v>
      </c>
      <c r="K404" s="61"/>
    </row>
    <row r="405" spans="1:14" x14ac:dyDescent="0.3">
      <c r="A405" s="71"/>
      <c r="B405" s="72" t="s">
        <v>852</v>
      </c>
      <c r="C405" s="73"/>
      <c r="D405" s="73"/>
      <c r="E405" s="73"/>
      <c r="F405" s="82"/>
      <c r="G405" s="85">
        <f>+G403/F403</f>
        <v>0.25910247454850571</v>
      </c>
      <c r="H405" s="74">
        <f>+H403/F403</f>
        <v>0.19933845034158126</v>
      </c>
      <c r="I405" s="74">
        <f>+I403/F403</f>
        <v>0.29912198835566661</v>
      </c>
      <c r="J405" s="78">
        <f>+J403/F403</f>
        <v>0.24243708675424683</v>
      </c>
      <c r="K405" s="62"/>
    </row>
    <row r="406" spans="1:14" ht="10.8" thickBot="1" x14ac:dyDescent="0.35">
      <c r="A406" s="68"/>
      <c r="B406" s="69" t="s">
        <v>853</v>
      </c>
      <c r="C406" s="70"/>
      <c r="D406" s="70"/>
      <c r="E406" s="70"/>
      <c r="F406" s="81"/>
      <c r="G406" s="86">
        <f>+G405</f>
        <v>0.25910247454850571</v>
      </c>
      <c r="H406" s="75">
        <f>+G406+H405</f>
        <v>0.45844092489008698</v>
      </c>
      <c r="I406" s="75">
        <f>+H406+I405</f>
        <v>0.75756291324575353</v>
      </c>
      <c r="J406" s="79">
        <f>+I406+J405</f>
        <v>1.0000000000000004</v>
      </c>
      <c r="K406" s="61"/>
    </row>
  </sheetData>
  <mergeCells count="1">
    <mergeCell ref="B5:K5"/>
  </mergeCells>
  <pageMargins left="0.7" right="0.7" top="0.75" bottom="0.75" header="0.3" footer="0.3"/>
  <pageSetup scale="7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A3E3-4E49-47EB-A315-BF82B1AA65D1}">
  <dimension ref="A1:L415"/>
  <sheetViews>
    <sheetView topLeftCell="A339" workbookViewId="0">
      <selection activeCell="O403" sqref="O403"/>
    </sheetView>
  </sheetViews>
  <sheetFormatPr baseColWidth="10" defaultRowHeight="10.199999999999999" x14ac:dyDescent="0.3"/>
  <cols>
    <col min="1" max="1" width="9.77734375" style="1" customWidth="1"/>
    <col min="2" max="2" width="37" style="1" customWidth="1"/>
    <col min="3" max="3" width="5.77734375" style="1" customWidth="1"/>
    <col min="4" max="5" width="8.33203125" style="1" customWidth="1"/>
    <col min="6" max="6" width="9.33203125" style="1" customWidth="1"/>
    <col min="7" max="10" width="9.109375" style="1" customWidth="1"/>
    <col min="11" max="11" width="9.44140625" style="1" customWidth="1"/>
    <col min="12" max="16384" width="11.5546875" style="1"/>
  </cols>
  <sheetData>
    <row r="1" spans="1:12" ht="10.8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3"/>
    </row>
    <row r="3" spans="1:12" ht="27.6" x14ac:dyDescent="0.3">
      <c r="A3" s="5" t="s">
        <v>0</v>
      </c>
      <c r="B3" s="5"/>
      <c r="C3" s="5"/>
      <c r="D3" s="5"/>
      <c r="E3" s="5"/>
      <c r="F3" s="5"/>
      <c r="G3" s="5"/>
      <c r="H3" s="5"/>
      <c r="I3" s="5"/>
      <c r="J3" s="5"/>
      <c r="K3" s="5"/>
    </row>
    <row r="5" spans="1:12" ht="25.8" customHeight="1" x14ac:dyDescent="0.3">
      <c r="A5" s="4" t="s">
        <v>1</v>
      </c>
      <c r="B5" s="118" t="s">
        <v>854</v>
      </c>
      <c r="C5" s="118"/>
      <c r="D5" s="118"/>
      <c r="E5" s="118"/>
      <c r="F5" s="118"/>
      <c r="G5" s="118"/>
      <c r="H5" s="118"/>
      <c r="I5" s="118"/>
      <c r="J5" s="118"/>
      <c r="K5" s="118"/>
    </row>
    <row r="6" spans="1:12" ht="11.4" x14ac:dyDescent="0.3">
      <c r="A6" s="4" t="s">
        <v>2</v>
      </c>
      <c r="B6" s="6" t="s">
        <v>5</v>
      </c>
    </row>
    <row r="7" spans="1:12" ht="12" thickBot="1" x14ac:dyDescent="0.35">
      <c r="A7" s="4" t="s">
        <v>3</v>
      </c>
      <c r="B7" s="6" t="s">
        <v>6</v>
      </c>
      <c r="D7" s="4" t="s">
        <v>4</v>
      </c>
      <c r="E7" s="1" t="s">
        <v>7</v>
      </c>
    </row>
    <row r="8" spans="1:12" ht="10.8" x14ac:dyDescent="0.3">
      <c r="G8" s="11" t="s">
        <v>8</v>
      </c>
      <c r="H8" s="8"/>
      <c r="I8" s="8"/>
      <c r="J8" s="9"/>
    </row>
    <row r="9" spans="1:12" ht="32.4" x14ac:dyDescent="0.3">
      <c r="A9" s="7" t="s">
        <v>9</v>
      </c>
      <c r="B9" s="7" t="s">
        <v>10</v>
      </c>
      <c r="C9" s="7" t="s">
        <v>11</v>
      </c>
      <c r="D9" s="7" t="s">
        <v>12</v>
      </c>
      <c r="E9" s="7" t="s">
        <v>13</v>
      </c>
      <c r="F9" s="10" t="s">
        <v>14</v>
      </c>
      <c r="G9" s="12" t="s">
        <v>15</v>
      </c>
      <c r="H9" s="13" t="s">
        <v>16</v>
      </c>
      <c r="I9" s="13" t="s">
        <v>17</v>
      </c>
      <c r="J9" s="14" t="s">
        <v>18</v>
      </c>
      <c r="K9" s="15" t="s">
        <v>19</v>
      </c>
    </row>
    <row r="10" spans="1:12" ht="5.25" customHeight="1" x14ac:dyDescent="0.3">
      <c r="A10" s="17"/>
      <c r="B10" s="18"/>
      <c r="C10" s="18"/>
      <c r="D10" s="18"/>
      <c r="E10" s="18"/>
      <c r="F10" s="20"/>
      <c r="G10" s="21"/>
      <c r="H10" s="18"/>
      <c r="I10" s="18"/>
      <c r="J10" s="19"/>
      <c r="K10" s="16"/>
    </row>
    <row r="11" spans="1:12" x14ac:dyDescent="0.3">
      <c r="A11" s="23"/>
      <c r="B11" s="29" t="s">
        <v>20</v>
      </c>
      <c r="C11" s="24"/>
      <c r="D11" s="24"/>
      <c r="E11" s="24"/>
      <c r="F11" s="26"/>
      <c r="G11" s="27"/>
      <c r="H11" s="24"/>
      <c r="I11" s="24"/>
      <c r="J11" s="25"/>
      <c r="K11" s="22"/>
    </row>
    <row r="12" spans="1:12" x14ac:dyDescent="0.3">
      <c r="A12" s="30" t="s">
        <v>21</v>
      </c>
      <c r="B12" s="31" t="s">
        <v>22</v>
      </c>
      <c r="C12" s="32" t="s">
        <v>23</v>
      </c>
      <c r="D12" s="24">
        <v>988.65</v>
      </c>
      <c r="E12" s="24">
        <v>32.72</v>
      </c>
      <c r="F12" s="26">
        <f>+ROUND(D12*E12,2)</f>
        <v>32348.63</v>
      </c>
      <c r="G12" s="27">
        <v>7081.5</v>
      </c>
      <c r="H12" s="24">
        <v>11897.83</v>
      </c>
      <c r="I12" s="24">
        <v>10440.11</v>
      </c>
      <c r="J12" s="25">
        <v>2929.19</v>
      </c>
      <c r="K12" s="22">
        <v>32348.63</v>
      </c>
      <c r="L12" s="1">
        <v>32348.63</v>
      </c>
    </row>
    <row r="13" spans="1:12" x14ac:dyDescent="0.3">
      <c r="A13" s="30" t="s">
        <v>24</v>
      </c>
      <c r="B13" s="31" t="s">
        <v>25</v>
      </c>
      <c r="C13" s="32" t="s">
        <v>23</v>
      </c>
      <c r="D13" s="24">
        <v>4613.16</v>
      </c>
      <c r="E13" s="24">
        <v>27.66</v>
      </c>
      <c r="F13" s="26">
        <f t="shared" ref="F13:F76" si="0">+ROUND(D13*E13,2)</f>
        <v>127600.01</v>
      </c>
      <c r="G13" s="27">
        <v>11209.47</v>
      </c>
      <c r="H13" s="24">
        <v>36682.33</v>
      </c>
      <c r="I13" s="24">
        <v>48928.61</v>
      </c>
      <c r="J13" s="25">
        <v>30779.599999999999</v>
      </c>
      <c r="K13" s="22">
        <v>127600.01</v>
      </c>
      <c r="L13" s="1">
        <v>127600.01</v>
      </c>
    </row>
    <row r="14" spans="1:12" x14ac:dyDescent="0.3">
      <c r="A14" s="30" t="s">
        <v>26</v>
      </c>
      <c r="B14" s="31" t="s">
        <v>27</v>
      </c>
      <c r="C14" s="32" t="s">
        <v>23</v>
      </c>
      <c r="D14" s="24">
        <v>2139.37</v>
      </c>
      <c r="E14" s="24">
        <v>21.76</v>
      </c>
      <c r="F14" s="26">
        <f t="shared" si="0"/>
        <v>46552.69</v>
      </c>
      <c r="G14" s="27">
        <v>6925.08</v>
      </c>
      <c r="H14" s="24">
        <v>25966.04</v>
      </c>
      <c r="I14" s="24">
        <v>13265.3</v>
      </c>
      <c r="J14" s="25">
        <v>396.27</v>
      </c>
      <c r="K14" s="22">
        <v>46552.69</v>
      </c>
      <c r="L14" s="1">
        <v>46552.69</v>
      </c>
    </row>
    <row r="15" spans="1:12" x14ac:dyDescent="0.3">
      <c r="A15" s="30" t="s">
        <v>28</v>
      </c>
      <c r="B15" s="31" t="s">
        <v>29</v>
      </c>
      <c r="C15" s="32" t="s">
        <v>23</v>
      </c>
      <c r="D15" s="24">
        <v>4817.32</v>
      </c>
      <c r="E15" s="24">
        <v>19.7</v>
      </c>
      <c r="F15" s="26">
        <f t="shared" si="0"/>
        <v>94901.2</v>
      </c>
      <c r="G15" s="27">
        <v>17706.3</v>
      </c>
      <c r="H15" s="24">
        <v>26487</v>
      </c>
      <c r="I15" s="24">
        <v>37871.24</v>
      </c>
      <c r="J15" s="25">
        <v>12836.66</v>
      </c>
      <c r="K15" s="22">
        <v>94901.2</v>
      </c>
      <c r="L15" s="1">
        <v>94901.2</v>
      </c>
    </row>
    <row r="16" spans="1:12" x14ac:dyDescent="0.3">
      <c r="A16" s="30" t="s">
        <v>30</v>
      </c>
      <c r="B16" s="31" t="s">
        <v>31</v>
      </c>
      <c r="C16" s="32" t="s">
        <v>32</v>
      </c>
      <c r="D16" s="24">
        <v>1</v>
      </c>
      <c r="E16" s="24">
        <v>31.49</v>
      </c>
      <c r="F16" s="26">
        <f t="shared" si="0"/>
        <v>31.49</v>
      </c>
      <c r="G16" s="27">
        <v>31.49</v>
      </c>
      <c r="H16" s="24">
        <v>0</v>
      </c>
      <c r="I16" s="24">
        <v>0</v>
      </c>
      <c r="J16" s="25">
        <v>0</v>
      </c>
      <c r="K16" s="22">
        <v>31.49</v>
      </c>
      <c r="L16" s="1">
        <v>31.49</v>
      </c>
    </row>
    <row r="17" spans="1:12" x14ac:dyDescent="0.3">
      <c r="A17" s="30" t="s">
        <v>33</v>
      </c>
      <c r="B17" s="31" t="s">
        <v>34</v>
      </c>
      <c r="C17" s="32" t="s">
        <v>35</v>
      </c>
      <c r="D17" s="24">
        <v>122.36</v>
      </c>
      <c r="E17" s="24">
        <v>28.61</v>
      </c>
      <c r="F17" s="26">
        <f t="shared" si="0"/>
        <v>3500.72</v>
      </c>
      <c r="G17" s="27">
        <v>610.34</v>
      </c>
      <c r="H17" s="24">
        <v>1664.05</v>
      </c>
      <c r="I17" s="24">
        <v>1226.33</v>
      </c>
      <c r="J17" s="25">
        <v>0</v>
      </c>
      <c r="K17" s="22">
        <v>3500.72</v>
      </c>
      <c r="L17" s="1">
        <v>3500.72</v>
      </c>
    </row>
    <row r="18" spans="1:12" x14ac:dyDescent="0.3">
      <c r="A18" s="23"/>
      <c r="B18" s="29" t="s">
        <v>36</v>
      </c>
      <c r="C18" s="24"/>
      <c r="D18" s="24"/>
      <c r="E18" s="24"/>
      <c r="F18" s="26">
        <f t="shared" si="0"/>
        <v>0</v>
      </c>
      <c r="G18" s="27"/>
      <c r="H18" s="24"/>
      <c r="I18" s="24"/>
      <c r="J18" s="25"/>
      <c r="K18" s="22"/>
    </row>
    <row r="19" spans="1:12" x14ac:dyDescent="0.3">
      <c r="A19" s="30" t="s">
        <v>37</v>
      </c>
      <c r="B19" s="31" t="s">
        <v>38</v>
      </c>
      <c r="C19" s="32" t="s">
        <v>39</v>
      </c>
      <c r="D19" s="24">
        <v>18.36</v>
      </c>
      <c r="E19" s="24">
        <v>18.98</v>
      </c>
      <c r="F19" s="26">
        <f t="shared" si="0"/>
        <v>348.47</v>
      </c>
      <c r="G19" s="27">
        <v>147.5</v>
      </c>
      <c r="H19" s="24">
        <v>66.52</v>
      </c>
      <c r="I19" s="24">
        <v>134.44999999999999</v>
      </c>
      <c r="J19" s="25">
        <v>0</v>
      </c>
      <c r="K19" s="22">
        <v>348.47</v>
      </c>
      <c r="L19" s="1">
        <v>348.47</v>
      </c>
    </row>
    <row r="20" spans="1:12" x14ac:dyDescent="0.3">
      <c r="A20" s="30" t="s">
        <v>40</v>
      </c>
      <c r="B20" s="31" t="s">
        <v>41</v>
      </c>
      <c r="C20" s="32" t="s">
        <v>42</v>
      </c>
      <c r="D20" s="24">
        <v>130.08000000000001</v>
      </c>
      <c r="E20" s="24">
        <v>61.63</v>
      </c>
      <c r="F20" s="26">
        <f t="shared" si="0"/>
        <v>8016.83</v>
      </c>
      <c r="G20" s="27">
        <v>2091.98</v>
      </c>
      <c r="H20" s="24">
        <v>3141.08</v>
      </c>
      <c r="I20" s="24">
        <v>2783.77</v>
      </c>
      <c r="J20" s="25">
        <v>0</v>
      </c>
      <c r="K20" s="22">
        <v>8016.83</v>
      </c>
      <c r="L20" s="1">
        <v>8016.83</v>
      </c>
    </row>
    <row r="21" spans="1:12" x14ac:dyDescent="0.3">
      <c r="A21" s="30" t="s">
        <v>43</v>
      </c>
      <c r="B21" s="31" t="s">
        <v>44</v>
      </c>
      <c r="C21" s="32" t="s">
        <v>45</v>
      </c>
      <c r="D21" s="24">
        <v>4</v>
      </c>
      <c r="E21" s="24">
        <v>63</v>
      </c>
      <c r="F21" s="26">
        <f t="shared" si="0"/>
        <v>252</v>
      </c>
      <c r="G21" s="27">
        <v>0</v>
      </c>
      <c r="H21" s="24">
        <v>0</v>
      </c>
      <c r="I21" s="24">
        <v>252</v>
      </c>
      <c r="J21" s="25">
        <v>0</v>
      </c>
      <c r="K21" s="22">
        <v>252</v>
      </c>
      <c r="L21" s="1">
        <v>252</v>
      </c>
    </row>
    <row r="22" spans="1:12" x14ac:dyDescent="0.3">
      <c r="A22" s="30" t="s">
        <v>46</v>
      </c>
      <c r="B22" s="31" t="s">
        <v>47</v>
      </c>
      <c r="C22" s="32" t="s">
        <v>48</v>
      </c>
      <c r="D22" s="24">
        <v>5.54</v>
      </c>
      <c r="E22" s="24">
        <v>101.69</v>
      </c>
      <c r="F22" s="26">
        <f t="shared" si="0"/>
        <v>563.36</v>
      </c>
      <c r="G22" s="27">
        <v>0</v>
      </c>
      <c r="H22" s="24">
        <v>0</v>
      </c>
      <c r="I22" s="24">
        <v>471.45</v>
      </c>
      <c r="J22" s="25">
        <v>91.91</v>
      </c>
      <c r="K22" s="22">
        <v>563.36</v>
      </c>
      <c r="L22" s="1">
        <v>563.36</v>
      </c>
    </row>
    <row r="23" spans="1:12" x14ac:dyDescent="0.3">
      <c r="A23" s="30" t="s">
        <v>49</v>
      </c>
      <c r="B23" s="31" t="s">
        <v>50</v>
      </c>
      <c r="C23" s="32" t="s">
        <v>51</v>
      </c>
      <c r="D23" s="24">
        <v>4.9000000000000004</v>
      </c>
      <c r="E23" s="24">
        <v>8.65</v>
      </c>
      <c r="F23" s="26">
        <f t="shared" si="0"/>
        <v>42.39</v>
      </c>
      <c r="G23" s="27">
        <v>0</v>
      </c>
      <c r="H23" s="24">
        <v>0</v>
      </c>
      <c r="I23" s="24">
        <v>42.39</v>
      </c>
      <c r="J23" s="25">
        <v>0</v>
      </c>
      <c r="K23" s="22">
        <v>42.39</v>
      </c>
      <c r="L23" s="1">
        <v>42.39</v>
      </c>
    </row>
    <row r="24" spans="1:12" x14ac:dyDescent="0.3">
      <c r="A24" s="30" t="s">
        <v>52</v>
      </c>
      <c r="B24" s="31" t="s">
        <v>53</v>
      </c>
      <c r="C24" s="32" t="s">
        <v>51</v>
      </c>
      <c r="D24" s="24">
        <v>78.64</v>
      </c>
      <c r="E24" s="24">
        <v>8.73</v>
      </c>
      <c r="F24" s="26">
        <f t="shared" si="0"/>
        <v>686.53</v>
      </c>
      <c r="G24" s="27">
        <v>85.88</v>
      </c>
      <c r="H24" s="24">
        <v>348.82</v>
      </c>
      <c r="I24" s="24">
        <v>251.83</v>
      </c>
      <c r="J24" s="25">
        <v>0</v>
      </c>
      <c r="K24" s="22">
        <v>686.53</v>
      </c>
      <c r="L24" s="1">
        <v>686.53</v>
      </c>
    </row>
    <row r="25" spans="1:12" x14ac:dyDescent="0.3">
      <c r="A25" s="30" t="s">
        <v>54</v>
      </c>
      <c r="B25" s="31" t="s">
        <v>55</v>
      </c>
      <c r="C25" s="32" t="s">
        <v>56</v>
      </c>
      <c r="D25" s="24">
        <v>9.77</v>
      </c>
      <c r="E25" s="24">
        <v>6.97</v>
      </c>
      <c r="F25" s="26">
        <f t="shared" si="0"/>
        <v>68.099999999999994</v>
      </c>
      <c r="G25" s="27">
        <v>68.099999999999994</v>
      </c>
      <c r="H25" s="24">
        <v>0</v>
      </c>
      <c r="I25" s="24">
        <v>0</v>
      </c>
      <c r="J25" s="25">
        <v>0</v>
      </c>
      <c r="K25" s="22">
        <v>68.099999999999994</v>
      </c>
      <c r="L25" s="1">
        <v>68.099999999999994</v>
      </c>
    </row>
    <row r="26" spans="1:12" x14ac:dyDescent="0.3">
      <c r="A26" s="30" t="s">
        <v>57</v>
      </c>
      <c r="B26" s="31" t="s">
        <v>58</v>
      </c>
      <c r="C26" s="32" t="s">
        <v>51</v>
      </c>
      <c r="D26" s="24">
        <v>703.74</v>
      </c>
      <c r="E26" s="24">
        <v>8.73</v>
      </c>
      <c r="F26" s="26">
        <f t="shared" si="0"/>
        <v>6143.65</v>
      </c>
      <c r="G26" s="27">
        <v>1349.96</v>
      </c>
      <c r="H26" s="24">
        <v>3086.01</v>
      </c>
      <c r="I26" s="24">
        <v>1707.68</v>
      </c>
      <c r="J26" s="25">
        <v>0</v>
      </c>
      <c r="K26" s="22">
        <v>6143.65</v>
      </c>
      <c r="L26" s="1">
        <v>6143.65</v>
      </c>
    </row>
    <row r="27" spans="1:12" x14ac:dyDescent="0.3">
      <c r="A27" s="30" t="s">
        <v>59</v>
      </c>
      <c r="B27" s="31" t="s">
        <v>60</v>
      </c>
      <c r="C27" s="32" t="s">
        <v>45</v>
      </c>
      <c r="D27" s="24">
        <v>3</v>
      </c>
      <c r="E27" s="24">
        <v>313.27999999999997</v>
      </c>
      <c r="F27" s="26">
        <f t="shared" si="0"/>
        <v>939.84</v>
      </c>
      <c r="G27" s="27">
        <v>0</v>
      </c>
      <c r="H27" s="24">
        <v>939.84</v>
      </c>
      <c r="I27" s="24">
        <v>0</v>
      </c>
      <c r="J27" s="25">
        <v>0</v>
      </c>
      <c r="K27" s="22">
        <v>939.84</v>
      </c>
      <c r="L27" s="1">
        <v>939.84</v>
      </c>
    </row>
    <row r="28" spans="1:12" x14ac:dyDescent="0.3">
      <c r="A28" s="30" t="s">
        <v>61</v>
      </c>
      <c r="B28" s="31" t="s">
        <v>62</v>
      </c>
      <c r="C28" s="32" t="s">
        <v>51</v>
      </c>
      <c r="D28" s="24">
        <v>390.13</v>
      </c>
      <c r="E28" s="24">
        <v>6.7</v>
      </c>
      <c r="F28" s="26">
        <f t="shared" si="0"/>
        <v>2613.87</v>
      </c>
      <c r="G28" s="27">
        <v>216.19</v>
      </c>
      <c r="H28" s="24">
        <v>1814.21</v>
      </c>
      <c r="I28" s="24">
        <v>583.47</v>
      </c>
      <c r="J28" s="25">
        <v>0</v>
      </c>
      <c r="K28" s="22">
        <v>2613.87</v>
      </c>
      <c r="L28" s="1">
        <v>2613.87</v>
      </c>
    </row>
    <row r="29" spans="1:12" x14ac:dyDescent="0.3">
      <c r="A29" s="30" t="s">
        <v>63</v>
      </c>
      <c r="B29" s="31" t="s">
        <v>64</v>
      </c>
      <c r="C29" s="32" t="s">
        <v>51</v>
      </c>
      <c r="D29" s="24">
        <v>10.4</v>
      </c>
      <c r="E29" s="24">
        <v>5.33</v>
      </c>
      <c r="F29" s="26">
        <f t="shared" si="0"/>
        <v>55.43</v>
      </c>
      <c r="G29" s="27">
        <v>55.43</v>
      </c>
      <c r="H29" s="24">
        <v>0</v>
      </c>
      <c r="I29" s="24">
        <v>0</v>
      </c>
      <c r="J29" s="25">
        <v>0</v>
      </c>
      <c r="K29" s="22">
        <v>55.43</v>
      </c>
      <c r="L29" s="1">
        <v>55.43</v>
      </c>
    </row>
    <row r="30" spans="1:12" x14ac:dyDescent="0.3">
      <c r="A30" s="30" t="s">
        <v>65</v>
      </c>
      <c r="B30" s="31" t="s">
        <v>66</v>
      </c>
      <c r="C30" s="32" t="s">
        <v>51</v>
      </c>
      <c r="D30" s="24">
        <v>10.5</v>
      </c>
      <c r="E30" s="24">
        <v>24.92</v>
      </c>
      <c r="F30" s="26">
        <f t="shared" si="0"/>
        <v>261.66000000000003</v>
      </c>
      <c r="G30" s="27">
        <v>0</v>
      </c>
      <c r="H30" s="24">
        <v>0</v>
      </c>
      <c r="I30" s="24">
        <v>261.66000000000003</v>
      </c>
      <c r="J30" s="25">
        <v>0</v>
      </c>
      <c r="K30" s="22">
        <v>261.66000000000003</v>
      </c>
      <c r="L30" s="1">
        <v>261.66000000000003</v>
      </c>
    </row>
    <row r="31" spans="1:12" x14ac:dyDescent="0.3">
      <c r="A31" s="30" t="s">
        <v>67</v>
      </c>
      <c r="B31" s="31" t="s">
        <v>68</v>
      </c>
      <c r="C31" s="32" t="s">
        <v>51</v>
      </c>
      <c r="D31" s="24">
        <v>2.5</v>
      </c>
      <c r="E31" s="24">
        <v>7.15</v>
      </c>
      <c r="F31" s="26">
        <f t="shared" si="0"/>
        <v>17.88</v>
      </c>
      <c r="G31" s="27">
        <v>0</v>
      </c>
      <c r="H31" s="24">
        <v>17.88</v>
      </c>
      <c r="I31" s="24">
        <v>0</v>
      </c>
      <c r="J31" s="25">
        <v>0</v>
      </c>
      <c r="K31" s="22">
        <v>17.88</v>
      </c>
      <c r="L31" s="1">
        <v>17.88</v>
      </c>
    </row>
    <row r="32" spans="1:12" x14ac:dyDescent="0.3">
      <c r="A32" s="30" t="s">
        <v>69</v>
      </c>
      <c r="B32" s="31" t="s">
        <v>70</v>
      </c>
      <c r="C32" s="32" t="s">
        <v>45</v>
      </c>
      <c r="D32" s="24">
        <v>88.01</v>
      </c>
      <c r="E32" s="24">
        <v>1.1000000000000001</v>
      </c>
      <c r="F32" s="26">
        <f t="shared" si="0"/>
        <v>96.81</v>
      </c>
      <c r="G32" s="27">
        <v>0</v>
      </c>
      <c r="H32" s="24">
        <v>0</v>
      </c>
      <c r="I32" s="24">
        <v>0</v>
      </c>
      <c r="J32" s="25">
        <v>96.81</v>
      </c>
      <c r="K32" s="22">
        <v>96.81</v>
      </c>
      <c r="L32" s="1">
        <v>96.81</v>
      </c>
    </row>
    <row r="33" spans="1:12" x14ac:dyDescent="0.3">
      <c r="A33" s="30" t="s">
        <v>71</v>
      </c>
      <c r="B33" s="31" t="s">
        <v>72</v>
      </c>
      <c r="C33" s="32" t="s">
        <v>45</v>
      </c>
      <c r="D33" s="24">
        <v>1</v>
      </c>
      <c r="E33" s="24">
        <v>925.85</v>
      </c>
      <c r="F33" s="26">
        <f t="shared" si="0"/>
        <v>925.85</v>
      </c>
      <c r="G33" s="27">
        <v>0</v>
      </c>
      <c r="H33" s="24">
        <v>0</v>
      </c>
      <c r="I33" s="24">
        <v>0</v>
      </c>
      <c r="J33" s="25">
        <v>925.85</v>
      </c>
      <c r="K33" s="22">
        <v>925.85</v>
      </c>
      <c r="L33" s="1">
        <v>925.85</v>
      </c>
    </row>
    <row r="34" spans="1:12" x14ac:dyDescent="0.3">
      <c r="A34" s="30" t="s">
        <v>73</v>
      </c>
      <c r="B34" s="31" t="s">
        <v>74</v>
      </c>
      <c r="C34" s="32" t="s">
        <v>45</v>
      </c>
      <c r="D34" s="24">
        <v>2</v>
      </c>
      <c r="E34" s="24">
        <v>925.85</v>
      </c>
      <c r="F34" s="26">
        <f t="shared" si="0"/>
        <v>1851.7</v>
      </c>
      <c r="G34" s="27">
        <v>0</v>
      </c>
      <c r="H34" s="24">
        <v>0</v>
      </c>
      <c r="I34" s="24">
        <v>0</v>
      </c>
      <c r="J34" s="25">
        <v>1851.7</v>
      </c>
      <c r="K34" s="22">
        <v>1851.7</v>
      </c>
      <c r="L34" s="1">
        <v>1851.7</v>
      </c>
    </row>
    <row r="35" spans="1:12" x14ac:dyDescent="0.3">
      <c r="A35" s="30" t="s">
        <v>75</v>
      </c>
      <c r="B35" s="31" t="s">
        <v>76</v>
      </c>
      <c r="C35" s="32" t="s">
        <v>45</v>
      </c>
      <c r="D35" s="24">
        <v>1</v>
      </c>
      <c r="E35" s="24">
        <v>925.85</v>
      </c>
      <c r="F35" s="26">
        <f t="shared" si="0"/>
        <v>925.85</v>
      </c>
      <c r="G35" s="27">
        <v>0</v>
      </c>
      <c r="H35" s="24">
        <v>0</v>
      </c>
      <c r="I35" s="24">
        <v>0</v>
      </c>
      <c r="J35" s="25">
        <v>925.85</v>
      </c>
      <c r="K35" s="22">
        <v>925.85</v>
      </c>
      <c r="L35" s="1">
        <v>925.85</v>
      </c>
    </row>
    <row r="36" spans="1:12" x14ac:dyDescent="0.3">
      <c r="A36" s="30" t="s">
        <v>77</v>
      </c>
      <c r="B36" s="31" t="s">
        <v>78</v>
      </c>
      <c r="C36" s="32" t="s">
        <v>45</v>
      </c>
      <c r="D36" s="24">
        <v>1</v>
      </c>
      <c r="E36" s="24">
        <v>2287.2199999999998</v>
      </c>
      <c r="F36" s="26">
        <f t="shared" si="0"/>
        <v>2287.2199999999998</v>
      </c>
      <c r="G36" s="27">
        <v>0</v>
      </c>
      <c r="H36" s="24">
        <v>0</v>
      </c>
      <c r="I36" s="24">
        <v>2287.2199999999998</v>
      </c>
      <c r="J36" s="25">
        <v>0</v>
      </c>
      <c r="K36" s="22">
        <v>2287.2199999999998</v>
      </c>
      <c r="L36" s="1">
        <v>2287.2199999999998</v>
      </c>
    </row>
    <row r="37" spans="1:12" x14ac:dyDescent="0.3">
      <c r="A37" s="30" t="s">
        <v>79</v>
      </c>
      <c r="B37" s="31" t="s">
        <v>80</v>
      </c>
      <c r="C37" s="32" t="s">
        <v>45</v>
      </c>
      <c r="D37" s="24">
        <v>1</v>
      </c>
      <c r="E37" s="24">
        <v>273.22000000000003</v>
      </c>
      <c r="F37" s="26">
        <f t="shared" si="0"/>
        <v>273.22000000000003</v>
      </c>
      <c r="G37" s="27">
        <v>0</v>
      </c>
      <c r="H37" s="24">
        <v>0</v>
      </c>
      <c r="I37" s="24">
        <v>273.22000000000003</v>
      </c>
      <c r="J37" s="25">
        <v>0</v>
      </c>
      <c r="K37" s="22">
        <v>273.22000000000003</v>
      </c>
      <c r="L37" s="1">
        <v>273.22000000000003</v>
      </c>
    </row>
    <row r="38" spans="1:12" x14ac:dyDescent="0.3">
      <c r="A38" s="30" t="s">
        <v>81</v>
      </c>
      <c r="B38" s="31" t="s">
        <v>82</v>
      </c>
      <c r="C38" s="32" t="s">
        <v>45</v>
      </c>
      <c r="D38" s="24">
        <v>2.2000000000000002</v>
      </c>
      <c r="E38" s="24">
        <v>96.14</v>
      </c>
      <c r="F38" s="26">
        <f t="shared" si="0"/>
        <v>211.51</v>
      </c>
      <c r="G38" s="27">
        <v>0</v>
      </c>
      <c r="H38" s="24">
        <v>0</v>
      </c>
      <c r="I38" s="24">
        <v>0</v>
      </c>
      <c r="J38" s="25">
        <v>211.51</v>
      </c>
      <c r="K38" s="22">
        <v>211.51</v>
      </c>
      <c r="L38" s="1">
        <v>211.51</v>
      </c>
    </row>
    <row r="39" spans="1:12" x14ac:dyDescent="0.3">
      <c r="A39" s="30" t="s">
        <v>83</v>
      </c>
      <c r="B39" s="31" t="s">
        <v>84</v>
      </c>
      <c r="C39" s="32" t="s">
        <v>45</v>
      </c>
      <c r="D39" s="24">
        <v>3</v>
      </c>
      <c r="E39" s="24">
        <v>220</v>
      </c>
      <c r="F39" s="26">
        <f t="shared" si="0"/>
        <v>660</v>
      </c>
      <c r="G39" s="27">
        <v>0</v>
      </c>
      <c r="H39" s="24">
        <v>0</v>
      </c>
      <c r="I39" s="24">
        <v>660</v>
      </c>
      <c r="J39" s="25">
        <v>0</v>
      </c>
      <c r="K39" s="22">
        <v>660</v>
      </c>
      <c r="L39" s="1">
        <v>660</v>
      </c>
    </row>
    <row r="40" spans="1:12" x14ac:dyDescent="0.3">
      <c r="A40" s="30" t="s">
        <v>85</v>
      </c>
      <c r="B40" s="31" t="s">
        <v>86</v>
      </c>
      <c r="C40" s="32" t="s">
        <v>45</v>
      </c>
      <c r="D40" s="24">
        <v>3.7</v>
      </c>
      <c r="E40" s="24">
        <v>220</v>
      </c>
      <c r="F40" s="26">
        <f t="shared" si="0"/>
        <v>814</v>
      </c>
      <c r="G40" s="27">
        <v>0</v>
      </c>
      <c r="H40" s="24">
        <v>0</v>
      </c>
      <c r="I40" s="24">
        <v>814</v>
      </c>
      <c r="J40" s="25">
        <v>0</v>
      </c>
      <c r="K40" s="22">
        <v>814</v>
      </c>
      <c r="L40" s="1">
        <v>814</v>
      </c>
    </row>
    <row r="41" spans="1:12" x14ac:dyDescent="0.3">
      <c r="A41" s="30" t="s">
        <v>87</v>
      </c>
      <c r="B41" s="31" t="s">
        <v>88</v>
      </c>
      <c r="C41" s="32" t="s">
        <v>56</v>
      </c>
      <c r="D41" s="24">
        <v>24.5</v>
      </c>
      <c r="E41" s="24">
        <v>3.78</v>
      </c>
      <c r="F41" s="26">
        <f t="shared" si="0"/>
        <v>92.61</v>
      </c>
      <c r="G41" s="27">
        <v>0</v>
      </c>
      <c r="H41" s="24">
        <v>0</v>
      </c>
      <c r="I41" s="24">
        <v>92.61</v>
      </c>
      <c r="J41" s="25">
        <v>0</v>
      </c>
      <c r="K41" s="22">
        <v>92.61</v>
      </c>
      <c r="L41" s="1">
        <v>92.61</v>
      </c>
    </row>
    <row r="42" spans="1:12" x14ac:dyDescent="0.3">
      <c r="A42" s="30" t="s">
        <v>89</v>
      </c>
      <c r="B42" s="31" t="s">
        <v>90</v>
      </c>
      <c r="C42" s="32" t="s">
        <v>51</v>
      </c>
      <c r="D42" s="24">
        <v>12434.94</v>
      </c>
      <c r="E42" s="24">
        <v>5.59</v>
      </c>
      <c r="F42" s="26">
        <f t="shared" si="0"/>
        <v>69511.31</v>
      </c>
      <c r="G42" s="27">
        <v>27525.51</v>
      </c>
      <c r="H42" s="24">
        <v>29848.41</v>
      </c>
      <c r="I42" s="24">
        <v>12137.39</v>
      </c>
      <c r="J42" s="25">
        <v>0</v>
      </c>
      <c r="K42" s="22">
        <v>69511.31</v>
      </c>
      <c r="L42" s="1">
        <v>69511.31</v>
      </c>
    </row>
    <row r="43" spans="1:12" x14ac:dyDescent="0.3">
      <c r="A43" s="30" t="s">
        <v>91</v>
      </c>
      <c r="B43" s="31" t="s">
        <v>92</v>
      </c>
      <c r="C43" s="32" t="s">
        <v>93</v>
      </c>
      <c r="D43" s="24">
        <v>53.97</v>
      </c>
      <c r="E43" s="24">
        <v>50.66</v>
      </c>
      <c r="F43" s="26">
        <f t="shared" si="0"/>
        <v>2734.12</v>
      </c>
      <c r="G43" s="27">
        <v>0</v>
      </c>
      <c r="H43" s="24">
        <v>58.08</v>
      </c>
      <c r="I43" s="24">
        <v>1105.32</v>
      </c>
      <c r="J43" s="25">
        <v>1570.72</v>
      </c>
      <c r="K43" s="22">
        <v>2734.12</v>
      </c>
      <c r="L43" s="1">
        <v>2734.12</v>
      </c>
    </row>
    <row r="44" spans="1:12" x14ac:dyDescent="0.3">
      <c r="A44" s="30" t="s">
        <v>94</v>
      </c>
      <c r="B44" s="31" t="s">
        <v>95</v>
      </c>
      <c r="C44" s="32" t="s">
        <v>93</v>
      </c>
      <c r="D44" s="24">
        <v>157.5</v>
      </c>
      <c r="E44" s="24">
        <v>51.09</v>
      </c>
      <c r="F44" s="26">
        <f t="shared" si="0"/>
        <v>8046.68</v>
      </c>
      <c r="G44" s="27">
        <v>1581.13</v>
      </c>
      <c r="H44" s="24">
        <v>2825.14</v>
      </c>
      <c r="I44" s="24">
        <v>3309.92</v>
      </c>
      <c r="J44" s="25">
        <v>330.49</v>
      </c>
      <c r="K44" s="22">
        <v>8046.68</v>
      </c>
      <c r="L44" s="1">
        <v>8046.68</v>
      </c>
    </row>
    <row r="45" spans="1:12" x14ac:dyDescent="0.3">
      <c r="A45" s="30" t="s">
        <v>96</v>
      </c>
      <c r="B45" s="31" t="s">
        <v>97</v>
      </c>
      <c r="C45" s="32" t="s">
        <v>42</v>
      </c>
      <c r="D45" s="24">
        <v>0.3</v>
      </c>
      <c r="E45" s="24">
        <v>79.2</v>
      </c>
      <c r="F45" s="26">
        <f t="shared" si="0"/>
        <v>23.76</v>
      </c>
      <c r="G45" s="27">
        <v>0</v>
      </c>
      <c r="H45" s="24">
        <v>0</v>
      </c>
      <c r="I45" s="24">
        <v>0</v>
      </c>
      <c r="J45" s="25">
        <v>23.76</v>
      </c>
      <c r="K45" s="22">
        <v>23.76</v>
      </c>
      <c r="L45" s="1">
        <v>23.76</v>
      </c>
    </row>
    <row r="46" spans="1:12" x14ac:dyDescent="0.3">
      <c r="A46" s="30" t="s">
        <v>98</v>
      </c>
      <c r="B46" s="31" t="s">
        <v>99</v>
      </c>
      <c r="C46" s="32" t="s">
        <v>45</v>
      </c>
      <c r="D46" s="24">
        <v>7.11</v>
      </c>
      <c r="E46" s="24">
        <v>7.53</v>
      </c>
      <c r="F46" s="26">
        <f t="shared" si="0"/>
        <v>53.54</v>
      </c>
      <c r="G46" s="27">
        <v>0</v>
      </c>
      <c r="H46" s="24">
        <v>53.54</v>
      </c>
      <c r="I46" s="24">
        <v>0</v>
      </c>
      <c r="J46" s="25">
        <v>0</v>
      </c>
      <c r="K46" s="22">
        <v>53.54</v>
      </c>
      <c r="L46" s="1">
        <v>53.54</v>
      </c>
    </row>
    <row r="47" spans="1:12" x14ac:dyDescent="0.3">
      <c r="A47" s="30" t="s">
        <v>100</v>
      </c>
      <c r="B47" s="31" t="s">
        <v>101</v>
      </c>
      <c r="C47" s="32" t="s">
        <v>102</v>
      </c>
      <c r="D47" s="24">
        <v>1427.64</v>
      </c>
      <c r="E47" s="24">
        <v>7.53</v>
      </c>
      <c r="F47" s="26">
        <f t="shared" si="0"/>
        <v>10750.13</v>
      </c>
      <c r="G47" s="27">
        <v>0</v>
      </c>
      <c r="H47" s="24">
        <v>0</v>
      </c>
      <c r="I47" s="24">
        <v>10750.13</v>
      </c>
      <c r="J47" s="25">
        <v>0</v>
      </c>
      <c r="K47" s="22">
        <v>10750.13</v>
      </c>
      <c r="L47" s="1">
        <v>10750.13</v>
      </c>
    </row>
    <row r="48" spans="1:12" x14ac:dyDescent="0.3">
      <c r="A48" s="30" t="s">
        <v>103</v>
      </c>
      <c r="B48" s="31" t="s">
        <v>104</v>
      </c>
      <c r="C48" s="32" t="s">
        <v>45</v>
      </c>
      <c r="D48" s="24">
        <v>122.33</v>
      </c>
      <c r="E48" s="24">
        <v>19.809999999999999</v>
      </c>
      <c r="F48" s="26">
        <f t="shared" si="0"/>
        <v>2423.36</v>
      </c>
      <c r="G48" s="27">
        <v>0</v>
      </c>
      <c r="H48" s="24">
        <v>0</v>
      </c>
      <c r="I48" s="24">
        <v>0</v>
      </c>
      <c r="J48" s="25">
        <v>2423.36</v>
      </c>
      <c r="K48" s="22">
        <v>2423.36</v>
      </c>
      <c r="L48" s="1">
        <v>2423.36</v>
      </c>
    </row>
    <row r="49" spans="1:12" x14ac:dyDescent="0.3">
      <c r="A49" s="30" t="s">
        <v>105</v>
      </c>
      <c r="B49" s="31" t="s">
        <v>106</v>
      </c>
      <c r="C49" s="32" t="s">
        <v>93</v>
      </c>
      <c r="D49" s="24">
        <v>76.900000000000006</v>
      </c>
      <c r="E49" s="24">
        <v>49.15</v>
      </c>
      <c r="F49" s="26">
        <f t="shared" si="0"/>
        <v>3779.64</v>
      </c>
      <c r="G49" s="27">
        <v>0</v>
      </c>
      <c r="H49" s="24">
        <v>3779.64</v>
      </c>
      <c r="I49" s="24">
        <v>0</v>
      </c>
      <c r="J49" s="25">
        <v>0</v>
      </c>
      <c r="K49" s="22">
        <v>3779.64</v>
      </c>
      <c r="L49" s="1">
        <v>3779.64</v>
      </c>
    </row>
    <row r="50" spans="1:12" x14ac:dyDescent="0.3">
      <c r="A50" s="30" t="s">
        <v>107</v>
      </c>
      <c r="B50" s="31" t="s">
        <v>108</v>
      </c>
      <c r="C50" s="32" t="s">
        <v>42</v>
      </c>
      <c r="D50" s="24">
        <v>53.42</v>
      </c>
      <c r="E50" s="24">
        <v>6.75</v>
      </c>
      <c r="F50" s="26">
        <f t="shared" si="0"/>
        <v>360.59</v>
      </c>
      <c r="G50" s="27">
        <v>39.82</v>
      </c>
      <c r="H50" s="24">
        <v>120.96</v>
      </c>
      <c r="I50" s="24">
        <v>76.540000000000006</v>
      </c>
      <c r="J50" s="25">
        <v>123.27</v>
      </c>
      <c r="K50" s="22">
        <v>360.59</v>
      </c>
      <c r="L50" s="1">
        <v>360.59</v>
      </c>
    </row>
    <row r="51" spans="1:12" x14ac:dyDescent="0.3">
      <c r="A51" s="30" t="s">
        <v>109</v>
      </c>
      <c r="B51" s="31" t="s">
        <v>110</v>
      </c>
      <c r="C51" s="32" t="s">
        <v>42</v>
      </c>
      <c r="D51" s="24">
        <v>22.26</v>
      </c>
      <c r="E51" s="24">
        <v>49.15</v>
      </c>
      <c r="F51" s="26">
        <f t="shared" si="0"/>
        <v>1094.08</v>
      </c>
      <c r="G51" s="27">
        <v>0</v>
      </c>
      <c r="H51" s="24">
        <v>1094.08</v>
      </c>
      <c r="I51" s="24">
        <v>0</v>
      </c>
      <c r="J51" s="25">
        <v>0</v>
      </c>
      <c r="K51" s="22">
        <v>1094.08</v>
      </c>
      <c r="L51" s="1">
        <v>1094.08</v>
      </c>
    </row>
    <row r="52" spans="1:12" x14ac:dyDescent="0.3">
      <c r="A52" s="30" t="s">
        <v>111</v>
      </c>
      <c r="B52" s="31" t="s">
        <v>112</v>
      </c>
      <c r="C52" s="32" t="s">
        <v>93</v>
      </c>
      <c r="D52" s="24">
        <v>6.29</v>
      </c>
      <c r="E52" s="24">
        <v>55</v>
      </c>
      <c r="F52" s="26">
        <f t="shared" si="0"/>
        <v>345.95</v>
      </c>
      <c r="G52" s="27">
        <v>0</v>
      </c>
      <c r="H52" s="24">
        <v>345.95</v>
      </c>
      <c r="I52" s="24">
        <v>0</v>
      </c>
      <c r="J52" s="25">
        <v>0</v>
      </c>
      <c r="K52" s="22">
        <v>345.95</v>
      </c>
      <c r="L52" s="1">
        <v>345.95</v>
      </c>
    </row>
    <row r="53" spans="1:12" x14ac:dyDescent="0.3">
      <c r="A53" s="30" t="s">
        <v>113</v>
      </c>
      <c r="B53" s="31" t="s">
        <v>114</v>
      </c>
      <c r="C53" s="32" t="s">
        <v>93</v>
      </c>
      <c r="D53" s="24">
        <v>1.89</v>
      </c>
      <c r="E53" s="24">
        <v>61.63</v>
      </c>
      <c r="F53" s="26">
        <f t="shared" si="0"/>
        <v>116.48</v>
      </c>
      <c r="G53" s="27">
        <v>0</v>
      </c>
      <c r="H53" s="24">
        <v>0</v>
      </c>
      <c r="I53" s="24">
        <v>116.48</v>
      </c>
      <c r="J53" s="25">
        <v>0</v>
      </c>
      <c r="K53" s="22">
        <v>116.48</v>
      </c>
      <c r="L53" s="1">
        <v>116.48</v>
      </c>
    </row>
    <row r="54" spans="1:12" x14ac:dyDescent="0.3">
      <c r="A54" s="30" t="s">
        <v>115</v>
      </c>
      <c r="B54" s="31" t="s">
        <v>116</v>
      </c>
      <c r="C54" s="32" t="s">
        <v>42</v>
      </c>
      <c r="D54" s="24">
        <v>18.010000000000002</v>
      </c>
      <c r="E54" s="24">
        <v>51.84</v>
      </c>
      <c r="F54" s="26">
        <f t="shared" si="0"/>
        <v>933.64</v>
      </c>
      <c r="G54" s="27">
        <v>191.95</v>
      </c>
      <c r="H54" s="24">
        <v>741.69</v>
      </c>
      <c r="I54" s="24">
        <v>0</v>
      </c>
      <c r="J54" s="25">
        <v>0</v>
      </c>
      <c r="K54" s="22">
        <v>933.64</v>
      </c>
      <c r="L54" s="1">
        <v>933.64</v>
      </c>
    </row>
    <row r="55" spans="1:12" x14ac:dyDescent="0.3">
      <c r="A55" s="30" t="s">
        <v>117</v>
      </c>
      <c r="B55" s="31" t="s">
        <v>118</v>
      </c>
      <c r="C55" s="32" t="s">
        <v>42</v>
      </c>
      <c r="D55" s="24">
        <v>2.65</v>
      </c>
      <c r="E55" s="24">
        <v>55.94</v>
      </c>
      <c r="F55" s="26">
        <f t="shared" si="0"/>
        <v>148.24</v>
      </c>
      <c r="G55" s="27">
        <v>0</v>
      </c>
      <c r="H55" s="24">
        <v>74.12</v>
      </c>
      <c r="I55" s="24">
        <v>74.12</v>
      </c>
      <c r="J55" s="25">
        <v>0</v>
      </c>
      <c r="K55" s="22">
        <v>148.24</v>
      </c>
      <c r="L55" s="1">
        <v>148.24</v>
      </c>
    </row>
    <row r="56" spans="1:12" x14ac:dyDescent="0.3">
      <c r="A56" s="30" t="s">
        <v>119</v>
      </c>
      <c r="B56" s="31" t="s">
        <v>120</v>
      </c>
      <c r="C56" s="32" t="s">
        <v>45</v>
      </c>
      <c r="D56" s="24">
        <v>1</v>
      </c>
      <c r="E56" s="24">
        <v>2200.79</v>
      </c>
      <c r="F56" s="26">
        <f t="shared" si="0"/>
        <v>2200.79</v>
      </c>
      <c r="G56" s="27">
        <v>0</v>
      </c>
      <c r="H56" s="24">
        <v>0</v>
      </c>
      <c r="I56" s="24">
        <v>2200.79</v>
      </c>
      <c r="J56" s="25">
        <v>0</v>
      </c>
      <c r="K56" s="22">
        <v>2200.79</v>
      </c>
      <c r="L56" s="1">
        <v>2200.79</v>
      </c>
    </row>
    <row r="57" spans="1:12" x14ac:dyDescent="0.3">
      <c r="A57" s="30" t="s">
        <v>121</v>
      </c>
      <c r="B57" s="31" t="s">
        <v>122</v>
      </c>
      <c r="C57" s="32" t="s">
        <v>123</v>
      </c>
      <c r="D57" s="24">
        <v>1.7</v>
      </c>
      <c r="E57" s="24">
        <v>12.38</v>
      </c>
      <c r="F57" s="26">
        <f t="shared" si="0"/>
        <v>21.05</v>
      </c>
      <c r="G57" s="27">
        <v>0</v>
      </c>
      <c r="H57" s="24">
        <v>21.05</v>
      </c>
      <c r="I57" s="24">
        <v>0</v>
      </c>
      <c r="J57" s="25">
        <v>0</v>
      </c>
      <c r="K57" s="22">
        <v>21.05</v>
      </c>
      <c r="L57" s="1">
        <v>21.05</v>
      </c>
    </row>
    <row r="58" spans="1:12" x14ac:dyDescent="0.3">
      <c r="A58" s="30" t="s">
        <v>124</v>
      </c>
      <c r="B58" s="31" t="s">
        <v>125</v>
      </c>
      <c r="C58" s="32" t="s">
        <v>123</v>
      </c>
      <c r="D58" s="24">
        <v>0.71</v>
      </c>
      <c r="E58" s="24">
        <v>250.8</v>
      </c>
      <c r="F58" s="26">
        <f t="shared" si="0"/>
        <v>178.07</v>
      </c>
      <c r="G58" s="27">
        <v>89.04</v>
      </c>
      <c r="H58" s="24">
        <v>89.03</v>
      </c>
      <c r="I58" s="24">
        <v>0</v>
      </c>
      <c r="J58" s="25">
        <v>0</v>
      </c>
      <c r="K58" s="22">
        <v>178.07</v>
      </c>
      <c r="L58" s="1">
        <v>178.07</v>
      </c>
    </row>
    <row r="59" spans="1:12" x14ac:dyDescent="0.3">
      <c r="A59" s="30" t="s">
        <v>126</v>
      </c>
      <c r="B59" s="31" t="s">
        <v>127</v>
      </c>
      <c r="C59" s="32" t="s">
        <v>128</v>
      </c>
      <c r="D59" s="24">
        <v>2</v>
      </c>
      <c r="E59" s="24">
        <v>5.23</v>
      </c>
      <c r="F59" s="26">
        <f t="shared" si="0"/>
        <v>10.46</v>
      </c>
      <c r="G59" s="27">
        <v>0</v>
      </c>
      <c r="H59" s="24">
        <v>10.46</v>
      </c>
      <c r="I59" s="24">
        <v>0</v>
      </c>
      <c r="J59" s="25">
        <v>0</v>
      </c>
      <c r="K59" s="22">
        <v>10.46</v>
      </c>
      <c r="L59" s="1">
        <v>10.46</v>
      </c>
    </row>
    <row r="60" spans="1:12" x14ac:dyDescent="0.3">
      <c r="A60" s="30" t="s">
        <v>129</v>
      </c>
      <c r="B60" s="31" t="s">
        <v>130</v>
      </c>
      <c r="C60" s="32" t="s">
        <v>128</v>
      </c>
      <c r="D60" s="24">
        <v>2</v>
      </c>
      <c r="E60" s="24">
        <v>1.98</v>
      </c>
      <c r="F60" s="26">
        <f t="shared" si="0"/>
        <v>3.96</v>
      </c>
      <c r="G60" s="27">
        <v>0</v>
      </c>
      <c r="H60" s="24">
        <v>3.96</v>
      </c>
      <c r="I60" s="24">
        <v>0</v>
      </c>
      <c r="J60" s="25">
        <v>0</v>
      </c>
      <c r="K60" s="22">
        <v>3.96</v>
      </c>
      <c r="L60" s="1">
        <v>3.96</v>
      </c>
    </row>
    <row r="61" spans="1:12" x14ac:dyDescent="0.3">
      <c r="A61" s="30" t="s">
        <v>131</v>
      </c>
      <c r="B61" s="31" t="s">
        <v>132</v>
      </c>
      <c r="C61" s="32" t="s">
        <v>123</v>
      </c>
      <c r="D61" s="24">
        <v>136.35</v>
      </c>
      <c r="E61" s="24">
        <v>2.1</v>
      </c>
      <c r="F61" s="26">
        <f t="shared" si="0"/>
        <v>286.33999999999997</v>
      </c>
      <c r="G61" s="27">
        <v>0</v>
      </c>
      <c r="H61" s="24">
        <v>286.33999999999997</v>
      </c>
      <c r="I61" s="24">
        <v>0</v>
      </c>
      <c r="J61" s="25">
        <v>0</v>
      </c>
      <c r="K61" s="22">
        <v>286.33999999999997</v>
      </c>
      <c r="L61" s="1">
        <v>286.33999999999997</v>
      </c>
    </row>
    <row r="62" spans="1:12" x14ac:dyDescent="0.3">
      <c r="A62" s="30" t="s">
        <v>133</v>
      </c>
      <c r="B62" s="31" t="s">
        <v>134</v>
      </c>
      <c r="C62" s="32" t="s">
        <v>123</v>
      </c>
      <c r="D62" s="24">
        <v>72.75</v>
      </c>
      <c r="E62" s="24">
        <v>3.78</v>
      </c>
      <c r="F62" s="26">
        <f t="shared" si="0"/>
        <v>275</v>
      </c>
      <c r="G62" s="27">
        <v>0</v>
      </c>
      <c r="H62" s="24">
        <v>0</v>
      </c>
      <c r="I62" s="24">
        <v>275</v>
      </c>
      <c r="J62" s="25">
        <v>0</v>
      </c>
      <c r="K62" s="22">
        <v>275</v>
      </c>
      <c r="L62" s="1">
        <v>275</v>
      </c>
    </row>
    <row r="63" spans="1:12" x14ac:dyDescent="0.3">
      <c r="A63" s="30" t="s">
        <v>135</v>
      </c>
      <c r="B63" s="31" t="s">
        <v>136</v>
      </c>
      <c r="C63" s="32" t="s">
        <v>123</v>
      </c>
      <c r="D63" s="24">
        <v>8.66</v>
      </c>
      <c r="E63" s="24">
        <v>5.17</v>
      </c>
      <c r="F63" s="26">
        <f t="shared" si="0"/>
        <v>44.77</v>
      </c>
      <c r="G63" s="27">
        <v>0</v>
      </c>
      <c r="H63" s="24">
        <v>0</v>
      </c>
      <c r="I63" s="24">
        <v>44.77</v>
      </c>
      <c r="J63" s="25">
        <v>0</v>
      </c>
      <c r="K63" s="22">
        <v>44.77</v>
      </c>
      <c r="L63" s="1">
        <v>44.77</v>
      </c>
    </row>
    <row r="64" spans="1:12" x14ac:dyDescent="0.3">
      <c r="A64" s="30" t="s">
        <v>137</v>
      </c>
      <c r="B64" s="31" t="s">
        <v>138</v>
      </c>
      <c r="C64" s="32" t="s">
        <v>123</v>
      </c>
      <c r="D64" s="24">
        <v>11.13</v>
      </c>
      <c r="E64" s="24">
        <v>5.41</v>
      </c>
      <c r="F64" s="26">
        <f t="shared" si="0"/>
        <v>60.21</v>
      </c>
      <c r="G64" s="27">
        <v>0</v>
      </c>
      <c r="H64" s="24">
        <v>0</v>
      </c>
      <c r="I64" s="24">
        <v>60.21</v>
      </c>
      <c r="J64" s="25">
        <v>0</v>
      </c>
      <c r="K64" s="22">
        <v>60.21</v>
      </c>
      <c r="L64" s="1">
        <v>60.21</v>
      </c>
    </row>
    <row r="65" spans="1:12" x14ac:dyDescent="0.3">
      <c r="A65" s="30" t="s">
        <v>139</v>
      </c>
      <c r="B65" s="31" t="s">
        <v>140</v>
      </c>
      <c r="C65" s="32" t="s">
        <v>123</v>
      </c>
      <c r="D65" s="24">
        <v>272.7</v>
      </c>
      <c r="E65" s="24">
        <v>2.1</v>
      </c>
      <c r="F65" s="26">
        <f t="shared" si="0"/>
        <v>572.66999999999996</v>
      </c>
      <c r="G65" s="27">
        <v>0</v>
      </c>
      <c r="H65" s="24">
        <v>572.66999999999996</v>
      </c>
      <c r="I65" s="24">
        <v>0</v>
      </c>
      <c r="J65" s="25">
        <v>0</v>
      </c>
      <c r="K65" s="22">
        <v>572.66999999999996</v>
      </c>
      <c r="L65" s="1">
        <v>572.66999999999996</v>
      </c>
    </row>
    <row r="66" spans="1:12" x14ac:dyDescent="0.3">
      <c r="A66" s="30" t="s">
        <v>141</v>
      </c>
      <c r="B66" s="31" t="s">
        <v>142</v>
      </c>
      <c r="C66" s="32" t="s">
        <v>123</v>
      </c>
      <c r="D66" s="24">
        <v>198.06</v>
      </c>
      <c r="E66" s="24">
        <v>3.78</v>
      </c>
      <c r="F66" s="26">
        <f t="shared" si="0"/>
        <v>748.67</v>
      </c>
      <c r="G66" s="27">
        <v>0</v>
      </c>
      <c r="H66" s="24">
        <v>0</v>
      </c>
      <c r="I66" s="24">
        <v>748.67</v>
      </c>
      <c r="J66" s="25">
        <v>0</v>
      </c>
      <c r="K66" s="22">
        <v>748.67</v>
      </c>
      <c r="L66" s="1">
        <v>748.67</v>
      </c>
    </row>
    <row r="67" spans="1:12" x14ac:dyDescent="0.3">
      <c r="A67" s="30" t="s">
        <v>143</v>
      </c>
      <c r="B67" s="31" t="s">
        <v>144</v>
      </c>
      <c r="C67" s="32" t="s">
        <v>123</v>
      </c>
      <c r="D67" s="24">
        <v>59.38</v>
      </c>
      <c r="E67" s="24">
        <v>5.17</v>
      </c>
      <c r="F67" s="26">
        <f t="shared" si="0"/>
        <v>306.99</v>
      </c>
      <c r="G67" s="27">
        <v>0</v>
      </c>
      <c r="H67" s="24">
        <v>0</v>
      </c>
      <c r="I67" s="24">
        <v>306.99</v>
      </c>
      <c r="J67" s="25">
        <v>0</v>
      </c>
      <c r="K67" s="22">
        <v>306.99</v>
      </c>
      <c r="L67" s="1">
        <v>306.99</v>
      </c>
    </row>
    <row r="68" spans="1:12" x14ac:dyDescent="0.3">
      <c r="A68" s="30" t="s">
        <v>145</v>
      </c>
      <c r="B68" s="31" t="s">
        <v>146</v>
      </c>
      <c r="C68" s="32" t="s">
        <v>123</v>
      </c>
      <c r="D68" s="24">
        <v>40.25</v>
      </c>
      <c r="E68" s="24">
        <v>1.72</v>
      </c>
      <c r="F68" s="26">
        <f t="shared" si="0"/>
        <v>69.23</v>
      </c>
      <c r="G68" s="27">
        <v>0</v>
      </c>
      <c r="H68" s="24">
        <v>69.23</v>
      </c>
      <c r="I68" s="24">
        <v>0</v>
      </c>
      <c r="J68" s="25">
        <v>0</v>
      </c>
      <c r="K68" s="22">
        <v>69.23</v>
      </c>
      <c r="L68" s="1">
        <v>69.23</v>
      </c>
    </row>
    <row r="69" spans="1:12" x14ac:dyDescent="0.3">
      <c r="A69" s="30" t="s">
        <v>147</v>
      </c>
      <c r="B69" s="31" t="s">
        <v>148</v>
      </c>
      <c r="C69" s="32" t="s">
        <v>123</v>
      </c>
      <c r="D69" s="24">
        <v>101</v>
      </c>
      <c r="E69" s="24">
        <v>1.72</v>
      </c>
      <c r="F69" s="26">
        <f t="shared" si="0"/>
        <v>173.72</v>
      </c>
      <c r="G69" s="27">
        <v>0</v>
      </c>
      <c r="H69" s="24">
        <v>173.72</v>
      </c>
      <c r="I69" s="24">
        <v>0</v>
      </c>
      <c r="J69" s="25">
        <v>0</v>
      </c>
      <c r="K69" s="22">
        <v>173.72</v>
      </c>
      <c r="L69" s="1">
        <v>173.72</v>
      </c>
    </row>
    <row r="70" spans="1:12" x14ac:dyDescent="0.3">
      <c r="A70" s="30" t="s">
        <v>149</v>
      </c>
      <c r="B70" s="31" t="s">
        <v>150</v>
      </c>
      <c r="C70" s="32" t="s">
        <v>123</v>
      </c>
      <c r="D70" s="24">
        <v>89.12</v>
      </c>
      <c r="E70" s="24">
        <v>2.1800000000000002</v>
      </c>
      <c r="F70" s="26">
        <f t="shared" si="0"/>
        <v>194.28</v>
      </c>
      <c r="G70" s="27">
        <v>0</v>
      </c>
      <c r="H70" s="24">
        <v>53.4</v>
      </c>
      <c r="I70" s="24">
        <v>140.88</v>
      </c>
      <c r="J70" s="25">
        <v>0</v>
      </c>
      <c r="K70" s="22">
        <v>194.28</v>
      </c>
      <c r="L70" s="1">
        <v>194.28</v>
      </c>
    </row>
    <row r="71" spans="1:12" x14ac:dyDescent="0.3">
      <c r="A71" s="30" t="s">
        <v>151</v>
      </c>
      <c r="B71" s="31" t="s">
        <v>152</v>
      </c>
      <c r="C71" s="32" t="s">
        <v>123</v>
      </c>
      <c r="D71" s="24">
        <v>20.68</v>
      </c>
      <c r="E71" s="24">
        <v>3.39</v>
      </c>
      <c r="F71" s="26">
        <f t="shared" si="0"/>
        <v>70.11</v>
      </c>
      <c r="G71" s="27">
        <v>0</v>
      </c>
      <c r="H71" s="24">
        <v>23.37</v>
      </c>
      <c r="I71" s="24">
        <v>46.74</v>
      </c>
      <c r="J71" s="25">
        <v>0</v>
      </c>
      <c r="K71" s="22">
        <v>70.11</v>
      </c>
      <c r="L71" s="1">
        <v>70.11</v>
      </c>
    </row>
    <row r="72" spans="1:12" x14ac:dyDescent="0.3">
      <c r="A72" s="30" t="s">
        <v>153</v>
      </c>
      <c r="B72" s="31" t="s">
        <v>154</v>
      </c>
      <c r="C72" s="32" t="s">
        <v>123</v>
      </c>
      <c r="D72" s="24">
        <v>84.42</v>
      </c>
      <c r="E72" s="24">
        <v>4.3600000000000003</v>
      </c>
      <c r="F72" s="26">
        <f t="shared" si="0"/>
        <v>368.07</v>
      </c>
      <c r="G72" s="27">
        <v>0</v>
      </c>
      <c r="H72" s="24">
        <v>111.33</v>
      </c>
      <c r="I72" s="24">
        <v>256.74</v>
      </c>
      <c r="J72" s="25">
        <v>0</v>
      </c>
      <c r="K72" s="22">
        <v>368.07</v>
      </c>
      <c r="L72" s="1">
        <v>368.07</v>
      </c>
    </row>
    <row r="73" spans="1:12" x14ac:dyDescent="0.3">
      <c r="A73" s="30" t="s">
        <v>155</v>
      </c>
      <c r="B73" s="31" t="s">
        <v>156</v>
      </c>
      <c r="C73" s="32" t="s">
        <v>123</v>
      </c>
      <c r="D73" s="24">
        <v>41.37</v>
      </c>
      <c r="E73" s="24">
        <v>6.78</v>
      </c>
      <c r="F73" s="26">
        <f t="shared" si="0"/>
        <v>280.49</v>
      </c>
      <c r="G73" s="27">
        <v>0</v>
      </c>
      <c r="H73" s="24">
        <v>93.5</v>
      </c>
      <c r="I73" s="24">
        <v>186.99</v>
      </c>
      <c r="J73" s="25">
        <v>0</v>
      </c>
      <c r="K73" s="22">
        <v>280.49</v>
      </c>
      <c r="L73" s="1">
        <v>280.49</v>
      </c>
    </row>
    <row r="74" spans="1:12" x14ac:dyDescent="0.3">
      <c r="A74" s="30" t="s">
        <v>157</v>
      </c>
      <c r="B74" s="31" t="s">
        <v>158</v>
      </c>
      <c r="C74" s="32" t="s">
        <v>45</v>
      </c>
      <c r="D74" s="24">
        <v>2</v>
      </c>
      <c r="E74" s="24">
        <v>117.8</v>
      </c>
      <c r="F74" s="26">
        <f t="shared" si="0"/>
        <v>235.6</v>
      </c>
      <c r="G74" s="27">
        <v>0</v>
      </c>
      <c r="H74" s="24">
        <v>0</v>
      </c>
      <c r="I74" s="24">
        <v>0</v>
      </c>
      <c r="J74" s="25">
        <v>235.6</v>
      </c>
      <c r="K74" s="22">
        <v>235.6</v>
      </c>
      <c r="L74" s="1">
        <v>235.6</v>
      </c>
    </row>
    <row r="75" spans="1:12" x14ac:dyDescent="0.3">
      <c r="A75" s="30" t="s">
        <v>159</v>
      </c>
      <c r="B75" s="31" t="s">
        <v>160</v>
      </c>
      <c r="C75" s="32" t="s">
        <v>128</v>
      </c>
      <c r="D75" s="24">
        <v>2</v>
      </c>
      <c r="E75" s="24">
        <v>600</v>
      </c>
      <c r="F75" s="26">
        <f t="shared" si="0"/>
        <v>1200</v>
      </c>
      <c r="G75" s="27">
        <v>0</v>
      </c>
      <c r="H75" s="24">
        <v>0</v>
      </c>
      <c r="I75" s="24">
        <v>0</v>
      </c>
      <c r="J75" s="25">
        <v>1200</v>
      </c>
      <c r="K75" s="22">
        <v>1200</v>
      </c>
      <c r="L75" s="1">
        <v>1200</v>
      </c>
    </row>
    <row r="76" spans="1:12" x14ac:dyDescent="0.3">
      <c r="A76" s="30" t="s">
        <v>161</v>
      </c>
      <c r="B76" s="31" t="s">
        <v>162</v>
      </c>
      <c r="C76" s="32" t="s">
        <v>128</v>
      </c>
      <c r="D76" s="24">
        <v>2</v>
      </c>
      <c r="E76" s="24">
        <v>105</v>
      </c>
      <c r="F76" s="26">
        <f t="shared" si="0"/>
        <v>210</v>
      </c>
      <c r="G76" s="27">
        <v>0</v>
      </c>
      <c r="H76" s="24">
        <v>0</v>
      </c>
      <c r="I76" s="24">
        <v>0</v>
      </c>
      <c r="J76" s="25">
        <v>210</v>
      </c>
      <c r="K76" s="22">
        <v>210</v>
      </c>
      <c r="L76" s="1">
        <v>210</v>
      </c>
    </row>
    <row r="77" spans="1:12" x14ac:dyDescent="0.3">
      <c r="A77" s="30" t="s">
        <v>163</v>
      </c>
      <c r="B77" s="31" t="s">
        <v>164</v>
      </c>
      <c r="C77" s="32" t="s">
        <v>45</v>
      </c>
      <c r="D77" s="24">
        <v>1</v>
      </c>
      <c r="E77" s="24">
        <v>82.14</v>
      </c>
      <c r="F77" s="26">
        <f t="shared" ref="F77:F140" si="1">+ROUND(D77*E77,2)</f>
        <v>82.14</v>
      </c>
      <c r="G77" s="27">
        <v>82.14</v>
      </c>
      <c r="H77" s="24">
        <v>0</v>
      </c>
      <c r="I77" s="24">
        <v>0</v>
      </c>
      <c r="J77" s="25">
        <v>0</v>
      </c>
      <c r="K77" s="22">
        <v>82.14</v>
      </c>
      <c r="L77" s="1">
        <v>82.14</v>
      </c>
    </row>
    <row r="78" spans="1:12" x14ac:dyDescent="0.3">
      <c r="A78" s="30" t="s">
        <v>165</v>
      </c>
      <c r="B78" s="31" t="s">
        <v>166</v>
      </c>
      <c r="C78" s="32" t="s">
        <v>45</v>
      </c>
      <c r="D78" s="24">
        <v>3</v>
      </c>
      <c r="E78" s="24">
        <v>178.5</v>
      </c>
      <c r="F78" s="26">
        <f t="shared" si="1"/>
        <v>535.5</v>
      </c>
      <c r="G78" s="27">
        <v>0</v>
      </c>
      <c r="H78" s="24">
        <v>0</v>
      </c>
      <c r="I78" s="24">
        <v>0</v>
      </c>
      <c r="J78" s="25">
        <v>535.5</v>
      </c>
      <c r="K78" s="22">
        <v>535.5</v>
      </c>
      <c r="L78" s="1">
        <v>535.5</v>
      </c>
    </row>
    <row r="79" spans="1:12" x14ac:dyDescent="0.3">
      <c r="A79" s="30" t="s">
        <v>167</v>
      </c>
      <c r="B79" s="31" t="s">
        <v>168</v>
      </c>
      <c r="C79" s="32" t="s">
        <v>45</v>
      </c>
      <c r="D79" s="24">
        <v>1</v>
      </c>
      <c r="E79" s="24">
        <v>372.92</v>
      </c>
      <c r="F79" s="26">
        <f t="shared" si="1"/>
        <v>372.92</v>
      </c>
      <c r="G79" s="27">
        <v>372.92</v>
      </c>
      <c r="H79" s="24">
        <v>0</v>
      </c>
      <c r="I79" s="24">
        <v>0</v>
      </c>
      <c r="J79" s="25">
        <v>0</v>
      </c>
      <c r="K79" s="22">
        <v>372.92</v>
      </c>
      <c r="L79" s="1">
        <v>372.92</v>
      </c>
    </row>
    <row r="80" spans="1:12" x14ac:dyDescent="0.3">
      <c r="A80" s="30" t="s">
        <v>169</v>
      </c>
      <c r="B80" s="31" t="s">
        <v>170</v>
      </c>
      <c r="C80" s="32" t="s">
        <v>45</v>
      </c>
      <c r="D80" s="24">
        <v>1</v>
      </c>
      <c r="E80" s="24">
        <v>178.5</v>
      </c>
      <c r="F80" s="26">
        <f t="shared" si="1"/>
        <v>178.5</v>
      </c>
      <c r="G80" s="27">
        <v>0</v>
      </c>
      <c r="H80" s="24">
        <v>0</v>
      </c>
      <c r="I80" s="24">
        <v>0</v>
      </c>
      <c r="J80" s="25">
        <v>178.5</v>
      </c>
      <c r="K80" s="22">
        <v>178.5</v>
      </c>
      <c r="L80" s="1">
        <v>178.5</v>
      </c>
    </row>
    <row r="81" spans="1:12" x14ac:dyDescent="0.3">
      <c r="A81" s="30" t="s">
        <v>171</v>
      </c>
      <c r="B81" s="31" t="s">
        <v>172</v>
      </c>
      <c r="C81" s="32" t="s">
        <v>45</v>
      </c>
      <c r="D81" s="24">
        <v>2</v>
      </c>
      <c r="E81" s="24">
        <v>35.700000000000003</v>
      </c>
      <c r="F81" s="26">
        <f t="shared" si="1"/>
        <v>71.400000000000006</v>
      </c>
      <c r="G81" s="27">
        <v>0</v>
      </c>
      <c r="H81" s="24">
        <v>0</v>
      </c>
      <c r="I81" s="24">
        <v>0</v>
      </c>
      <c r="J81" s="25">
        <v>71.400000000000006</v>
      </c>
      <c r="K81" s="22">
        <v>71.400000000000006</v>
      </c>
      <c r="L81" s="1">
        <v>71.400000000000006</v>
      </c>
    </row>
    <row r="82" spans="1:12" x14ac:dyDescent="0.3">
      <c r="A82" s="30" t="s">
        <v>173</v>
      </c>
      <c r="B82" s="31" t="s">
        <v>174</v>
      </c>
      <c r="C82" s="32" t="s">
        <v>45</v>
      </c>
      <c r="D82" s="24">
        <v>1</v>
      </c>
      <c r="E82" s="24">
        <v>28.18</v>
      </c>
      <c r="F82" s="26">
        <f t="shared" si="1"/>
        <v>28.18</v>
      </c>
      <c r="G82" s="27">
        <v>0</v>
      </c>
      <c r="H82" s="24">
        <v>0</v>
      </c>
      <c r="I82" s="24">
        <v>0</v>
      </c>
      <c r="J82" s="25">
        <v>28.18</v>
      </c>
      <c r="K82" s="22">
        <v>28.18</v>
      </c>
      <c r="L82" s="1">
        <v>28.18</v>
      </c>
    </row>
    <row r="83" spans="1:12" x14ac:dyDescent="0.3">
      <c r="A83" s="30" t="s">
        <v>175</v>
      </c>
      <c r="B83" s="31" t="s">
        <v>176</v>
      </c>
      <c r="C83" s="32" t="s">
        <v>45</v>
      </c>
      <c r="D83" s="24">
        <v>1</v>
      </c>
      <c r="E83" s="24">
        <v>12.21</v>
      </c>
      <c r="F83" s="26">
        <f t="shared" si="1"/>
        <v>12.21</v>
      </c>
      <c r="G83" s="27">
        <v>0</v>
      </c>
      <c r="H83" s="24">
        <v>0</v>
      </c>
      <c r="I83" s="24">
        <v>12.21</v>
      </c>
      <c r="J83" s="25">
        <v>0</v>
      </c>
      <c r="K83" s="22">
        <v>12.21</v>
      </c>
      <c r="L83" s="1">
        <v>12.21</v>
      </c>
    </row>
    <row r="84" spans="1:12" x14ac:dyDescent="0.3">
      <c r="A84" s="30" t="s">
        <v>177</v>
      </c>
      <c r="B84" s="31" t="s">
        <v>178</v>
      </c>
      <c r="C84" s="32" t="s">
        <v>45</v>
      </c>
      <c r="D84" s="24">
        <v>3</v>
      </c>
      <c r="E84" s="24">
        <v>20.350000000000001</v>
      </c>
      <c r="F84" s="26">
        <f t="shared" si="1"/>
        <v>61.05</v>
      </c>
      <c r="G84" s="27">
        <v>0</v>
      </c>
      <c r="H84" s="24">
        <v>61.05</v>
      </c>
      <c r="I84" s="24">
        <v>0</v>
      </c>
      <c r="J84" s="25">
        <v>0</v>
      </c>
      <c r="K84" s="22">
        <v>61.05</v>
      </c>
      <c r="L84" s="1">
        <v>61.05</v>
      </c>
    </row>
    <row r="85" spans="1:12" x14ac:dyDescent="0.3">
      <c r="A85" s="30" t="s">
        <v>179</v>
      </c>
      <c r="B85" s="31" t="s">
        <v>180</v>
      </c>
      <c r="C85" s="32" t="s">
        <v>45</v>
      </c>
      <c r="D85" s="24">
        <v>3.45</v>
      </c>
      <c r="E85" s="24">
        <v>46.64</v>
      </c>
      <c r="F85" s="26">
        <f t="shared" si="1"/>
        <v>160.91</v>
      </c>
      <c r="G85" s="27">
        <v>0</v>
      </c>
      <c r="H85" s="24">
        <v>160.91</v>
      </c>
      <c r="I85" s="24">
        <v>0</v>
      </c>
      <c r="J85" s="25">
        <v>0</v>
      </c>
      <c r="K85" s="22">
        <v>160.91</v>
      </c>
      <c r="L85" s="1">
        <v>160.91</v>
      </c>
    </row>
    <row r="86" spans="1:12" x14ac:dyDescent="0.3">
      <c r="A86" s="30" t="s">
        <v>181</v>
      </c>
      <c r="B86" s="31" t="s">
        <v>182</v>
      </c>
      <c r="C86" s="32" t="s">
        <v>45</v>
      </c>
      <c r="D86" s="24">
        <v>1</v>
      </c>
      <c r="E86" s="24">
        <v>222.6</v>
      </c>
      <c r="F86" s="26">
        <f t="shared" si="1"/>
        <v>222.6</v>
      </c>
      <c r="G86" s="27">
        <v>0</v>
      </c>
      <c r="H86" s="24">
        <v>0</v>
      </c>
      <c r="I86" s="24">
        <v>0</v>
      </c>
      <c r="J86" s="25">
        <v>222.6</v>
      </c>
      <c r="K86" s="22">
        <v>222.6</v>
      </c>
      <c r="L86" s="1">
        <v>222.6</v>
      </c>
    </row>
    <row r="87" spans="1:12" x14ac:dyDescent="0.3">
      <c r="A87" s="30" t="s">
        <v>183</v>
      </c>
      <c r="B87" s="31" t="s">
        <v>184</v>
      </c>
      <c r="C87" s="32" t="s">
        <v>32</v>
      </c>
      <c r="D87" s="24">
        <v>1</v>
      </c>
      <c r="E87" s="24">
        <v>2128.9699999999998</v>
      </c>
      <c r="F87" s="26">
        <f t="shared" si="1"/>
        <v>2128.9699999999998</v>
      </c>
      <c r="G87" s="27">
        <v>0</v>
      </c>
      <c r="H87" s="24">
        <v>0</v>
      </c>
      <c r="I87" s="24">
        <v>0</v>
      </c>
      <c r="J87" s="25">
        <v>2128.9699999999998</v>
      </c>
      <c r="K87" s="22">
        <v>2128.9699999999998</v>
      </c>
      <c r="L87" s="1">
        <v>2128.9699999999998</v>
      </c>
    </row>
    <row r="88" spans="1:12" x14ac:dyDescent="0.3">
      <c r="A88" s="30" t="s">
        <v>185</v>
      </c>
      <c r="B88" s="31" t="s">
        <v>186</v>
      </c>
      <c r="C88" s="32" t="s">
        <v>45</v>
      </c>
      <c r="D88" s="24">
        <v>5</v>
      </c>
      <c r="E88" s="24">
        <v>50.76</v>
      </c>
      <c r="F88" s="26">
        <f t="shared" si="1"/>
        <v>253.8</v>
      </c>
      <c r="G88" s="27">
        <v>0</v>
      </c>
      <c r="H88" s="24">
        <v>0</v>
      </c>
      <c r="I88" s="24">
        <v>0</v>
      </c>
      <c r="J88" s="25">
        <v>253.8</v>
      </c>
      <c r="K88" s="22">
        <v>253.8</v>
      </c>
      <c r="L88" s="1">
        <v>253.8</v>
      </c>
    </row>
    <row r="89" spans="1:12" x14ac:dyDescent="0.3">
      <c r="A89" s="30" t="s">
        <v>187</v>
      </c>
      <c r="B89" s="31" t="s">
        <v>188</v>
      </c>
      <c r="C89" s="32" t="s">
        <v>45</v>
      </c>
      <c r="D89" s="24">
        <v>2</v>
      </c>
      <c r="E89" s="24">
        <v>55.28</v>
      </c>
      <c r="F89" s="26">
        <f t="shared" si="1"/>
        <v>110.56</v>
      </c>
      <c r="G89" s="27">
        <v>0</v>
      </c>
      <c r="H89" s="24">
        <v>36.85</v>
      </c>
      <c r="I89" s="24">
        <v>73.709999999999994</v>
      </c>
      <c r="J89" s="25">
        <v>0</v>
      </c>
      <c r="K89" s="22">
        <v>110.56</v>
      </c>
      <c r="L89" s="1">
        <v>110.56</v>
      </c>
    </row>
    <row r="90" spans="1:12" x14ac:dyDescent="0.3">
      <c r="A90" s="30" t="s">
        <v>189</v>
      </c>
      <c r="B90" s="31" t="s">
        <v>190</v>
      </c>
      <c r="C90" s="32" t="s">
        <v>45</v>
      </c>
      <c r="D90" s="24">
        <v>10</v>
      </c>
      <c r="E90" s="24">
        <v>144.11000000000001</v>
      </c>
      <c r="F90" s="26">
        <f t="shared" si="1"/>
        <v>1441.1</v>
      </c>
      <c r="G90" s="27">
        <v>0</v>
      </c>
      <c r="H90" s="24">
        <v>1441.1</v>
      </c>
      <c r="I90" s="24">
        <v>0</v>
      </c>
      <c r="J90" s="25">
        <v>0</v>
      </c>
      <c r="K90" s="22">
        <v>1441.1</v>
      </c>
      <c r="L90" s="1">
        <v>1441.1</v>
      </c>
    </row>
    <row r="91" spans="1:12" x14ac:dyDescent="0.3">
      <c r="A91" s="30" t="s">
        <v>191</v>
      </c>
      <c r="B91" s="31" t="s">
        <v>192</v>
      </c>
      <c r="C91" s="32" t="s">
        <v>45</v>
      </c>
      <c r="D91" s="24">
        <v>4</v>
      </c>
      <c r="E91" s="24">
        <v>128.81</v>
      </c>
      <c r="F91" s="26">
        <f t="shared" si="1"/>
        <v>515.24</v>
      </c>
      <c r="G91" s="27">
        <v>0</v>
      </c>
      <c r="H91" s="24">
        <v>412.19</v>
      </c>
      <c r="I91" s="24">
        <v>103.05</v>
      </c>
      <c r="J91" s="25">
        <v>0</v>
      </c>
      <c r="K91" s="22">
        <v>515.24</v>
      </c>
      <c r="L91" s="1">
        <v>515.24</v>
      </c>
    </row>
    <row r="92" spans="1:12" x14ac:dyDescent="0.3">
      <c r="A92" s="30" t="s">
        <v>193</v>
      </c>
      <c r="B92" s="31" t="s">
        <v>194</v>
      </c>
      <c r="C92" s="32" t="s">
        <v>45</v>
      </c>
      <c r="D92" s="24">
        <v>1</v>
      </c>
      <c r="E92" s="24">
        <v>614.76</v>
      </c>
      <c r="F92" s="26">
        <f t="shared" si="1"/>
        <v>614.76</v>
      </c>
      <c r="G92" s="27">
        <v>0</v>
      </c>
      <c r="H92" s="24">
        <v>0</v>
      </c>
      <c r="I92" s="24">
        <v>614.76</v>
      </c>
      <c r="J92" s="25">
        <v>0</v>
      </c>
      <c r="K92" s="22">
        <v>614.76</v>
      </c>
      <c r="L92" s="1">
        <v>614.76</v>
      </c>
    </row>
    <row r="93" spans="1:12" x14ac:dyDescent="0.3">
      <c r="A93" s="30" t="s">
        <v>195</v>
      </c>
      <c r="B93" s="31" t="s">
        <v>196</v>
      </c>
      <c r="C93" s="32" t="s">
        <v>45</v>
      </c>
      <c r="D93" s="24">
        <v>27</v>
      </c>
      <c r="E93" s="24">
        <v>27.51</v>
      </c>
      <c r="F93" s="26">
        <f t="shared" si="1"/>
        <v>742.77</v>
      </c>
      <c r="G93" s="27">
        <v>0</v>
      </c>
      <c r="H93" s="24">
        <v>0</v>
      </c>
      <c r="I93" s="24">
        <v>0</v>
      </c>
      <c r="J93" s="25">
        <v>742.77</v>
      </c>
      <c r="K93" s="22">
        <v>742.77</v>
      </c>
      <c r="L93" s="1">
        <v>742.77</v>
      </c>
    </row>
    <row r="94" spans="1:12" x14ac:dyDescent="0.3">
      <c r="A94" s="30" t="s">
        <v>197</v>
      </c>
      <c r="B94" s="31" t="s">
        <v>198</v>
      </c>
      <c r="C94" s="32" t="s">
        <v>45</v>
      </c>
      <c r="D94" s="24">
        <v>2</v>
      </c>
      <c r="E94" s="24">
        <v>31.5</v>
      </c>
      <c r="F94" s="26">
        <f t="shared" si="1"/>
        <v>63</v>
      </c>
      <c r="G94" s="27">
        <v>0</v>
      </c>
      <c r="H94" s="24">
        <v>63</v>
      </c>
      <c r="I94" s="24">
        <v>0</v>
      </c>
      <c r="J94" s="25">
        <v>0</v>
      </c>
      <c r="K94" s="22">
        <v>63</v>
      </c>
      <c r="L94" s="1">
        <v>63</v>
      </c>
    </row>
    <row r="95" spans="1:12" x14ac:dyDescent="0.3">
      <c r="A95" s="30" t="s">
        <v>199</v>
      </c>
      <c r="B95" s="31" t="s">
        <v>200</v>
      </c>
      <c r="C95" s="32" t="s">
        <v>45</v>
      </c>
      <c r="D95" s="24">
        <v>3</v>
      </c>
      <c r="E95" s="24">
        <v>40.049999999999997</v>
      </c>
      <c r="F95" s="26">
        <f t="shared" si="1"/>
        <v>120.15</v>
      </c>
      <c r="G95" s="27">
        <v>0</v>
      </c>
      <c r="H95" s="24">
        <v>120.15</v>
      </c>
      <c r="I95" s="24">
        <v>0</v>
      </c>
      <c r="J95" s="25">
        <v>0</v>
      </c>
      <c r="K95" s="22">
        <v>120.15</v>
      </c>
      <c r="L95" s="1">
        <v>120.15</v>
      </c>
    </row>
    <row r="96" spans="1:12" x14ac:dyDescent="0.3">
      <c r="A96" s="30" t="s">
        <v>201</v>
      </c>
      <c r="B96" s="31" t="s">
        <v>202</v>
      </c>
      <c r="C96" s="32" t="s">
        <v>45</v>
      </c>
      <c r="D96" s="24">
        <v>1</v>
      </c>
      <c r="E96" s="24">
        <v>63</v>
      </c>
      <c r="F96" s="26">
        <f t="shared" si="1"/>
        <v>63</v>
      </c>
      <c r="G96" s="27">
        <v>0</v>
      </c>
      <c r="H96" s="24">
        <v>63</v>
      </c>
      <c r="I96" s="24">
        <v>0</v>
      </c>
      <c r="J96" s="25">
        <v>0</v>
      </c>
      <c r="K96" s="22">
        <v>63</v>
      </c>
      <c r="L96" s="1">
        <v>63</v>
      </c>
    </row>
    <row r="97" spans="1:12" x14ac:dyDescent="0.3">
      <c r="A97" s="30" t="s">
        <v>203</v>
      </c>
      <c r="B97" s="31" t="s">
        <v>204</v>
      </c>
      <c r="C97" s="32" t="s">
        <v>45</v>
      </c>
      <c r="D97" s="24">
        <v>8</v>
      </c>
      <c r="E97" s="24">
        <v>1.79</v>
      </c>
      <c r="F97" s="26">
        <f t="shared" si="1"/>
        <v>14.32</v>
      </c>
      <c r="G97" s="27">
        <v>0</v>
      </c>
      <c r="H97" s="24">
        <v>14.32</v>
      </c>
      <c r="I97" s="24">
        <v>0</v>
      </c>
      <c r="J97" s="25">
        <v>0</v>
      </c>
      <c r="K97" s="22">
        <v>14.32</v>
      </c>
      <c r="L97" s="1">
        <v>14.32</v>
      </c>
    </row>
    <row r="98" spans="1:12" x14ac:dyDescent="0.3">
      <c r="A98" s="30" t="s">
        <v>205</v>
      </c>
      <c r="B98" s="31" t="s">
        <v>206</v>
      </c>
      <c r="C98" s="32" t="s">
        <v>128</v>
      </c>
      <c r="D98" s="24">
        <v>2</v>
      </c>
      <c r="E98" s="24">
        <v>17.850000000000001</v>
      </c>
      <c r="F98" s="26">
        <f t="shared" si="1"/>
        <v>35.700000000000003</v>
      </c>
      <c r="G98" s="27">
        <v>0</v>
      </c>
      <c r="H98" s="24">
        <v>35.700000000000003</v>
      </c>
      <c r="I98" s="24">
        <v>0</v>
      </c>
      <c r="J98" s="25">
        <v>0</v>
      </c>
      <c r="K98" s="22">
        <v>35.700000000000003</v>
      </c>
      <c r="L98" s="1">
        <v>35.700000000000003</v>
      </c>
    </row>
    <row r="99" spans="1:12" x14ac:dyDescent="0.3">
      <c r="A99" s="30" t="s">
        <v>207</v>
      </c>
      <c r="B99" s="31" t="s">
        <v>208</v>
      </c>
      <c r="C99" s="32" t="s">
        <v>45</v>
      </c>
      <c r="D99" s="24">
        <v>27</v>
      </c>
      <c r="E99" s="24">
        <v>5.5</v>
      </c>
      <c r="F99" s="26">
        <f t="shared" si="1"/>
        <v>148.5</v>
      </c>
      <c r="G99" s="27">
        <v>0</v>
      </c>
      <c r="H99" s="24">
        <v>148.5</v>
      </c>
      <c r="I99" s="24">
        <v>0</v>
      </c>
      <c r="J99" s="25">
        <v>0</v>
      </c>
      <c r="K99" s="22">
        <v>148.5</v>
      </c>
      <c r="L99" s="1">
        <v>148.5</v>
      </c>
    </row>
    <row r="100" spans="1:12" x14ac:dyDescent="0.3">
      <c r="A100" s="30" t="s">
        <v>209</v>
      </c>
      <c r="B100" s="31" t="s">
        <v>210</v>
      </c>
      <c r="C100" s="32" t="s">
        <v>45</v>
      </c>
      <c r="D100" s="24">
        <v>10</v>
      </c>
      <c r="E100" s="24">
        <v>6.83</v>
      </c>
      <c r="F100" s="26">
        <f t="shared" si="1"/>
        <v>68.3</v>
      </c>
      <c r="G100" s="27">
        <v>0</v>
      </c>
      <c r="H100" s="24">
        <v>68.3</v>
      </c>
      <c r="I100" s="24">
        <v>0</v>
      </c>
      <c r="J100" s="25">
        <v>0</v>
      </c>
      <c r="K100" s="22">
        <v>68.3</v>
      </c>
      <c r="L100" s="1">
        <v>68.3</v>
      </c>
    </row>
    <row r="101" spans="1:12" x14ac:dyDescent="0.3">
      <c r="A101" s="30" t="s">
        <v>211</v>
      </c>
      <c r="B101" s="31" t="s">
        <v>212</v>
      </c>
      <c r="C101" s="32" t="s">
        <v>45</v>
      </c>
      <c r="D101" s="24">
        <v>12</v>
      </c>
      <c r="E101" s="24">
        <v>5.25</v>
      </c>
      <c r="F101" s="26">
        <f t="shared" si="1"/>
        <v>63</v>
      </c>
      <c r="G101" s="27">
        <v>0</v>
      </c>
      <c r="H101" s="24">
        <v>63</v>
      </c>
      <c r="I101" s="24">
        <v>0</v>
      </c>
      <c r="J101" s="25">
        <v>0</v>
      </c>
      <c r="K101" s="22">
        <v>63</v>
      </c>
      <c r="L101" s="1">
        <v>63</v>
      </c>
    </row>
    <row r="102" spans="1:12" x14ac:dyDescent="0.3">
      <c r="A102" s="30" t="s">
        <v>213</v>
      </c>
      <c r="B102" s="31" t="s">
        <v>214</v>
      </c>
      <c r="C102" s="32" t="s">
        <v>45</v>
      </c>
      <c r="D102" s="24">
        <v>1</v>
      </c>
      <c r="E102" s="24">
        <v>1844.36</v>
      </c>
      <c r="F102" s="26">
        <f t="shared" si="1"/>
        <v>1844.36</v>
      </c>
      <c r="G102" s="27">
        <v>0</v>
      </c>
      <c r="H102" s="24">
        <v>0</v>
      </c>
      <c r="I102" s="24">
        <v>0</v>
      </c>
      <c r="J102" s="25">
        <v>1844.36</v>
      </c>
      <c r="K102" s="22">
        <v>1844.36</v>
      </c>
      <c r="L102" s="1">
        <v>1844.36</v>
      </c>
    </row>
    <row r="103" spans="1:12" x14ac:dyDescent="0.3">
      <c r="A103" s="30" t="s">
        <v>215</v>
      </c>
      <c r="B103" s="31" t="s">
        <v>216</v>
      </c>
      <c r="C103" s="32" t="s">
        <v>217</v>
      </c>
      <c r="D103" s="24">
        <v>2</v>
      </c>
      <c r="E103" s="24">
        <v>72.03</v>
      </c>
      <c r="F103" s="26">
        <f t="shared" si="1"/>
        <v>144.06</v>
      </c>
      <c r="G103" s="27">
        <v>0</v>
      </c>
      <c r="H103" s="24">
        <v>0</v>
      </c>
      <c r="I103" s="24">
        <v>0</v>
      </c>
      <c r="J103" s="25">
        <v>144.06</v>
      </c>
      <c r="K103" s="22">
        <v>144.06</v>
      </c>
      <c r="L103" s="1">
        <v>144.06</v>
      </c>
    </row>
    <row r="104" spans="1:12" x14ac:dyDescent="0.3">
      <c r="A104" s="30" t="s">
        <v>218</v>
      </c>
      <c r="B104" s="31" t="s">
        <v>219</v>
      </c>
      <c r="C104" s="32" t="s">
        <v>45</v>
      </c>
      <c r="D104" s="24">
        <v>1</v>
      </c>
      <c r="E104" s="24">
        <v>1000</v>
      </c>
      <c r="F104" s="26">
        <f t="shared" si="1"/>
        <v>1000</v>
      </c>
      <c r="G104" s="27">
        <v>0</v>
      </c>
      <c r="H104" s="24">
        <v>0</v>
      </c>
      <c r="I104" s="24">
        <v>0</v>
      </c>
      <c r="J104" s="25">
        <v>1000</v>
      </c>
      <c r="K104" s="22">
        <v>1000</v>
      </c>
      <c r="L104" s="1">
        <v>1000</v>
      </c>
    </row>
    <row r="105" spans="1:12" x14ac:dyDescent="0.3">
      <c r="A105" s="30" t="s">
        <v>220</v>
      </c>
      <c r="B105" s="31" t="s">
        <v>221</v>
      </c>
      <c r="C105" s="32" t="s">
        <v>45</v>
      </c>
      <c r="D105" s="24">
        <v>5</v>
      </c>
      <c r="E105" s="24">
        <v>134.99</v>
      </c>
      <c r="F105" s="26">
        <f t="shared" si="1"/>
        <v>674.95</v>
      </c>
      <c r="G105" s="27">
        <v>0</v>
      </c>
      <c r="H105" s="24">
        <v>0</v>
      </c>
      <c r="I105" s="24">
        <v>0</v>
      </c>
      <c r="J105" s="25">
        <v>674.95</v>
      </c>
      <c r="K105" s="22">
        <v>674.95</v>
      </c>
      <c r="L105" s="1">
        <v>674.95</v>
      </c>
    </row>
    <row r="106" spans="1:12" x14ac:dyDescent="0.3">
      <c r="A106" s="30" t="s">
        <v>222</v>
      </c>
      <c r="B106" s="31" t="s">
        <v>223</v>
      </c>
      <c r="C106" s="32" t="s">
        <v>45</v>
      </c>
      <c r="D106" s="24">
        <v>1</v>
      </c>
      <c r="E106" s="24">
        <v>35.369999999999997</v>
      </c>
      <c r="F106" s="26">
        <f t="shared" si="1"/>
        <v>35.369999999999997</v>
      </c>
      <c r="G106" s="27">
        <v>0</v>
      </c>
      <c r="H106" s="24">
        <v>0</v>
      </c>
      <c r="I106" s="24">
        <v>0</v>
      </c>
      <c r="J106" s="25">
        <v>35.369999999999997</v>
      </c>
      <c r="K106" s="22">
        <v>35.369999999999997</v>
      </c>
      <c r="L106" s="1">
        <v>35.369999999999997</v>
      </c>
    </row>
    <row r="107" spans="1:12" x14ac:dyDescent="0.3">
      <c r="A107" s="30" t="s">
        <v>224</v>
      </c>
      <c r="B107" s="31" t="s">
        <v>225</v>
      </c>
      <c r="C107" s="32" t="s">
        <v>45</v>
      </c>
      <c r="D107" s="24">
        <v>1</v>
      </c>
      <c r="E107" s="24">
        <v>35.4</v>
      </c>
      <c r="F107" s="26">
        <f t="shared" si="1"/>
        <v>35.4</v>
      </c>
      <c r="G107" s="27">
        <v>0</v>
      </c>
      <c r="H107" s="24">
        <v>0</v>
      </c>
      <c r="I107" s="24">
        <v>0</v>
      </c>
      <c r="J107" s="25">
        <v>35.4</v>
      </c>
      <c r="K107" s="22">
        <v>35.4</v>
      </c>
      <c r="L107" s="1">
        <v>35.4</v>
      </c>
    </row>
    <row r="108" spans="1:12" x14ac:dyDescent="0.3">
      <c r="A108" s="30" t="s">
        <v>226</v>
      </c>
      <c r="B108" s="31" t="s">
        <v>227</v>
      </c>
      <c r="C108" s="32" t="s">
        <v>45</v>
      </c>
      <c r="D108" s="24">
        <v>5</v>
      </c>
      <c r="E108" s="24">
        <v>35.369999999999997</v>
      </c>
      <c r="F108" s="26">
        <f t="shared" si="1"/>
        <v>176.85</v>
      </c>
      <c r="G108" s="27">
        <v>0</v>
      </c>
      <c r="H108" s="24">
        <v>0</v>
      </c>
      <c r="I108" s="24">
        <v>0</v>
      </c>
      <c r="J108" s="25">
        <v>176.85</v>
      </c>
      <c r="K108" s="22">
        <v>176.85</v>
      </c>
      <c r="L108" s="1">
        <v>176.85</v>
      </c>
    </row>
    <row r="109" spans="1:12" x14ac:dyDescent="0.3">
      <c r="A109" s="30" t="s">
        <v>228</v>
      </c>
      <c r="B109" s="31" t="s">
        <v>229</v>
      </c>
      <c r="C109" s="32" t="s">
        <v>45</v>
      </c>
      <c r="D109" s="24">
        <v>3</v>
      </c>
      <c r="E109" s="24">
        <v>35.369999999999997</v>
      </c>
      <c r="F109" s="26">
        <f t="shared" si="1"/>
        <v>106.11</v>
      </c>
      <c r="G109" s="27">
        <v>0</v>
      </c>
      <c r="H109" s="24">
        <v>0</v>
      </c>
      <c r="I109" s="24">
        <v>0</v>
      </c>
      <c r="J109" s="25">
        <v>106.11</v>
      </c>
      <c r="K109" s="22">
        <v>106.11</v>
      </c>
      <c r="L109" s="1">
        <v>106.11</v>
      </c>
    </row>
    <row r="110" spans="1:12" x14ac:dyDescent="0.3">
      <c r="A110" s="30" t="s">
        <v>230</v>
      </c>
      <c r="B110" s="31" t="s">
        <v>231</v>
      </c>
      <c r="C110" s="32" t="s">
        <v>45</v>
      </c>
      <c r="D110" s="24">
        <v>2</v>
      </c>
      <c r="E110" s="24">
        <v>88.91</v>
      </c>
      <c r="F110" s="26">
        <f t="shared" si="1"/>
        <v>177.82</v>
      </c>
      <c r="G110" s="27">
        <v>0</v>
      </c>
      <c r="H110" s="24">
        <v>0</v>
      </c>
      <c r="I110" s="24">
        <v>0</v>
      </c>
      <c r="J110" s="25">
        <v>177.82</v>
      </c>
      <c r="K110" s="22">
        <v>177.82</v>
      </c>
      <c r="L110" s="1">
        <v>177.82</v>
      </c>
    </row>
    <row r="111" spans="1:12" x14ac:dyDescent="0.3">
      <c r="A111" s="30" t="s">
        <v>232</v>
      </c>
      <c r="B111" s="31" t="s">
        <v>233</v>
      </c>
      <c r="C111" s="32" t="s">
        <v>45</v>
      </c>
      <c r="D111" s="24">
        <v>1</v>
      </c>
      <c r="E111" s="24">
        <v>109.82</v>
      </c>
      <c r="F111" s="26">
        <f t="shared" si="1"/>
        <v>109.82</v>
      </c>
      <c r="G111" s="27">
        <v>0</v>
      </c>
      <c r="H111" s="24">
        <v>0</v>
      </c>
      <c r="I111" s="24">
        <v>0</v>
      </c>
      <c r="J111" s="25">
        <v>109.82</v>
      </c>
      <c r="K111" s="22">
        <v>109.82</v>
      </c>
      <c r="L111" s="1">
        <v>109.82</v>
      </c>
    </row>
    <row r="112" spans="1:12" x14ac:dyDescent="0.3">
      <c r="A112" s="30" t="s">
        <v>234</v>
      </c>
      <c r="B112" s="31" t="s">
        <v>235</v>
      </c>
      <c r="C112" s="32" t="s">
        <v>45</v>
      </c>
      <c r="D112" s="24">
        <v>2</v>
      </c>
      <c r="E112" s="24">
        <v>110.39</v>
      </c>
      <c r="F112" s="26">
        <f t="shared" si="1"/>
        <v>220.78</v>
      </c>
      <c r="G112" s="27">
        <v>0</v>
      </c>
      <c r="H112" s="24">
        <v>0</v>
      </c>
      <c r="I112" s="24">
        <v>0</v>
      </c>
      <c r="J112" s="25">
        <v>220.78</v>
      </c>
      <c r="K112" s="22">
        <v>220.78</v>
      </c>
      <c r="L112" s="1">
        <v>220.78</v>
      </c>
    </row>
    <row r="113" spans="1:12" x14ac:dyDescent="0.3">
      <c r="A113" s="30" t="s">
        <v>236</v>
      </c>
      <c r="B113" s="31" t="s">
        <v>237</v>
      </c>
      <c r="C113" s="32" t="s">
        <v>45</v>
      </c>
      <c r="D113" s="24">
        <v>2</v>
      </c>
      <c r="E113" s="24">
        <v>118.32</v>
      </c>
      <c r="F113" s="26">
        <f t="shared" si="1"/>
        <v>236.64</v>
      </c>
      <c r="G113" s="27">
        <v>0</v>
      </c>
      <c r="H113" s="24">
        <v>0</v>
      </c>
      <c r="I113" s="24">
        <v>0</v>
      </c>
      <c r="J113" s="25">
        <v>236.64</v>
      </c>
      <c r="K113" s="22">
        <v>236.64</v>
      </c>
      <c r="L113" s="1">
        <v>236.64</v>
      </c>
    </row>
    <row r="114" spans="1:12" x14ac:dyDescent="0.3">
      <c r="A114" s="30" t="s">
        <v>238</v>
      </c>
      <c r="B114" s="31" t="s">
        <v>239</v>
      </c>
      <c r="C114" s="32" t="s">
        <v>45</v>
      </c>
      <c r="D114" s="24">
        <v>1</v>
      </c>
      <c r="E114" s="24">
        <v>316.64</v>
      </c>
      <c r="F114" s="26">
        <f t="shared" si="1"/>
        <v>316.64</v>
      </c>
      <c r="G114" s="27">
        <v>0</v>
      </c>
      <c r="H114" s="24">
        <v>0</v>
      </c>
      <c r="I114" s="24">
        <v>0</v>
      </c>
      <c r="J114" s="25">
        <v>316.64</v>
      </c>
      <c r="K114" s="22">
        <v>316.64</v>
      </c>
      <c r="L114" s="1">
        <v>316.64</v>
      </c>
    </row>
    <row r="115" spans="1:12" x14ac:dyDescent="0.3">
      <c r="A115" s="30" t="s">
        <v>240</v>
      </c>
      <c r="B115" s="31" t="s">
        <v>241</v>
      </c>
      <c r="C115" s="32" t="s">
        <v>45</v>
      </c>
      <c r="D115" s="24">
        <v>1</v>
      </c>
      <c r="E115" s="24">
        <v>503.61</v>
      </c>
      <c r="F115" s="26">
        <f t="shared" si="1"/>
        <v>503.61</v>
      </c>
      <c r="G115" s="27">
        <v>0</v>
      </c>
      <c r="H115" s="24">
        <v>0</v>
      </c>
      <c r="I115" s="24">
        <v>0</v>
      </c>
      <c r="J115" s="25">
        <v>503.61</v>
      </c>
      <c r="K115" s="22">
        <v>503.61</v>
      </c>
      <c r="L115" s="1">
        <v>503.61</v>
      </c>
    </row>
    <row r="116" spans="1:12" x14ac:dyDescent="0.3">
      <c r="A116" s="30" t="s">
        <v>242</v>
      </c>
      <c r="B116" s="31" t="s">
        <v>243</v>
      </c>
      <c r="C116" s="32" t="s">
        <v>45</v>
      </c>
      <c r="D116" s="24">
        <v>1</v>
      </c>
      <c r="E116" s="24">
        <v>125.56</v>
      </c>
      <c r="F116" s="26">
        <f t="shared" si="1"/>
        <v>125.56</v>
      </c>
      <c r="G116" s="27">
        <v>0</v>
      </c>
      <c r="H116" s="24">
        <v>0</v>
      </c>
      <c r="I116" s="24">
        <v>0</v>
      </c>
      <c r="J116" s="25">
        <v>125.56</v>
      </c>
      <c r="K116" s="22">
        <v>125.56</v>
      </c>
      <c r="L116" s="1">
        <v>125.56</v>
      </c>
    </row>
    <row r="117" spans="1:12" x14ac:dyDescent="0.3">
      <c r="A117" s="30" t="s">
        <v>244</v>
      </c>
      <c r="B117" s="31" t="s">
        <v>245</v>
      </c>
      <c r="C117" s="32" t="s">
        <v>128</v>
      </c>
      <c r="D117" s="24">
        <v>7</v>
      </c>
      <c r="E117" s="24">
        <v>17.84</v>
      </c>
      <c r="F117" s="26">
        <f t="shared" si="1"/>
        <v>124.88</v>
      </c>
      <c r="G117" s="27">
        <v>0</v>
      </c>
      <c r="H117" s="24">
        <v>83.25</v>
      </c>
      <c r="I117" s="24">
        <v>41.63</v>
      </c>
      <c r="J117" s="25">
        <v>0</v>
      </c>
      <c r="K117" s="22">
        <v>124.88</v>
      </c>
      <c r="L117" s="1">
        <v>124.88</v>
      </c>
    </row>
    <row r="118" spans="1:12" x14ac:dyDescent="0.3">
      <c r="A118" s="30" t="s">
        <v>246</v>
      </c>
      <c r="B118" s="31" t="s">
        <v>247</v>
      </c>
      <c r="C118" s="32" t="s">
        <v>128</v>
      </c>
      <c r="D118" s="24">
        <v>8</v>
      </c>
      <c r="E118" s="24">
        <v>17.84</v>
      </c>
      <c r="F118" s="26">
        <f t="shared" si="1"/>
        <v>142.72</v>
      </c>
      <c r="G118" s="27">
        <v>0</v>
      </c>
      <c r="H118" s="24">
        <v>0</v>
      </c>
      <c r="I118" s="24">
        <v>0</v>
      </c>
      <c r="J118" s="25">
        <v>142.72</v>
      </c>
      <c r="K118" s="22">
        <v>142.72</v>
      </c>
      <c r="L118" s="1">
        <v>142.72</v>
      </c>
    </row>
    <row r="119" spans="1:12" x14ac:dyDescent="0.3">
      <c r="A119" s="30" t="s">
        <v>248</v>
      </c>
      <c r="B119" s="31" t="s">
        <v>249</v>
      </c>
      <c r="C119" s="32" t="s">
        <v>45</v>
      </c>
      <c r="D119" s="24">
        <v>2</v>
      </c>
      <c r="E119" s="24">
        <v>194.74</v>
      </c>
      <c r="F119" s="26">
        <f t="shared" si="1"/>
        <v>389.48</v>
      </c>
      <c r="G119" s="27">
        <v>0</v>
      </c>
      <c r="H119" s="24">
        <v>0</v>
      </c>
      <c r="I119" s="24">
        <v>0</v>
      </c>
      <c r="J119" s="25">
        <v>389.48</v>
      </c>
      <c r="K119" s="22">
        <v>389.48</v>
      </c>
      <c r="L119" s="1">
        <v>389.48</v>
      </c>
    </row>
    <row r="120" spans="1:12" x14ac:dyDescent="0.3">
      <c r="A120" s="30" t="s">
        <v>250</v>
      </c>
      <c r="B120" s="31" t="s">
        <v>251</v>
      </c>
      <c r="C120" s="32" t="s">
        <v>45</v>
      </c>
      <c r="D120" s="24">
        <v>1</v>
      </c>
      <c r="E120" s="24">
        <v>251.38</v>
      </c>
      <c r="F120" s="26">
        <f t="shared" si="1"/>
        <v>251.38</v>
      </c>
      <c r="G120" s="27">
        <v>0</v>
      </c>
      <c r="H120" s="24">
        <v>0</v>
      </c>
      <c r="I120" s="24">
        <v>0</v>
      </c>
      <c r="J120" s="25">
        <v>251.38</v>
      </c>
      <c r="K120" s="22">
        <v>251.38</v>
      </c>
      <c r="L120" s="1">
        <v>251.38</v>
      </c>
    </row>
    <row r="121" spans="1:12" x14ac:dyDescent="0.3">
      <c r="A121" s="30" t="s">
        <v>252</v>
      </c>
      <c r="B121" s="31" t="s">
        <v>253</v>
      </c>
      <c r="C121" s="32" t="s">
        <v>45</v>
      </c>
      <c r="D121" s="24">
        <v>1</v>
      </c>
      <c r="E121" s="24">
        <v>265.70999999999998</v>
      </c>
      <c r="F121" s="26">
        <f t="shared" si="1"/>
        <v>265.70999999999998</v>
      </c>
      <c r="G121" s="27">
        <v>0</v>
      </c>
      <c r="H121" s="24">
        <v>0</v>
      </c>
      <c r="I121" s="24">
        <v>0</v>
      </c>
      <c r="J121" s="25">
        <v>265.70999999999998</v>
      </c>
      <c r="K121" s="22">
        <v>265.70999999999998</v>
      </c>
      <c r="L121" s="1">
        <v>265.70999999999998</v>
      </c>
    </row>
    <row r="122" spans="1:12" x14ac:dyDescent="0.3">
      <c r="A122" s="30" t="s">
        <v>254</v>
      </c>
      <c r="B122" s="31" t="s">
        <v>255</v>
      </c>
      <c r="C122" s="32" t="s">
        <v>45</v>
      </c>
      <c r="D122" s="24">
        <v>3</v>
      </c>
      <c r="E122" s="24">
        <v>4.08</v>
      </c>
      <c r="F122" s="26">
        <f t="shared" si="1"/>
        <v>12.24</v>
      </c>
      <c r="G122" s="27">
        <v>0</v>
      </c>
      <c r="H122" s="24">
        <v>12.24</v>
      </c>
      <c r="I122" s="24">
        <v>0</v>
      </c>
      <c r="J122" s="25">
        <v>0</v>
      </c>
      <c r="K122" s="22">
        <v>12.24</v>
      </c>
      <c r="L122" s="1">
        <v>12.24</v>
      </c>
    </row>
    <row r="123" spans="1:12" x14ac:dyDescent="0.3">
      <c r="A123" s="30" t="s">
        <v>256</v>
      </c>
      <c r="B123" s="31" t="s">
        <v>257</v>
      </c>
      <c r="C123" s="32" t="s">
        <v>45</v>
      </c>
      <c r="D123" s="24">
        <v>1</v>
      </c>
      <c r="E123" s="24">
        <v>3.9</v>
      </c>
      <c r="F123" s="26">
        <f t="shared" si="1"/>
        <v>3.9</v>
      </c>
      <c r="G123" s="27">
        <v>0</v>
      </c>
      <c r="H123" s="24">
        <v>0</v>
      </c>
      <c r="I123" s="24">
        <v>3.9</v>
      </c>
      <c r="J123" s="25">
        <v>0</v>
      </c>
      <c r="K123" s="22">
        <v>3.9</v>
      </c>
      <c r="L123" s="1">
        <v>3.9</v>
      </c>
    </row>
    <row r="124" spans="1:12" x14ac:dyDescent="0.3">
      <c r="A124" s="30" t="s">
        <v>258</v>
      </c>
      <c r="B124" s="31" t="s">
        <v>259</v>
      </c>
      <c r="C124" s="32" t="s">
        <v>45</v>
      </c>
      <c r="D124" s="24">
        <v>12</v>
      </c>
      <c r="E124" s="24">
        <v>25.42</v>
      </c>
      <c r="F124" s="26">
        <f t="shared" si="1"/>
        <v>305.04000000000002</v>
      </c>
      <c r="G124" s="27">
        <v>0</v>
      </c>
      <c r="H124" s="24">
        <v>305.04000000000002</v>
      </c>
      <c r="I124" s="24">
        <v>0</v>
      </c>
      <c r="J124" s="25">
        <v>0</v>
      </c>
      <c r="K124" s="22">
        <v>305.04000000000002</v>
      </c>
      <c r="L124" s="1">
        <v>305.04000000000002</v>
      </c>
    </row>
    <row r="125" spans="1:12" x14ac:dyDescent="0.3">
      <c r="A125" s="30" t="s">
        <v>260</v>
      </c>
      <c r="B125" s="31" t="s">
        <v>261</v>
      </c>
      <c r="C125" s="32" t="s">
        <v>128</v>
      </c>
      <c r="D125" s="24">
        <v>13</v>
      </c>
      <c r="E125" s="24">
        <v>26.7</v>
      </c>
      <c r="F125" s="26">
        <f t="shared" si="1"/>
        <v>347.1</v>
      </c>
      <c r="G125" s="27">
        <v>0</v>
      </c>
      <c r="H125" s="24">
        <v>0</v>
      </c>
      <c r="I125" s="24">
        <v>213.6</v>
      </c>
      <c r="J125" s="25">
        <v>133.5</v>
      </c>
      <c r="K125" s="22">
        <v>347.1</v>
      </c>
      <c r="L125" s="1">
        <v>347.1</v>
      </c>
    </row>
    <row r="126" spans="1:12" x14ac:dyDescent="0.3">
      <c r="A126" s="30" t="s">
        <v>262</v>
      </c>
      <c r="B126" s="31" t="s">
        <v>263</v>
      </c>
      <c r="C126" s="32" t="s">
        <v>128</v>
      </c>
      <c r="D126" s="24">
        <v>2</v>
      </c>
      <c r="E126" s="24">
        <v>400.37</v>
      </c>
      <c r="F126" s="26">
        <f t="shared" si="1"/>
        <v>800.74</v>
      </c>
      <c r="G126" s="27">
        <v>0</v>
      </c>
      <c r="H126" s="24">
        <v>0</v>
      </c>
      <c r="I126" s="24">
        <v>0</v>
      </c>
      <c r="J126" s="25">
        <v>800.74</v>
      </c>
      <c r="K126" s="22">
        <v>800.74</v>
      </c>
      <c r="L126" s="1">
        <v>800.74</v>
      </c>
    </row>
    <row r="127" spans="1:12" x14ac:dyDescent="0.3">
      <c r="A127" s="30" t="s">
        <v>264</v>
      </c>
      <c r="B127" s="31" t="s">
        <v>265</v>
      </c>
      <c r="C127" s="32" t="s">
        <v>45</v>
      </c>
      <c r="D127" s="24">
        <v>1</v>
      </c>
      <c r="E127" s="24">
        <v>420</v>
      </c>
      <c r="F127" s="26">
        <f t="shared" si="1"/>
        <v>420</v>
      </c>
      <c r="G127" s="27">
        <v>0</v>
      </c>
      <c r="H127" s="24">
        <v>0</v>
      </c>
      <c r="I127" s="24">
        <v>420</v>
      </c>
      <c r="J127" s="25">
        <v>0</v>
      </c>
      <c r="K127" s="22">
        <v>420</v>
      </c>
      <c r="L127" s="1">
        <v>420</v>
      </c>
    </row>
    <row r="128" spans="1:12" x14ac:dyDescent="0.3">
      <c r="A128" s="30" t="s">
        <v>266</v>
      </c>
      <c r="B128" s="31" t="s">
        <v>267</v>
      </c>
      <c r="C128" s="32" t="s">
        <v>268</v>
      </c>
      <c r="D128" s="24">
        <v>4.47</v>
      </c>
      <c r="E128" s="24">
        <v>27.87</v>
      </c>
      <c r="F128" s="91">
        <f t="shared" si="1"/>
        <v>124.58</v>
      </c>
      <c r="G128" s="92">
        <v>0</v>
      </c>
      <c r="H128" s="93">
        <v>96.05</v>
      </c>
      <c r="I128" s="93">
        <v>28.53</v>
      </c>
      <c r="J128" s="94">
        <v>0</v>
      </c>
      <c r="K128" s="95">
        <v>124.58</v>
      </c>
      <c r="L128" s="96">
        <v>124.58</v>
      </c>
    </row>
    <row r="129" spans="1:12" x14ac:dyDescent="0.3">
      <c r="A129" s="30" t="s">
        <v>269</v>
      </c>
      <c r="B129" s="31" t="s">
        <v>267</v>
      </c>
      <c r="C129" s="32" t="s">
        <v>270</v>
      </c>
      <c r="D129" s="24">
        <v>9.5500000000000007</v>
      </c>
      <c r="E129" s="24">
        <v>27.87</v>
      </c>
      <c r="F129" s="26">
        <f t="shared" si="1"/>
        <v>266.16000000000003</v>
      </c>
      <c r="G129" s="27">
        <v>0</v>
      </c>
      <c r="H129" s="24">
        <v>0</v>
      </c>
      <c r="I129" s="24">
        <v>45.98</v>
      </c>
      <c r="J129" s="25">
        <v>220.18</v>
      </c>
      <c r="K129" s="22">
        <v>266.16000000000003</v>
      </c>
      <c r="L129" s="1">
        <v>266.16000000000003</v>
      </c>
    </row>
    <row r="130" spans="1:12" x14ac:dyDescent="0.3">
      <c r="A130" s="30" t="s">
        <v>271</v>
      </c>
      <c r="B130" s="31" t="s">
        <v>272</v>
      </c>
      <c r="C130" s="32" t="s">
        <v>45</v>
      </c>
      <c r="D130" s="24">
        <v>10352.1</v>
      </c>
      <c r="E130" s="24">
        <v>0.68</v>
      </c>
      <c r="F130" s="26">
        <f t="shared" si="1"/>
        <v>7039.43</v>
      </c>
      <c r="G130" s="27">
        <v>891.92</v>
      </c>
      <c r="H130" s="24">
        <v>3403.05</v>
      </c>
      <c r="I130" s="24">
        <v>2744.46</v>
      </c>
      <c r="J130" s="25">
        <v>0</v>
      </c>
      <c r="K130" s="22">
        <v>7039.43</v>
      </c>
      <c r="L130" s="1">
        <v>7039.43</v>
      </c>
    </row>
    <row r="131" spans="1:12" x14ac:dyDescent="0.3">
      <c r="A131" s="30" t="s">
        <v>273</v>
      </c>
      <c r="B131" s="31" t="s">
        <v>274</v>
      </c>
      <c r="C131" s="32" t="s">
        <v>275</v>
      </c>
      <c r="D131" s="24">
        <v>3.97</v>
      </c>
      <c r="E131" s="24">
        <v>676.58</v>
      </c>
      <c r="F131" s="26">
        <f t="shared" si="1"/>
        <v>2686.02</v>
      </c>
      <c r="G131" s="27">
        <v>0</v>
      </c>
      <c r="H131" s="24">
        <v>0</v>
      </c>
      <c r="I131" s="24">
        <v>2686.02</v>
      </c>
      <c r="J131" s="25">
        <v>0</v>
      </c>
      <c r="K131" s="22">
        <v>2686.02</v>
      </c>
      <c r="L131" s="1">
        <v>2686.02</v>
      </c>
    </row>
    <row r="132" spans="1:12" x14ac:dyDescent="0.3">
      <c r="A132" s="30" t="s">
        <v>276</v>
      </c>
      <c r="B132" s="31" t="s">
        <v>277</v>
      </c>
      <c r="C132" s="32" t="s">
        <v>45</v>
      </c>
      <c r="D132" s="24">
        <v>832.25</v>
      </c>
      <c r="E132" s="24">
        <v>1.76</v>
      </c>
      <c r="F132" s="26">
        <f t="shared" si="1"/>
        <v>1464.76</v>
      </c>
      <c r="G132" s="27">
        <v>0</v>
      </c>
      <c r="H132" s="24">
        <v>1464.76</v>
      </c>
      <c r="I132" s="24">
        <v>0</v>
      </c>
      <c r="J132" s="25">
        <v>0</v>
      </c>
      <c r="K132" s="22">
        <v>1464.76</v>
      </c>
      <c r="L132" s="1">
        <v>1464.76</v>
      </c>
    </row>
    <row r="133" spans="1:12" x14ac:dyDescent="0.3">
      <c r="A133" s="30" t="s">
        <v>278</v>
      </c>
      <c r="B133" s="31" t="s">
        <v>279</v>
      </c>
      <c r="C133" s="32" t="s">
        <v>123</v>
      </c>
      <c r="D133" s="24">
        <v>10.199999999999999</v>
      </c>
      <c r="E133" s="24">
        <v>4.41</v>
      </c>
      <c r="F133" s="26">
        <f t="shared" si="1"/>
        <v>44.98</v>
      </c>
      <c r="G133" s="27">
        <v>0</v>
      </c>
      <c r="H133" s="24">
        <v>44.98</v>
      </c>
      <c r="I133" s="24">
        <v>0</v>
      </c>
      <c r="J133" s="25">
        <v>0</v>
      </c>
      <c r="K133" s="22">
        <v>44.98</v>
      </c>
      <c r="L133" s="1">
        <v>44.98</v>
      </c>
    </row>
    <row r="134" spans="1:12" x14ac:dyDescent="0.3">
      <c r="A134" s="30" t="s">
        <v>280</v>
      </c>
      <c r="B134" s="31" t="s">
        <v>281</v>
      </c>
      <c r="C134" s="32" t="s">
        <v>45</v>
      </c>
      <c r="D134" s="24">
        <v>2</v>
      </c>
      <c r="E134" s="24">
        <v>89.25</v>
      </c>
      <c r="F134" s="26">
        <f t="shared" si="1"/>
        <v>178.5</v>
      </c>
      <c r="G134" s="27">
        <v>0</v>
      </c>
      <c r="H134" s="24">
        <v>178.5</v>
      </c>
      <c r="I134" s="24">
        <v>0</v>
      </c>
      <c r="J134" s="25">
        <v>0</v>
      </c>
      <c r="K134" s="22">
        <v>178.5</v>
      </c>
      <c r="L134" s="1">
        <v>178.5</v>
      </c>
    </row>
    <row r="135" spans="1:12" x14ac:dyDescent="0.3">
      <c r="A135" s="30" t="s">
        <v>282</v>
      </c>
      <c r="B135" s="31" t="s">
        <v>283</v>
      </c>
      <c r="C135" s="32" t="s">
        <v>45</v>
      </c>
      <c r="D135" s="24">
        <v>1</v>
      </c>
      <c r="E135" s="24">
        <v>120.76</v>
      </c>
      <c r="F135" s="26">
        <f t="shared" si="1"/>
        <v>120.76</v>
      </c>
      <c r="G135" s="27">
        <v>0</v>
      </c>
      <c r="H135" s="24">
        <v>0</v>
      </c>
      <c r="I135" s="24">
        <v>0</v>
      </c>
      <c r="J135" s="25">
        <v>120.76</v>
      </c>
      <c r="K135" s="22">
        <v>120.76</v>
      </c>
      <c r="L135" s="1">
        <v>120.76</v>
      </c>
    </row>
    <row r="136" spans="1:12" x14ac:dyDescent="0.3">
      <c r="A136" s="30" t="s">
        <v>284</v>
      </c>
      <c r="B136" s="31" t="s">
        <v>285</v>
      </c>
      <c r="C136" s="32" t="s">
        <v>286</v>
      </c>
      <c r="D136" s="24">
        <v>2543.71</v>
      </c>
      <c r="E136" s="24">
        <v>22.99</v>
      </c>
      <c r="F136" s="26">
        <f t="shared" si="1"/>
        <v>58479.89</v>
      </c>
      <c r="G136" s="27">
        <v>11766.34</v>
      </c>
      <c r="H136" s="24">
        <v>19928.72</v>
      </c>
      <c r="I136" s="24">
        <v>22453.64</v>
      </c>
      <c r="J136" s="25">
        <v>4331.1899999999996</v>
      </c>
      <c r="K136" s="22">
        <v>58479.89</v>
      </c>
      <c r="L136" s="1">
        <v>58479.89</v>
      </c>
    </row>
    <row r="137" spans="1:12" x14ac:dyDescent="0.3">
      <c r="A137" s="30" t="s">
        <v>287</v>
      </c>
      <c r="B137" s="31" t="s">
        <v>288</v>
      </c>
      <c r="C137" s="32" t="s">
        <v>45</v>
      </c>
      <c r="D137" s="24">
        <v>1</v>
      </c>
      <c r="E137" s="24">
        <v>84</v>
      </c>
      <c r="F137" s="26">
        <f t="shared" si="1"/>
        <v>84</v>
      </c>
      <c r="G137" s="27">
        <v>0</v>
      </c>
      <c r="H137" s="24">
        <v>0</v>
      </c>
      <c r="I137" s="24">
        <v>0</v>
      </c>
      <c r="J137" s="25">
        <v>84</v>
      </c>
      <c r="K137" s="22">
        <v>84</v>
      </c>
      <c r="L137" s="1">
        <v>84</v>
      </c>
    </row>
    <row r="138" spans="1:12" x14ac:dyDescent="0.3">
      <c r="A138" s="30" t="s">
        <v>289</v>
      </c>
      <c r="B138" s="31" t="s">
        <v>290</v>
      </c>
      <c r="C138" s="32" t="s">
        <v>291</v>
      </c>
      <c r="D138" s="24">
        <v>0.05</v>
      </c>
      <c r="E138" s="24">
        <v>126.78</v>
      </c>
      <c r="F138" s="26">
        <f t="shared" si="1"/>
        <v>6.34</v>
      </c>
      <c r="G138" s="27">
        <v>0</v>
      </c>
      <c r="H138" s="24">
        <v>0</v>
      </c>
      <c r="I138" s="24">
        <v>6.34</v>
      </c>
      <c r="J138" s="25">
        <v>0</v>
      </c>
      <c r="K138" s="22">
        <v>6.34</v>
      </c>
      <c r="L138" s="1">
        <v>6.34</v>
      </c>
    </row>
    <row r="139" spans="1:12" x14ac:dyDescent="0.3">
      <c r="A139" s="30" t="s">
        <v>292</v>
      </c>
      <c r="B139" s="31" t="s">
        <v>293</v>
      </c>
      <c r="C139" s="32" t="s">
        <v>102</v>
      </c>
      <c r="D139" s="24">
        <v>130.52000000000001</v>
      </c>
      <c r="E139" s="24">
        <v>57.75</v>
      </c>
      <c r="F139" s="26">
        <f t="shared" si="1"/>
        <v>7537.53</v>
      </c>
      <c r="G139" s="27">
        <v>0</v>
      </c>
      <c r="H139" s="24">
        <v>0</v>
      </c>
      <c r="I139" s="24">
        <v>1390.38</v>
      </c>
      <c r="J139" s="25">
        <v>6147.15</v>
      </c>
      <c r="K139" s="22">
        <v>7537.53</v>
      </c>
      <c r="L139" s="1">
        <v>7537.53</v>
      </c>
    </row>
    <row r="140" spans="1:12" x14ac:dyDescent="0.3">
      <c r="A140" s="30" t="s">
        <v>294</v>
      </c>
      <c r="B140" s="31" t="s">
        <v>295</v>
      </c>
      <c r="C140" s="32" t="s">
        <v>102</v>
      </c>
      <c r="D140" s="24">
        <v>52.46</v>
      </c>
      <c r="E140" s="24">
        <v>47.25</v>
      </c>
      <c r="F140" s="26">
        <f t="shared" si="1"/>
        <v>2478.7399999999998</v>
      </c>
      <c r="G140" s="27">
        <v>0</v>
      </c>
      <c r="H140" s="24">
        <v>0</v>
      </c>
      <c r="I140" s="24">
        <v>0</v>
      </c>
      <c r="J140" s="25">
        <v>2478.7399999999998</v>
      </c>
      <c r="K140" s="22">
        <v>2478.7399999999998</v>
      </c>
      <c r="L140" s="1">
        <v>2478.7399999999998</v>
      </c>
    </row>
    <row r="141" spans="1:12" x14ac:dyDescent="0.3">
      <c r="A141" s="30" t="s">
        <v>296</v>
      </c>
      <c r="B141" s="31" t="s">
        <v>297</v>
      </c>
      <c r="C141" s="32" t="s">
        <v>102</v>
      </c>
      <c r="D141" s="24">
        <v>51.03</v>
      </c>
      <c r="E141" s="24">
        <v>47.25</v>
      </c>
      <c r="F141" s="26">
        <f t="shared" ref="F141:F204" si="2">+ROUND(D141*E141,2)</f>
        <v>2411.17</v>
      </c>
      <c r="G141" s="27">
        <v>0</v>
      </c>
      <c r="H141" s="24">
        <v>219.2</v>
      </c>
      <c r="I141" s="24">
        <v>2191.9699999999998</v>
      </c>
      <c r="J141" s="25">
        <v>0</v>
      </c>
      <c r="K141" s="22">
        <v>2411.17</v>
      </c>
      <c r="L141" s="1">
        <v>2411.17</v>
      </c>
    </row>
    <row r="142" spans="1:12" x14ac:dyDescent="0.3">
      <c r="A142" s="30" t="s">
        <v>298</v>
      </c>
      <c r="B142" s="31" t="s">
        <v>299</v>
      </c>
      <c r="C142" s="32" t="s">
        <v>45</v>
      </c>
      <c r="D142" s="24">
        <v>6</v>
      </c>
      <c r="E142" s="24">
        <v>7.14</v>
      </c>
      <c r="F142" s="26">
        <f t="shared" si="2"/>
        <v>42.84</v>
      </c>
      <c r="G142" s="27">
        <v>0</v>
      </c>
      <c r="H142" s="24">
        <v>0</v>
      </c>
      <c r="I142" s="24">
        <v>42.84</v>
      </c>
      <c r="J142" s="25">
        <v>0</v>
      </c>
      <c r="K142" s="22">
        <v>42.84</v>
      </c>
      <c r="L142" s="1">
        <v>42.84</v>
      </c>
    </row>
    <row r="143" spans="1:12" x14ac:dyDescent="0.3">
      <c r="A143" s="30" t="s">
        <v>300</v>
      </c>
      <c r="B143" s="31" t="s">
        <v>301</v>
      </c>
      <c r="C143" s="32" t="s">
        <v>45</v>
      </c>
      <c r="D143" s="24">
        <v>2</v>
      </c>
      <c r="E143" s="24">
        <v>60.5</v>
      </c>
      <c r="F143" s="26">
        <f t="shared" si="2"/>
        <v>121</v>
      </c>
      <c r="G143" s="27">
        <v>0</v>
      </c>
      <c r="H143" s="24">
        <v>0</v>
      </c>
      <c r="I143" s="24">
        <v>121</v>
      </c>
      <c r="J143" s="25">
        <v>0</v>
      </c>
      <c r="K143" s="22">
        <v>121</v>
      </c>
      <c r="L143" s="1">
        <v>121</v>
      </c>
    </row>
    <row r="144" spans="1:12" x14ac:dyDescent="0.3">
      <c r="A144" s="30" t="s">
        <v>302</v>
      </c>
      <c r="B144" s="31" t="s">
        <v>303</v>
      </c>
      <c r="C144" s="32" t="s">
        <v>45</v>
      </c>
      <c r="D144" s="24">
        <v>1</v>
      </c>
      <c r="E144" s="24">
        <v>71.5</v>
      </c>
      <c r="F144" s="26">
        <f t="shared" si="2"/>
        <v>71.5</v>
      </c>
      <c r="G144" s="27">
        <v>0</v>
      </c>
      <c r="H144" s="24">
        <v>0</v>
      </c>
      <c r="I144" s="24">
        <v>71.5</v>
      </c>
      <c r="J144" s="25">
        <v>0</v>
      </c>
      <c r="K144" s="22">
        <v>71.5</v>
      </c>
      <c r="L144" s="1">
        <v>71.5</v>
      </c>
    </row>
    <row r="145" spans="1:12" x14ac:dyDescent="0.3">
      <c r="A145" s="30" t="s">
        <v>304</v>
      </c>
      <c r="B145" s="31" t="s">
        <v>305</v>
      </c>
      <c r="C145" s="32" t="s">
        <v>45</v>
      </c>
      <c r="D145" s="24">
        <v>1.5</v>
      </c>
      <c r="E145" s="24">
        <v>16.899999999999999</v>
      </c>
      <c r="F145" s="26">
        <f t="shared" si="2"/>
        <v>25.35</v>
      </c>
      <c r="G145" s="27">
        <v>0</v>
      </c>
      <c r="H145" s="24">
        <v>25.35</v>
      </c>
      <c r="I145" s="24">
        <v>0</v>
      </c>
      <c r="J145" s="25">
        <v>0</v>
      </c>
      <c r="K145" s="22">
        <v>25.35</v>
      </c>
      <c r="L145" s="1">
        <v>25.35</v>
      </c>
    </row>
    <row r="146" spans="1:12" x14ac:dyDescent="0.3">
      <c r="A146" s="30" t="s">
        <v>306</v>
      </c>
      <c r="B146" s="31" t="s">
        <v>307</v>
      </c>
      <c r="C146" s="32" t="s">
        <v>32</v>
      </c>
      <c r="D146" s="24">
        <v>4</v>
      </c>
      <c r="E146" s="24">
        <v>285</v>
      </c>
      <c r="F146" s="26">
        <f t="shared" si="2"/>
        <v>1140</v>
      </c>
      <c r="G146" s="27">
        <v>272.82</v>
      </c>
      <c r="H146" s="24">
        <v>292.31</v>
      </c>
      <c r="I146" s="24">
        <v>302.05</v>
      </c>
      <c r="J146" s="25">
        <v>272.82</v>
      </c>
      <c r="K146" s="22">
        <v>1140</v>
      </c>
      <c r="L146" s="1">
        <v>1140</v>
      </c>
    </row>
    <row r="147" spans="1:12" x14ac:dyDescent="0.3">
      <c r="A147" s="30" t="s">
        <v>308</v>
      </c>
      <c r="B147" s="31" t="s">
        <v>309</v>
      </c>
      <c r="C147" s="32" t="s">
        <v>45</v>
      </c>
      <c r="D147" s="24">
        <v>1</v>
      </c>
      <c r="E147" s="24">
        <v>199.31</v>
      </c>
      <c r="F147" s="26">
        <f t="shared" si="2"/>
        <v>199.31</v>
      </c>
      <c r="G147" s="27">
        <v>51.92</v>
      </c>
      <c r="H147" s="24">
        <v>50.25</v>
      </c>
      <c r="I147" s="24">
        <v>51.92</v>
      </c>
      <c r="J147" s="25">
        <v>45.22</v>
      </c>
      <c r="K147" s="22">
        <v>199.31</v>
      </c>
      <c r="L147" s="1">
        <v>199.31</v>
      </c>
    </row>
    <row r="148" spans="1:12" x14ac:dyDescent="0.3">
      <c r="A148" s="30" t="s">
        <v>310</v>
      </c>
      <c r="B148" s="31" t="s">
        <v>311</v>
      </c>
      <c r="C148" s="32" t="s">
        <v>312</v>
      </c>
      <c r="D148" s="24">
        <v>40</v>
      </c>
      <c r="E148" s="24">
        <v>76.3</v>
      </c>
      <c r="F148" s="26">
        <f t="shared" si="2"/>
        <v>3052</v>
      </c>
      <c r="G148" s="27">
        <v>795.06</v>
      </c>
      <c r="H148" s="24">
        <v>769.41</v>
      </c>
      <c r="I148" s="24">
        <v>795.06</v>
      </c>
      <c r="J148" s="25">
        <v>692.47</v>
      </c>
      <c r="K148" s="22">
        <v>3052</v>
      </c>
      <c r="L148" s="1">
        <v>3052</v>
      </c>
    </row>
    <row r="149" spans="1:12" x14ac:dyDescent="0.3">
      <c r="A149" s="30" t="s">
        <v>313</v>
      </c>
      <c r="B149" s="31" t="s">
        <v>314</v>
      </c>
      <c r="C149" s="32" t="s">
        <v>45</v>
      </c>
      <c r="D149" s="24">
        <v>17</v>
      </c>
      <c r="E149" s="24">
        <v>38.14</v>
      </c>
      <c r="F149" s="26">
        <f t="shared" si="2"/>
        <v>648.38</v>
      </c>
      <c r="G149" s="27">
        <v>168.91</v>
      </c>
      <c r="H149" s="24">
        <v>163.46</v>
      </c>
      <c r="I149" s="24">
        <v>168.91</v>
      </c>
      <c r="J149" s="25">
        <v>147.10000000000002</v>
      </c>
      <c r="K149" s="22">
        <v>648.38</v>
      </c>
      <c r="L149" s="1">
        <v>648.38</v>
      </c>
    </row>
    <row r="150" spans="1:12" x14ac:dyDescent="0.3">
      <c r="A150" s="30" t="s">
        <v>315</v>
      </c>
      <c r="B150" s="31" t="s">
        <v>316</v>
      </c>
      <c r="C150" s="32" t="s">
        <v>45</v>
      </c>
      <c r="D150" s="24">
        <v>28</v>
      </c>
      <c r="E150" s="24">
        <v>38.14</v>
      </c>
      <c r="F150" s="26">
        <f t="shared" si="2"/>
        <v>1067.92</v>
      </c>
      <c r="G150" s="27">
        <v>278.2</v>
      </c>
      <c r="H150" s="24">
        <v>269.22000000000003</v>
      </c>
      <c r="I150" s="24">
        <v>278.2</v>
      </c>
      <c r="J150" s="25">
        <v>242.3</v>
      </c>
      <c r="K150" s="22">
        <v>1067.92</v>
      </c>
      <c r="L150" s="1">
        <v>1067.92</v>
      </c>
    </row>
    <row r="151" spans="1:12" x14ac:dyDescent="0.3">
      <c r="A151" s="30" t="s">
        <v>317</v>
      </c>
      <c r="B151" s="31" t="s">
        <v>318</v>
      </c>
      <c r="C151" s="32" t="s">
        <v>319</v>
      </c>
      <c r="D151" s="24">
        <v>0.5</v>
      </c>
      <c r="E151" s="24">
        <v>43.9</v>
      </c>
      <c r="F151" s="26">
        <f t="shared" si="2"/>
        <v>21.95</v>
      </c>
      <c r="G151" s="27">
        <v>5.72</v>
      </c>
      <c r="H151" s="24">
        <v>5.53</v>
      </c>
      <c r="I151" s="24">
        <v>5.72</v>
      </c>
      <c r="J151" s="25">
        <v>4.9800000000000004</v>
      </c>
      <c r="K151" s="22">
        <v>21.95</v>
      </c>
      <c r="L151" s="1">
        <v>21.95</v>
      </c>
    </row>
    <row r="152" spans="1:12" x14ac:dyDescent="0.3">
      <c r="A152" s="30" t="s">
        <v>320</v>
      </c>
      <c r="B152" s="31" t="s">
        <v>321</v>
      </c>
      <c r="C152" s="32" t="s">
        <v>56</v>
      </c>
      <c r="D152" s="24">
        <v>2.41</v>
      </c>
      <c r="E152" s="24">
        <v>6.7</v>
      </c>
      <c r="F152" s="26">
        <f t="shared" si="2"/>
        <v>16.149999999999999</v>
      </c>
      <c r="G152" s="27">
        <v>0</v>
      </c>
      <c r="H152" s="24">
        <v>16.149999999999999</v>
      </c>
      <c r="I152" s="24">
        <v>0</v>
      </c>
      <c r="J152" s="25">
        <v>0</v>
      </c>
      <c r="K152" s="22">
        <v>16.149999999999999</v>
      </c>
      <c r="L152" s="1">
        <v>16.149999999999999</v>
      </c>
    </row>
    <row r="153" spans="1:12" x14ac:dyDescent="0.3">
      <c r="A153" s="30" t="s">
        <v>322</v>
      </c>
      <c r="B153" s="31" t="s">
        <v>323</v>
      </c>
      <c r="C153" s="32" t="s">
        <v>45</v>
      </c>
      <c r="D153" s="24">
        <v>50</v>
      </c>
      <c r="E153" s="24">
        <v>24.04</v>
      </c>
      <c r="F153" s="26">
        <f t="shared" si="2"/>
        <v>1202</v>
      </c>
      <c r="G153" s="27">
        <v>313.13</v>
      </c>
      <c r="H153" s="24">
        <v>303.02999999999997</v>
      </c>
      <c r="I153" s="24">
        <v>313.13</v>
      </c>
      <c r="J153" s="25">
        <v>272.71000000000004</v>
      </c>
      <c r="K153" s="22">
        <v>1202</v>
      </c>
      <c r="L153" s="1">
        <v>1202</v>
      </c>
    </row>
    <row r="154" spans="1:12" x14ac:dyDescent="0.3">
      <c r="A154" s="30" t="s">
        <v>324</v>
      </c>
      <c r="B154" s="31" t="s">
        <v>325</v>
      </c>
      <c r="C154" s="32" t="s">
        <v>326</v>
      </c>
      <c r="D154" s="24">
        <v>0.35</v>
      </c>
      <c r="E154" s="24">
        <v>235.05</v>
      </c>
      <c r="F154" s="26">
        <f t="shared" si="2"/>
        <v>82.27</v>
      </c>
      <c r="G154" s="27">
        <v>0</v>
      </c>
      <c r="H154" s="24">
        <v>82.27</v>
      </c>
      <c r="I154" s="24">
        <v>0</v>
      </c>
      <c r="J154" s="25">
        <v>0</v>
      </c>
      <c r="K154" s="22">
        <v>82.27</v>
      </c>
      <c r="L154" s="1">
        <v>82.27</v>
      </c>
    </row>
    <row r="155" spans="1:12" x14ac:dyDescent="0.3">
      <c r="A155" s="30" t="s">
        <v>327</v>
      </c>
      <c r="B155" s="31" t="s">
        <v>328</v>
      </c>
      <c r="C155" s="32" t="s">
        <v>32</v>
      </c>
      <c r="D155" s="24">
        <v>4</v>
      </c>
      <c r="E155" s="24">
        <v>365.75</v>
      </c>
      <c r="F155" s="26">
        <f t="shared" si="2"/>
        <v>1463</v>
      </c>
      <c r="G155" s="27">
        <v>350.12</v>
      </c>
      <c r="H155" s="24">
        <v>375.13</v>
      </c>
      <c r="I155" s="24">
        <v>387.63</v>
      </c>
      <c r="J155" s="25">
        <v>350.12</v>
      </c>
      <c r="K155" s="22">
        <v>1463</v>
      </c>
      <c r="L155" s="1">
        <v>1463</v>
      </c>
    </row>
    <row r="156" spans="1:12" x14ac:dyDescent="0.3">
      <c r="A156" s="30" t="s">
        <v>329</v>
      </c>
      <c r="B156" s="31" t="s">
        <v>330</v>
      </c>
      <c r="C156" s="32" t="s">
        <v>45</v>
      </c>
      <c r="D156" s="24">
        <v>2</v>
      </c>
      <c r="E156" s="24">
        <v>254.08</v>
      </c>
      <c r="F156" s="26">
        <f t="shared" si="2"/>
        <v>508.16</v>
      </c>
      <c r="G156" s="27">
        <v>0</v>
      </c>
      <c r="H156" s="24">
        <v>508.16</v>
      </c>
      <c r="I156" s="24">
        <v>0</v>
      </c>
      <c r="J156" s="25">
        <v>0</v>
      </c>
      <c r="K156" s="22">
        <v>508.16</v>
      </c>
      <c r="L156" s="1">
        <v>508.16</v>
      </c>
    </row>
    <row r="157" spans="1:12" x14ac:dyDescent="0.3">
      <c r="A157" s="30" t="s">
        <v>331</v>
      </c>
      <c r="B157" s="31" t="s">
        <v>332</v>
      </c>
      <c r="C157" s="32" t="s">
        <v>45</v>
      </c>
      <c r="D157" s="24">
        <v>21</v>
      </c>
      <c r="E157" s="24">
        <v>304.91000000000003</v>
      </c>
      <c r="F157" s="26">
        <f t="shared" si="2"/>
        <v>6403.11</v>
      </c>
      <c r="G157" s="27">
        <v>0</v>
      </c>
      <c r="H157" s="24">
        <v>6403.11</v>
      </c>
      <c r="I157" s="24">
        <v>0</v>
      </c>
      <c r="J157" s="25">
        <v>0</v>
      </c>
      <c r="K157" s="22">
        <v>6403.11</v>
      </c>
      <c r="L157" s="1">
        <v>6403.11</v>
      </c>
    </row>
    <row r="158" spans="1:12" x14ac:dyDescent="0.3">
      <c r="A158" s="30" t="s">
        <v>333</v>
      </c>
      <c r="B158" s="31" t="s">
        <v>334</v>
      </c>
      <c r="C158" s="32" t="s">
        <v>45</v>
      </c>
      <c r="D158" s="24">
        <v>15</v>
      </c>
      <c r="E158" s="24">
        <v>59.35</v>
      </c>
      <c r="F158" s="26">
        <f t="shared" si="2"/>
        <v>890.25</v>
      </c>
      <c r="G158" s="27">
        <v>231.91</v>
      </c>
      <c r="H158" s="24">
        <v>224.43</v>
      </c>
      <c r="I158" s="24">
        <v>231.91</v>
      </c>
      <c r="J158" s="25">
        <v>202</v>
      </c>
      <c r="K158" s="22">
        <v>890.25</v>
      </c>
      <c r="L158" s="1">
        <v>890.25</v>
      </c>
    </row>
    <row r="159" spans="1:12" x14ac:dyDescent="0.3">
      <c r="A159" s="30" t="s">
        <v>335</v>
      </c>
      <c r="B159" s="31" t="s">
        <v>336</v>
      </c>
      <c r="C159" s="32" t="s">
        <v>319</v>
      </c>
      <c r="D159" s="24">
        <v>8</v>
      </c>
      <c r="E159" s="24">
        <v>75.42</v>
      </c>
      <c r="F159" s="26">
        <f t="shared" si="2"/>
        <v>603.36</v>
      </c>
      <c r="G159" s="27">
        <v>157.18</v>
      </c>
      <c r="H159" s="24">
        <v>152.11000000000001</v>
      </c>
      <c r="I159" s="24">
        <v>157.18</v>
      </c>
      <c r="J159" s="25">
        <v>136.89000000000001</v>
      </c>
      <c r="K159" s="22">
        <v>603.36</v>
      </c>
      <c r="L159" s="1">
        <v>603.36</v>
      </c>
    </row>
    <row r="160" spans="1:12" x14ac:dyDescent="0.3">
      <c r="A160" s="30" t="s">
        <v>337</v>
      </c>
      <c r="B160" s="31" t="s">
        <v>338</v>
      </c>
      <c r="C160" s="32" t="s">
        <v>319</v>
      </c>
      <c r="D160" s="24">
        <v>1.1299999999999999</v>
      </c>
      <c r="E160" s="24">
        <v>390.84</v>
      </c>
      <c r="F160" s="26">
        <f t="shared" si="2"/>
        <v>441.65</v>
      </c>
      <c r="G160" s="27">
        <v>151.87</v>
      </c>
      <c r="H160" s="24">
        <v>98.79</v>
      </c>
      <c r="I160" s="24">
        <v>102.08</v>
      </c>
      <c r="J160" s="25">
        <v>88.91</v>
      </c>
      <c r="K160" s="22">
        <v>441.65</v>
      </c>
      <c r="L160" s="1">
        <v>441.65</v>
      </c>
    </row>
    <row r="161" spans="1:12" x14ac:dyDescent="0.3">
      <c r="A161" s="30" t="s">
        <v>339</v>
      </c>
      <c r="B161" s="31" t="s">
        <v>340</v>
      </c>
      <c r="C161" s="32" t="s">
        <v>268</v>
      </c>
      <c r="D161" s="24">
        <v>5.25</v>
      </c>
      <c r="E161" s="24">
        <v>29.7</v>
      </c>
      <c r="F161" s="26">
        <f t="shared" si="2"/>
        <v>155.93</v>
      </c>
      <c r="G161" s="27">
        <v>0</v>
      </c>
      <c r="H161" s="24">
        <v>0</v>
      </c>
      <c r="I161" s="24">
        <v>0</v>
      </c>
      <c r="J161" s="25">
        <v>155.93</v>
      </c>
      <c r="K161" s="22">
        <v>155.93</v>
      </c>
      <c r="L161" s="1">
        <v>155.93</v>
      </c>
    </row>
    <row r="162" spans="1:12" x14ac:dyDescent="0.3">
      <c r="A162" s="30" t="s">
        <v>341</v>
      </c>
      <c r="B162" s="31" t="s">
        <v>342</v>
      </c>
      <c r="C162" s="32" t="s">
        <v>45</v>
      </c>
      <c r="D162" s="24">
        <v>41.97</v>
      </c>
      <c r="E162" s="24">
        <v>22</v>
      </c>
      <c r="F162" s="26">
        <f t="shared" si="2"/>
        <v>923.34</v>
      </c>
      <c r="G162" s="27">
        <v>0</v>
      </c>
      <c r="H162" s="24">
        <v>0</v>
      </c>
      <c r="I162" s="24">
        <v>823.89</v>
      </c>
      <c r="J162" s="25">
        <v>99.45</v>
      </c>
      <c r="K162" s="22">
        <v>923.34</v>
      </c>
      <c r="L162" s="1">
        <v>923.34</v>
      </c>
    </row>
    <row r="163" spans="1:12" x14ac:dyDescent="0.3">
      <c r="A163" s="30" t="s">
        <v>343</v>
      </c>
      <c r="B163" s="31" t="s">
        <v>344</v>
      </c>
      <c r="C163" s="32" t="s">
        <v>45</v>
      </c>
      <c r="D163" s="24">
        <v>77</v>
      </c>
      <c r="E163" s="24">
        <v>29.68</v>
      </c>
      <c r="F163" s="26">
        <f t="shared" si="2"/>
        <v>2285.36</v>
      </c>
      <c r="G163" s="27">
        <v>595.35</v>
      </c>
      <c r="H163" s="24">
        <v>576.14</v>
      </c>
      <c r="I163" s="24">
        <v>595.35</v>
      </c>
      <c r="J163" s="25">
        <v>518.52</v>
      </c>
      <c r="K163" s="22">
        <v>2285.36</v>
      </c>
      <c r="L163" s="1">
        <v>2285.36</v>
      </c>
    </row>
    <row r="164" spans="1:12" x14ac:dyDescent="0.3">
      <c r="A164" s="30" t="s">
        <v>345</v>
      </c>
      <c r="B164" s="31" t="s">
        <v>346</v>
      </c>
      <c r="C164" s="32" t="s">
        <v>45</v>
      </c>
      <c r="D164" s="24">
        <v>28</v>
      </c>
      <c r="E164" s="24">
        <v>23.7</v>
      </c>
      <c r="F164" s="26">
        <f t="shared" si="2"/>
        <v>663.6</v>
      </c>
      <c r="G164" s="27">
        <v>172.87</v>
      </c>
      <c r="H164" s="24">
        <v>167.29</v>
      </c>
      <c r="I164" s="24">
        <v>172.87</v>
      </c>
      <c r="J164" s="25">
        <v>150.57</v>
      </c>
      <c r="K164" s="22">
        <v>663.6</v>
      </c>
      <c r="L164" s="1">
        <v>663.6</v>
      </c>
    </row>
    <row r="165" spans="1:12" x14ac:dyDescent="0.3">
      <c r="A165" s="30" t="s">
        <v>347</v>
      </c>
      <c r="B165" s="31" t="s">
        <v>348</v>
      </c>
      <c r="C165" s="32" t="s">
        <v>32</v>
      </c>
      <c r="D165" s="24">
        <v>1</v>
      </c>
      <c r="E165" s="24">
        <v>380</v>
      </c>
      <c r="F165" s="26">
        <f t="shared" si="2"/>
        <v>380</v>
      </c>
      <c r="G165" s="27">
        <v>380</v>
      </c>
      <c r="H165" s="24">
        <v>0</v>
      </c>
      <c r="I165" s="24">
        <v>0</v>
      </c>
      <c r="J165" s="25">
        <v>0</v>
      </c>
      <c r="K165" s="22">
        <v>380</v>
      </c>
      <c r="L165" s="1">
        <v>380</v>
      </c>
    </row>
    <row r="166" spans="1:12" x14ac:dyDescent="0.3">
      <c r="A166" s="30" t="s">
        <v>349</v>
      </c>
      <c r="B166" s="31" t="s">
        <v>350</v>
      </c>
      <c r="C166" s="32" t="s">
        <v>32</v>
      </c>
      <c r="D166" s="24">
        <v>1</v>
      </c>
      <c r="E166" s="24">
        <v>2493.34</v>
      </c>
      <c r="F166" s="26">
        <f t="shared" si="2"/>
        <v>2493.34</v>
      </c>
      <c r="G166" s="27">
        <v>649.53</v>
      </c>
      <c r="H166" s="24">
        <v>628.57000000000005</v>
      </c>
      <c r="I166" s="24">
        <v>649.53</v>
      </c>
      <c r="J166" s="25">
        <v>565.71</v>
      </c>
      <c r="K166" s="22">
        <v>2493.34</v>
      </c>
      <c r="L166" s="1">
        <v>2493.34</v>
      </c>
    </row>
    <row r="167" spans="1:12" x14ac:dyDescent="0.3">
      <c r="A167" s="30" t="s">
        <v>351</v>
      </c>
      <c r="B167" s="31" t="s">
        <v>352</v>
      </c>
      <c r="C167" s="32" t="s">
        <v>45</v>
      </c>
      <c r="D167" s="24">
        <v>4</v>
      </c>
      <c r="E167" s="24">
        <v>570</v>
      </c>
      <c r="F167" s="26">
        <f t="shared" si="2"/>
        <v>2280</v>
      </c>
      <c r="G167" s="27">
        <v>545.64</v>
      </c>
      <c r="H167" s="24">
        <v>584.62</v>
      </c>
      <c r="I167" s="24">
        <v>604.1</v>
      </c>
      <c r="J167" s="25">
        <v>545.64</v>
      </c>
      <c r="K167" s="22">
        <v>2280</v>
      </c>
      <c r="L167" s="1">
        <v>2280</v>
      </c>
    </row>
    <row r="168" spans="1:12" x14ac:dyDescent="0.3">
      <c r="A168" s="30" t="s">
        <v>353</v>
      </c>
      <c r="B168" s="31" t="s">
        <v>354</v>
      </c>
      <c r="C168" s="32" t="s">
        <v>32</v>
      </c>
      <c r="D168" s="24">
        <v>1</v>
      </c>
      <c r="E168" s="24">
        <v>31.49</v>
      </c>
      <c r="F168" s="26">
        <f t="shared" si="2"/>
        <v>31.49</v>
      </c>
      <c r="G168" s="27">
        <v>31.49</v>
      </c>
      <c r="H168" s="24">
        <v>0</v>
      </c>
      <c r="I168" s="24">
        <v>0</v>
      </c>
      <c r="J168" s="25">
        <v>0</v>
      </c>
      <c r="K168" s="22">
        <v>31.49</v>
      </c>
      <c r="L168" s="1">
        <v>31.49</v>
      </c>
    </row>
    <row r="169" spans="1:12" x14ac:dyDescent="0.3">
      <c r="A169" s="30" t="s">
        <v>355</v>
      </c>
      <c r="B169" s="31" t="s">
        <v>356</v>
      </c>
      <c r="C169" s="32" t="s">
        <v>32</v>
      </c>
      <c r="D169" s="24">
        <v>1</v>
      </c>
      <c r="E169" s="24">
        <v>31.49</v>
      </c>
      <c r="F169" s="26">
        <f t="shared" si="2"/>
        <v>31.49</v>
      </c>
      <c r="G169" s="27">
        <v>31.49</v>
      </c>
      <c r="H169" s="24">
        <v>0</v>
      </c>
      <c r="I169" s="24">
        <v>0</v>
      </c>
      <c r="J169" s="25">
        <v>0</v>
      </c>
      <c r="K169" s="22">
        <v>31.49</v>
      </c>
      <c r="L169" s="1">
        <v>31.49</v>
      </c>
    </row>
    <row r="170" spans="1:12" x14ac:dyDescent="0.3">
      <c r="A170" s="30" t="s">
        <v>357</v>
      </c>
      <c r="B170" s="31" t="s">
        <v>358</v>
      </c>
      <c r="C170" s="32" t="s">
        <v>359</v>
      </c>
      <c r="D170" s="24">
        <v>1</v>
      </c>
      <c r="E170" s="24">
        <v>120.76</v>
      </c>
      <c r="F170" s="26">
        <f t="shared" si="2"/>
        <v>120.76</v>
      </c>
      <c r="G170" s="27">
        <v>120.76</v>
      </c>
      <c r="H170" s="24">
        <v>0</v>
      </c>
      <c r="I170" s="24">
        <v>0</v>
      </c>
      <c r="J170" s="25">
        <v>0</v>
      </c>
      <c r="K170" s="22">
        <v>120.76</v>
      </c>
      <c r="L170" s="1">
        <v>120.76</v>
      </c>
    </row>
    <row r="171" spans="1:12" x14ac:dyDescent="0.3">
      <c r="A171" s="30" t="s">
        <v>360</v>
      </c>
      <c r="B171" s="31" t="s">
        <v>361</v>
      </c>
      <c r="C171" s="32" t="s">
        <v>359</v>
      </c>
      <c r="D171" s="24">
        <v>1</v>
      </c>
      <c r="E171" s="24">
        <v>3800</v>
      </c>
      <c r="F171" s="26">
        <f t="shared" si="2"/>
        <v>3800</v>
      </c>
      <c r="G171" s="27">
        <v>989.92</v>
      </c>
      <c r="H171" s="24">
        <v>957.98</v>
      </c>
      <c r="I171" s="24">
        <v>989.92</v>
      </c>
      <c r="J171" s="25">
        <v>862.18</v>
      </c>
      <c r="K171" s="22">
        <v>3800</v>
      </c>
      <c r="L171" s="1">
        <v>3800</v>
      </c>
    </row>
    <row r="172" spans="1:12" x14ac:dyDescent="0.3">
      <c r="A172" s="30" t="s">
        <v>362</v>
      </c>
      <c r="B172" s="31" t="s">
        <v>363</v>
      </c>
      <c r="C172" s="32" t="s">
        <v>32</v>
      </c>
      <c r="D172" s="24">
        <v>1</v>
      </c>
      <c r="E172" s="24">
        <v>836</v>
      </c>
      <c r="F172" s="26">
        <f t="shared" si="2"/>
        <v>836</v>
      </c>
      <c r="G172" s="27">
        <v>836</v>
      </c>
      <c r="H172" s="24">
        <v>0</v>
      </c>
      <c r="I172" s="24">
        <v>0</v>
      </c>
      <c r="J172" s="25">
        <v>0</v>
      </c>
      <c r="K172" s="22">
        <v>836</v>
      </c>
      <c r="L172" s="1">
        <v>836</v>
      </c>
    </row>
    <row r="173" spans="1:12" x14ac:dyDescent="0.3">
      <c r="A173" s="30" t="s">
        <v>364</v>
      </c>
      <c r="B173" s="31" t="s">
        <v>365</v>
      </c>
      <c r="C173" s="32" t="s">
        <v>366</v>
      </c>
      <c r="D173" s="24">
        <v>1.05</v>
      </c>
      <c r="E173" s="24">
        <v>45.65</v>
      </c>
      <c r="F173" s="26">
        <f t="shared" si="2"/>
        <v>47.93</v>
      </c>
      <c r="G173" s="27">
        <v>0</v>
      </c>
      <c r="H173" s="24">
        <v>0</v>
      </c>
      <c r="I173" s="24">
        <v>0</v>
      </c>
      <c r="J173" s="25">
        <v>47.93</v>
      </c>
      <c r="K173" s="22">
        <v>47.93</v>
      </c>
      <c r="L173" s="1">
        <v>47.93</v>
      </c>
    </row>
    <row r="174" spans="1:12" x14ac:dyDescent="0.3">
      <c r="A174" s="30" t="s">
        <v>367</v>
      </c>
      <c r="B174" s="31" t="s">
        <v>368</v>
      </c>
      <c r="C174" s="32" t="s">
        <v>123</v>
      </c>
      <c r="D174" s="24">
        <v>200</v>
      </c>
      <c r="E174" s="24">
        <v>4.5</v>
      </c>
      <c r="F174" s="26">
        <f t="shared" si="2"/>
        <v>900</v>
      </c>
      <c r="G174" s="27">
        <v>234.45</v>
      </c>
      <c r="H174" s="24">
        <v>226.89</v>
      </c>
      <c r="I174" s="24">
        <v>234.45</v>
      </c>
      <c r="J174" s="25">
        <v>204.20999999999998</v>
      </c>
      <c r="K174" s="22">
        <v>900</v>
      </c>
      <c r="L174" s="1">
        <v>900</v>
      </c>
    </row>
    <row r="175" spans="1:12" x14ac:dyDescent="0.3">
      <c r="A175" s="30" t="s">
        <v>369</v>
      </c>
      <c r="B175" s="31" t="s">
        <v>370</v>
      </c>
      <c r="C175" s="32" t="s">
        <v>32</v>
      </c>
      <c r="D175" s="24">
        <v>1</v>
      </c>
      <c r="E175" s="24">
        <v>7117.91</v>
      </c>
      <c r="F175" s="26">
        <f t="shared" si="2"/>
        <v>7117.91</v>
      </c>
      <c r="G175" s="27">
        <v>0</v>
      </c>
      <c r="H175" s="24">
        <v>2372.64</v>
      </c>
      <c r="I175" s="24">
        <v>4745.2700000000004</v>
      </c>
      <c r="J175" s="25">
        <v>0</v>
      </c>
      <c r="K175" s="22">
        <v>7117.91</v>
      </c>
      <c r="L175" s="1">
        <v>7117.91</v>
      </c>
    </row>
    <row r="176" spans="1:12" x14ac:dyDescent="0.3">
      <c r="A176" s="30" t="s">
        <v>371</v>
      </c>
      <c r="B176" s="31" t="s">
        <v>372</v>
      </c>
      <c r="C176" s="32" t="s">
        <v>51</v>
      </c>
      <c r="D176" s="24">
        <v>7.58</v>
      </c>
      <c r="E176" s="24">
        <v>13.36</v>
      </c>
      <c r="F176" s="26">
        <f t="shared" si="2"/>
        <v>101.27</v>
      </c>
      <c r="G176" s="27">
        <v>0</v>
      </c>
      <c r="H176" s="24">
        <v>0</v>
      </c>
      <c r="I176" s="24">
        <v>81.28</v>
      </c>
      <c r="J176" s="25">
        <v>19.989999999999998</v>
      </c>
      <c r="K176" s="22">
        <v>101.27</v>
      </c>
      <c r="L176" s="1">
        <v>101.27</v>
      </c>
    </row>
    <row r="177" spans="1:12" x14ac:dyDescent="0.3">
      <c r="A177" s="30" t="s">
        <v>373</v>
      </c>
      <c r="B177" s="31" t="s">
        <v>374</v>
      </c>
      <c r="C177" s="32" t="s">
        <v>51</v>
      </c>
      <c r="D177" s="24">
        <v>2.75</v>
      </c>
      <c r="E177" s="24">
        <v>31.5</v>
      </c>
      <c r="F177" s="26">
        <f t="shared" si="2"/>
        <v>86.63</v>
      </c>
      <c r="G177" s="27">
        <v>0</v>
      </c>
      <c r="H177" s="24">
        <v>0</v>
      </c>
      <c r="I177" s="24">
        <v>0</v>
      </c>
      <c r="J177" s="25">
        <v>86.63</v>
      </c>
      <c r="K177" s="22">
        <v>86.63</v>
      </c>
      <c r="L177" s="1">
        <v>86.63</v>
      </c>
    </row>
    <row r="178" spans="1:12" x14ac:dyDescent="0.3">
      <c r="A178" s="30" t="s">
        <v>375</v>
      </c>
      <c r="B178" s="31" t="s">
        <v>376</v>
      </c>
      <c r="C178" s="32" t="s">
        <v>32</v>
      </c>
      <c r="D178" s="24">
        <v>1</v>
      </c>
      <c r="E178" s="24">
        <v>446.02</v>
      </c>
      <c r="F178" s="26">
        <f t="shared" si="2"/>
        <v>446.02</v>
      </c>
      <c r="G178" s="27">
        <v>446.02</v>
      </c>
      <c r="H178" s="24">
        <v>0</v>
      </c>
      <c r="I178" s="24">
        <v>0</v>
      </c>
      <c r="J178" s="25">
        <v>0</v>
      </c>
      <c r="K178" s="22">
        <v>446.02</v>
      </c>
      <c r="L178" s="1">
        <v>446.02</v>
      </c>
    </row>
    <row r="179" spans="1:12" x14ac:dyDescent="0.3">
      <c r="A179" s="30" t="s">
        <v>377</v>
      </c>
      <c r="B179" s="31" t="s">
        <v>378</v>
      </c>
      <c r="C179" s="32" t="s">
        <v>45</v>
      </c>
      <c r="D179" s="24">
        <v>298</v>
      </c>
      <c r="E179" s="24">
        <v>3.5</v>
      </c>
      <c r="F179" s="26">
        <f t="shared" si="2"/>
        <v>1043</v>
      </c>
      <c r="G179" s="27">
        <v>271.70999999999998</v>
      </c>
      <c r="H179" s="24">
        <v>262.94</v>
      </c>
      <c r="I179" s="24">
        <v>271.70999999999998</v>
      </c>
      <c r="J179" s="25">
        <v>236.64000000000001</v>
      </c>
      <c r="K179" s="22">
        <v>1043</v>
      </c>
      <c r="L179" s="1">
        <v>1043</v>
      </c>
    </row>
    <row r="180" spans="1:12" x14ac:dyDescent="0.3">
      <c r="A180" s="30" t="s">
        <v>379</v>
      </c>
      <c r="B180" s="31" t="s">
        <v>380</v>
      </c>
      <c r="C180" s="32" t="s">
        <v>102</v>
      </c>
      <c r="D180" s="24">
        <v>0.4</v>
      </c>
      <c r="E180" s="24">
        <v>121.22</v>
      </c>
      <c r="F180" s="26">
        <f t="shared" si="2"/>
        <v>48.49</v>
      </c>
      <c r="G180" s="27">
        <v>0</v>
      </c>
      <c r="H180" s="24">
        <v>0</v>
      </c>
      <c r="I180" s="24">
        <v>0</v>
      </c>
      <c r="J180" s="25">
        <v>48.49</v>
      </c>
      <c r="K180" s="22">
        <v>48.49</v>
      </c>
      <c r="L180" s="1">
        <v>48.49</v>
      </c>
    </row>
    <row r="181" spans="1:12" x14ac:dyDescent="0.3">
      <c r="A181" s="30" t="s">
        <v>381</v>
      </c>
      <c r="B181" s="31" t="s">
        <v>382</v>
      </c>
      <c r="C181" s="32" t="s">
        <v>128</v>
      </c>
      <c r="D181" s="24">
        <v>4</v>
      </c>
      <c r="E181" s="24">
        <v>7.48</v>
      </c>
      <c r="F181" s="26">
        <f t="shared" si="2"/>
        <v>29.92</v>
      </c>
      <c r="G181" s="27">
        <v>0</v>
      </c>
      <c r="H181" s="24">
        <v>0</v>
      </c>
      <c r="I181" s="24">
        <v>0</v>
      </c>
      <c r="J181" s="25">
        <v>29.92</v>
      </c>
      <c r="K181" s="22">
        <v>29.92</v>
      </c>
      <c r="L181" s="1">
        <v>29.92</v>
      </c>
    </row>
    <row r="182" spans="1:12" x14ac:dyDescent="0.3">
      <c r="A182" s="30" t="s">
        <v>383</v>
      </c>
      <c r="B182" s="31" t="s">
        <v>384</v>
      </c>
      <c r="C182" s="32" t="s">
        <v>102</v>
      </c>
      <c r="D182" s="24">
        <v>17.190000000000001</v>
      </c>
      <c r="E182" s="24">
        <v>142.69</v>
      </c>
      <c r="F182" s="26">
        <f t="shared" si="2"/>
        <v>2452.84</v>
      </c>
      <c r="G182" s="27">
        <v>0</v>
      </c>
      <c r="H182" s="24">
        <v>0</v>
      </c>
      <c r="I182" s="24">
        <v>2452.84</v>
      </c>
      <c r="J182" s="25">
        <v>0</v>
      </c>
      <c r="K182" s="22">
        <v>2452.84</v>
      </c>
      <c r="L182" s="1">
        <v>2452.84</v>
      </c>
    </row>
    <row r="183" spans="1:12" x14ac:dyDescent="0.3">
      <c r="A183" s="30" t="s">
        <v>385</v>
      </c>
      <c r="B183" s="31" t="s">
        <v>386</v>
      </c>
      <c r="C183" s="32" t="s">
        <v>366</v>
      </c>
      <c r="D183" s="24">
        <v>0.15</v>
      </c>
      <c r="E183" s="24">
        <v>109.24</v>
      </c>
      <c r="F183" s="26">
        <f t="shared" si="2"/>
        <v>16.39</v>
      </c>
      <c r="G183" s="27">
        <v>0</v>
      </c>
      <c r="H183" s="24">
        <v>16.39</v>
      </c>
      <c r="I183" s="24">
        <v>0</v>
      </c>
      <c r="J183" s="25">
        <v>0</v>
      </c>
      <c r="K183" s="22">
        <v>16.39</v>
      </c>
      <c r="L183" s="1">
        <v>16.39</v>
      </c>
    </row>
    <row r="184" spans="1:12" x14ac:dyDescent="0.3">
      <c r="A184" s="30" t="s">
        <v>387</v>
      </c>
      <c r="B184" s="31" t="s">
        <v>388</v>
      </c>
      <c r="C184" s="32" t="s">
        <v>51</v>
      </c>
      <c r="D184" s="24">
        <v>0.04</v>
      </c>
      <c r="E184" s="24">
        <v>238.35</v>
      </c>
      <c r="F184" s="26">
        <f t="shared" si="2"/>
        <v>9.5299999999999994</v>
      </c>
      <c r="G184" s="27">
        <v>0</v>
      </c>
      <c r="H184" s="24">
        <v>0</v>
      </c>
      <c r="I184" s="24">
        <v>9.5299999999999994</v>
      </c>
      <c r="J184" s="25">
        <v>0</v>
      </c>
      <c r="K184" s="22">
        <v>9.5299999999999994</v>
      </c>
      <c r="L184" s="1">
        <v>9.5299999999999994</v>
      </c>
    </row>
    <row r="185" spans="1:12" x14ac:dyDescent="0.3">
      <c r="A185" s="30" t="s">
        <v>389</v>
      </c>
      <c r="B185" s="31" t="s">
        <v>390</v>
      </c>
      <c r="C185" s="32" t="s">
        <v>45</v>
      </c>
      <c r="D185" s="24">
        <v>2</v>
      </c>
      <c r="E185" s="24">
        <v>2512.86</v>
      </c>
      <c r="F185" s="26">
        <f t="shared" si="2"/>
        <v>5025.72</v>
      </c>
      <c r="G185" s="27">
        <v>0</v>
      </c>
      <c r="H185" s="24">
        <v>0</v>
      </c>
      <c r="I185" s="24">
        <v>0</v>
      </c>
      <c r="J185" s="25">
        <v>5025.72</v>
      </c>
      <c r="K185" s="22">
        <v>5025.72</v>
      </c>
      <c r="L185" s="1">
        <v>5025.72</v>
      </c>
    </row>
    <row r="186" spans="1:12" x14ac:dyDescent="0.3">
      <c r="A186" s="30" t="s">
        <v>391</v>
      </c>
      <c r="B186" s="31" t="s">
        <v>392</v>
      </c>
      <c r="C186" s="32" t="s">
        <v>326</v>
      </c>
      <c r="D186" s="24">
        <v>3</v>
      </c>
      <c r="E186" s="24">
        <v>12.42</v>
      </c>
      <c r="F186" s="26">
        <f t="shared" si="2"/>
        <v>37.26</v>
      </c>
      <c r="G186" s="27">
        <v>0</v>
      </c>
      <c r="H186" s="24">
        <v>0</v>
      </c>
      <c r="I186" s="24">
        <v>37.26</v>
      </c>
      <c r="J186" s="25">
        <v>0</v>
      </c>
      <c r="K186" s="22">
        <v>37.26</v>
      </c>
      <c r="L186" s="1">
        <v>37.26</v>
      </c>
    </row>
    <row r="187" spans="1:12" x14ac:dyDescent="0.3">
      <c r="A187" s="30" t="s">
        <v>393</v>
      </c>
      <c r="B187" s="31" t="s">
        <v>394</v>
      </c>
      <c r="C187" s="32" t="s">
        <v>45</v>
      </c>
      <c r="D187" s="24">
        <v>22</v>
      </c>
      <c r="E187" s="24">
        <v>27.5</v>
      </c>
      <c r="F187" s="26">
        <f t="shared" si="2"/>
        <v>605</v>
      </c>
      <c r="G187" s="27">
        <v>0</v>
      </c>
      <c r="H187" s="24">
        <v>0</v>
      </c>
      <c r="I187" s="24">
        <v>605</v>
      </c>
      <c r="J187" s="25">
        <v>0</v>
      </c>
      <c r="K187" s="22">
        <v>605</v>
      </c>
      <c r="L187" s="1">
        <v>605</v>
      </c>
    </row>
    <row r="188" spans="1:12" x14ac:dyDescent="0.3">
      <c r="A188" s="30" t="s">
        <v>395</v>
      </c>
      <c r="B188" s="31" t="s">
        <v>396</v>
      </c>
      <c r="C188" s="32" t="s">
        <v>366</v>
      </c>
      <c r="D188" s="24">
        <v>0.96</v>
      </c>
      <c r="E188" s="24">
        <v>46.52</v>
      </c>
      <c r="F188" s="26">
        <f t="shared" si="2"/>
        <v>44.66</v>
      </c>
      <c r="G188" s="27">
        <v>0</v>
      </c>
      <c r="H188" s="24">
        <v>0</v>
      </c>
      <c r="I188" s="24">
        <v>44.66</v>
      </c>
      <c r="J188" s="25">
        <v>0</v>
      </c>
      <c r="K188" s="22">
        <v>44.66</v>
      </c>
      <c r="L188" s="1">
        <v>44.66</v>
      </c>
    </row>
    <row r="189" spans="1:12" x14ac:dyDescent="0.3">
      <c r="A189" s="30" t="s">
        <v>397</v>
      </c>
      <c r="B189" s="31" t="s">
        <v>398</v>
      </c>
      <c r="C189" s="32" t="s">
        <v>42</v>
      </c>
      <c r="D189" s="24">
        <v>67.86</v>
      </c>
      <c r="E189" s="24">
        <v>5</v>
      </c>
      <c r="F189" s="26">
        <f t="shared" si="2"/>
        <v>339.3</v>
      </c>
      <c r="G189" s="27">
        <v>0</v>
      </c>
      <c r="H189" s="24">
        <v>2.85</v>
      </c>
      <c r="I189" s="24">
        <v>0</v>
      </c>
      <c r="J189" s="25">
        <v>336.45</v>
      </c>
      <c r="K189" s="22">
        <v>339.3</v>
      </c>
      <c r="L189" s="1">
        <v>339.3</v>
      </c>
    </row>
    <row r="190" spans="1:12" x14ac:dyDescent="0.3">
      <c r="A190" s="30" t="s">
        <v>399</v>
      </c>
      <c r="B190" s="31" t="s">
        <v>400</v>
      </c>
      <c r="C190" s="32" t="s">
        <v>291</v>
      </c>
      <c r="D190" s="24">
        <v>15.72</v>
      </c>
      <c r="E190" s="24">
        <v>1.3</v>
      </c>
      <c r="F190" s="26">
        <f t="shared" si="2"/>
        <v>20.440000000000001</v>
      </c>
      <c r="G190" s="27">
        <v>20.440000000000001</v>
      </c>
      <c r="H190" s="24">
        <v>0</v>
      </c>
      <c r="I190" s="24">
        <v>0</v>
      </c>
      <c r="J190" s="25">
        <v>0</v>
      </c>
      <c r="K190" s="22">
        <v>20.440000000000001</v>
      </c>
      <c r="L190" s="1">
        <v>20.440000000000001</v>
      </c>
    </row>
    <row r="191" spans="1:12" x14ac:dyDescent="0.3">
      <c r="A191" s="30" t="s">
        <v>401</v>
      </c>
      <c r="B191" s="31" t="s">
        <v>402</v>
      </c>
      <c r="C191" s="32" t="s">
        <v>291</v>
      </c>
      <c r="D191" s="24">
        <v>15.65</v>
      </c>
      <c r="E191" s="24">
        <v>1.3</v>
      </c>
      <c r="F191" s="26">
        <f t="shared" si="2"/>
        <v>20.350000000000001</v>
      </c>
      <c r="G191" s="27">
        <v>20.350000000000001</v>
      </c>
      <c r="H191" s="24">
        <v>0</v>
      </c>
      <c r="I191" s="24">
        <v>0</v>
      </c>
      <c r="J191" s="25">
        <v>0</v>
      </c>
      <c r="K191" s="22">
        <v>20.350000000000001</v>
      </c>
      <c r="L191" s="1">
        <v>20.350000000000001</v>
      </c>
    </row>
    <row r="192" spans="1:12" x14ac:dyDescent="0.3">
      <c r="A192" s="30" t="s">
        <v>403</v>
      </c>
      <c r="B192" s="31" t="s">
        <v>404</v>
      </c>
      <c r="C192" s="32" t="s">
        <v>32</v>
      </c>
      <c r="D192" s="24">
        <v>1</v>
      </c>
      <c r="E192" s="24">
        <v>103466.1</v>
      </c>
      <c r="F192" s="26">
        <f t="shared" si="2"/>
        <v>103466.1</v>
      </c>
      <c r="G192" s="27">
        <v>24082.63</v>
      </c>
      <c r="H192" s="24">
        <v>26758.47</v>
      </c>
      <c r="I192" s="24">
        <v>27650.42</v>
      </c>
      <c r="J192" s="25">
        <v>24974.58</v>
      </c>
      <c r="K192" s="22">
        <v>103466.1</v>
      </c>
      <c r="L192" s="1">
        <v>103466.1</v>
      </c>
    </row>
    <row r="193" spans="1:12" x14ac:dyDescent="0.3">
      <c r="A193" s="30" t="s">
        <v>405</v>
      </c>
      <c r="B193" s="31" t="s">
        <v>406</v>
      </c>
      <c r="C193" s="32" t="s">
        <v>32</v>
      </c>
      <c r="D193" s="24">
        <v>1</v>
      </c>
      <c r="E193" s="24">
        <v>12953.21</v>
      </c>
      <c r="F193" s="26">
        <f t="shared" si="2"/>
        <v>12953.21</v>
      </c>
      <c r="G193" s="27">
        <v>3014.97</v>
      </c>
      <c r="H193" s="24">
        <v>3349.97</v>
      </c>
      <c r="I193" s="24">
        <v>3461.63</v>
      </c>
      <c r="J193" s="25">
        <v>3126.64</v>
      </c>
      <c r="K193" s="22">
        <v>12953.21</v>
      </c>
      <c r="L193" s="1">
        <v>12953.21</v>
      </c>
    </row>
    <row r="194" spans="1:12" x14ac:dyDescent="0.3">
      <c r="A194" s="30" t="s">
        <v>407</v>
      </c>
      <c r="B194" s="31" t="s">
        <v>408</v>
      </c>
      <c r="C194" s="32" t="s">
        <v>45</v>
      </c>
      <c r="D194" s="24">
        <v>22</v>
      </c>
      <c r="E194" s="24">
        <v>19.8</v>
      </c>
      <c r="F194" s="26">
        <f t="shared" si="2"/>
        <v>435.6</v>
      </c>
      <c r="G194" s="27">
        <v>0</v>
      </c>
      <c r="H194" s="24">
        <v>0</v>
      </c>
      <c r="I194" s="24">
        <v>435.6</v>
      </c>
      <c r="J194" s="25">
        <v>0</v>
      </c>
      <c r="K194" s="22">
        <v>435.6</v>
      </c>
      <c r="L194" s="1">
        <v>435.6</v>
      </c>
    </row>
    <row r="195" spans="1:12" x14ac:dyDescent="0.3">
      <c r="A195" s="30" t="s">
        <v>409</v>
      </c>
      <c r="B195" s="31" t="s">
        <v>410</v>
      </c>
      <c r="C195" s="32" t="s">
        <v>45</v>
      </c>
      <c r="D195" s="24">
        <v>1</v>
      </c>
      <c r="E195" s="24">
        <v>1850</v>
      </c>
      <c r="F195" s="26">
        <f t="shared" si="2"/>
        <v>1850</v>
      </c>
      <c r="G195" s="27">
        <v>0</v>
      </c>
      <c r="H195" s="24">
        <v>0</v>
      </c>
      <c r="I195" s="24">
        <v>0</v>
      </c>
      <c r="J195" s="25">
        <v>1850</v>
      </c>
      <c r="K195" s="22">
        <v>1850</v>
      </c>
      <c r="L195" s="1">
        <v>1850</v>
      </c>
    </row>
    <row r="196" spans="1:12" x14ac:dyDescent="0.3">
      <c r="A196" s="30" t="s">
        <v>411</v>
      </c>
      <c r="B196" s="31" t="s">
        <v>412</v>
      </c>
      <c r="C196" s="32" t="s">
        <v>268</v>
      </c>
      <c r="D196" s="24">
        <v>5.25</v>
      </c>
      <c r="E196" s="24">
        <v>7.1</v>
      </c>
      <c r="F196" s="26">
        <f t="shared" si="2"/>
        <v>37.28</v>
      </c>
      <c r="G196" s="27">
        <v>0</v>
      </c>
      <c r="H196" s="24">
        <v>0</v>
      </c>
      <c r="I196" s="24">
        <v>0</v>
      </c>
      <c r="J196" s="25">
        <v>37.28</v>
      </c>
      <c r="K196" s="22">
        <v>37.28</v>
      </c>
      <c r="L196" s="1">
        <v>37.28</v>
      </c>
    </row>
    <row r="197" spans="1:12" x14ac:dyDescent="0.3">
      <c r="A197" s="30" t="s">
        <v>413</v>
      </c>
      <c r="B197" s="31" t="s">
        <v>414</v>
      </c>
      <c r="C197" s="32" t="s">
        <v>326</v>
      </c>
      <c r="D197" s="24">
        <v>4</v>
      </c>
      <c r="E197" s="24">
        <v>60.93</v>
      </c>
      <c r="F197" s="26">
        <f t="shared" si="2"/>
        <v>243.72</v>
      </c>
      <c r="G197" s="27">
        <v>0</v>
      </c>
      <c r="H197" s="24">
        <v>0</v>
      </c>
      <c r="I197" s="24">
        <v>243.72</v>
      </c>
      <c r="J197" s="25">
        <v>0</v>
      </c>
      <c r="K197" s="22">
        <v>243.72</v>
      </c>
      <c r="L197" s="1">
        <v>243.72</v>
      </c>
    </row>
    <row r="198" spans="1:12" x14ac:dyDescent="0.3">
      <c r="A198" s="30" t="s">
        <v>415</v>
      </c>
      <c r="B198" s="31" t="s">
        <v>416</v>
      </c>
      <c r="C198" s="32" t="s">
        <v>319</v>
      </c>
      <c r="D198" s="24">
        <v>2.96</v>
      </c>
      <c r="E198" s="24">
        <v>7.04</v>
      </c>
      <c r="F198" s="26">
        <f t="shared" si="2"/>
        <v>20.84</v>
      </c>
      <c r="G198" s="27">
        <v>0</v>
      </c>
      <c r="H198" s="24">
        <v>20.84</v>
      </c>
      <c r="I198" s="24">
        <v>0</v>
      </c>
      <c r="J198" s="25">
        <v>0</v>
      </c>
      <c r="K198" s="22">
        <v>20.84</v>
      </c>
      <c r="L198" s="1">
        <v>20.84</v>
      </c>
    </row>
    <row r="199" spans="1:12" x14ac:dyDescent="0.3">
      <c r="A199" s="30" t="s">
        <v>417</v>
      </c>
      <c r="B199" s="31" t="s">
        <v>418</v>
      </c>
      <c r="C199" s="32" t="s">
        <v>123</v>
      </c>
      <c r="D199" s="24">
        <v>8.64</v>
      </c>
      <c r="E199" s="24">
        <v>0.14000000000000001</v>
      </c>
      <c r="F199" s="26">
        <f t="shared" si="2"/>
        <v>1.21</v>
      </c>
      <c r="G199" s="27">
        <v>0</v>
      </c>
      <c r="H199" s="24">
        <v>0</v>
      </c>
      <c r="I199" s="24">
        <v>0</v>
      </c>
      <c r="J199" s="25">
        <v>1.21</v>
      </c>
      <c r="K199" s="22">
        <v>1.21</v>
      </c>
      <c r="L199" s="1">
        <v>1.21</v>
      </c>
    </row>
    <row r="200" spans="1:12" x14ac:dyDescent="0.3">
      <c r="A200" s="30" t="s">
        <v>419</v>
      </c>
      <c r="B200" s="31" t="s">
        <v>420</v>
      </c>
      <c r="C200" s="32" t="s">
        <v>270</v>
      </c>
      <c r="D200" s="24">
        <v>0.64</v>
      </c>
      <c r="E200" s="24">
        <v>109.24</v>
      </c>
      <c r="F200" s="26">
        <f t="shared" si="2"/>
        <v>69.91</v>
      </c>
      <c r="G200" s="27">
        <v>21.28</v>
      </c>
      <c r="H200" s="24">
        <v>27.54</v>
      </c>
      <c r="I200" s="24">
        <v>21.09</v>
      </c>
      <c r="J200" s="25">
        <v>0</v>
      </c>
      <c r="K200" s="22">
        <v>69.91</v>
      </c>
      <c r="L200" s="1">
        <v>69.91</v>
      </c>
    </row>
    <row r="201" spans="1:12" x14ac:dyDescent="0.3">
      <c r="A201" s="30" t="s">
        <v>421</v>
      </c>
      <c r="B201" s="31" t="s">
        <v>422</v>
      </c>
      <c r="C201" s="32" t="s">
        <v>45</v>
      </c>
      <c r="D201" s="24">
        <v>1</v>
      </c>
      <c r="E201" s="24">
        <v>914</v>
      </c>
      <c r="F201" s="26">
        <f t="shared" si="2"/>
        <v>914</v>
      </c>
      <c r="G201" s="27">
        <v>0</v>
      </c>
      <c r="H201" s="24">
        <v>0</v>
      </c>
      <c r="I201" s="24">
        <v>0</v>
      </c>
      <c r="J201" s="25">
        <v>914</v>
      </c>
      <c r="K201" s="22">
        <v>914</v>
      </c>
      <c r="L201" s="1">
        <v>914</v>
      </c>
    </row>
    <row r="202" spans="1:12" x14ac:dyDescent="0.3">
      <c r="A202" s="30" t="s">
        <v>423</v>
      </c>
      <c r="B202" s="31" t="s">
        <v>424</v>
      </c>
      <c r="C202" s="32" t="s">
        <v>45</v>
      </c>
      <c r="D202" s="24">
        <v>1</v>
      </c>
      <c r="E202" s="24">
        <v>862</v>
      </c>
      <c r="F202" s="26">
        <f t="shared" si="2"/>
        <v>862</v>
      </c>
      <c r="G202" s="27">
        <v>0</v>
      </c>
      <c r="H202" s="24">
        <v>0</v>
      </c>
      <c r="I202" s="24">
        <v>0</v>
      </c>
      <c r="J202" s="25">
        <v>862</v>
      </c>
      <c r="K202" s="22">
        <v>862</v>
      </c>
      <c r="L202" s="1">
        <v>862</v>
      </c>
    </row>
    <row r="203" spans="1:12" x14ac:dyDescent="0.3">
      <c r="A203" s="30" t="s">
        <v>425</v>
      </c>
      <c r="B203" s="31" t="s">
        <v>426</v>
      </c>
      <c r="C203" s="32" t="s">
        <v>45</v>
      </c>
      <c r="D203" s="24">
        <v>1</v>
      </c>
      <c r="E203" s="24">
        <v>253</v>
      </c>
      <c r="F203" s="26">
        <f t="shared" si="2"/>
        <v>253</v>
      </c>
      <c r="G203" s="27">
        <v>0</v>
      </c>
      <c r="H203" s="24">
        <v>0</v>
      </c>
      <c r="I203" s="24">
        <v>0</v>
      </c>
      <c r="J203" s="25">
        <v>253</v>
      </c>
      <c r="K203" s="22">
        <v>253</v>
      </c>
      <c r="L203" s="1">
        <v>253</v>
      </c>
    </row>
    <row r="204" spans="1:12" x14ac:dyDescent="0.3">
      <c r="A204" s="30" t="s">
        <v>427</v>
      </c>
      <c r="B204" s="31" t="s">
        <v>428</v>
      </c>
      <c r="C204" s="32" t="s">
        <v>102</v>
      </c>
      <c r="D204" s="24">
        <v>9.24</v>
      </c>
      <c r="E204" s="24">
        <v>55</v>
      </c>
      <c r="F204" s="26">
        <f t="shared" si="2"/>
        <v>508.2</v>
      </c>
      <c r="G204" s="27">
        <v>0</v>
      </c>
      <c r="H204" s="24">
        <v>127.05</v>
      </c>
      <c r="I204" s="24">
        <v>381.15</v>
      </c>
      <c r="J204" s="25">
        <v>0</v>
      </c>
      <c r="K204" s="22">
        <v>508.2</v>
      </c>
      <c r="L204" s="1">
        <v>508.2</v>
      </c>
    </row>
    <row r="205" spans="1:12" x14ac:dyDescent="0.3">
      <c r="A205" s="30" t="s">
        <v>429</v>
      </c>
      <c r="B205" s="31" t="s">
        <v>430</v>
      </c>
      <c r="C205" s="32" t="s">
        <v>51</v>
      </c>
      <c r="D205" s="24">
        <v>0.75</v>
      </c>
      <c r="E205" s="24">
        <v>9.56</v>
      </c>
      <c r="F205" s="26">
        <f t="shared" ref="F205:F268" si="3">+ROUND(D205*E205,2)</f>
        <v>7.17</v>
      </c>
      <c r="G205" s="27">
        <v>0</v>
      </c>
      <c r="H205" s="24">
        <v>0</v>
      </c>
      <c r="I205" s="24">
        <v>1.44</v>
      </c>
      <c r="J205" s="25">
        <v>5.73</v>
      </c>
      <c r="K205" s="22">
        <v>7.17</v>
      </c>
      <c r="L205" s="1">
        <v>7.17</v>
      </c>
    </row>
    <row r="206" spans="1:12" x14ac:dyDescent="0.3">
      <c r="A206" s="30" t="s">
        <v>431</v>
      </c>
      <c r="B206" s="31" t="s">
        <v>432</v>
      </c>
      <c r="C206" s="32" t="s">
        <v>32</v>
      </c>
      <c r="D206" s="24">
        <v>1</v>
      </c>
      <c r="E206" s="24">
        <v>282025.2</v>
      </c>
      <c r="F206" s="26">
        <f t="shared" si="3"/>
        <v>282025.2</v>
      </c>
      <c r="G206" s="27">
        <v>65643.8</v>
      </c>
      <c r="H206" s="24">
        <v>72937.55</v>
      </c>
      <c r="I206" s="24">
        <v>75368.800000000003</v>
      </c>
      <c r="J206" s="25">
        <v>68075.05</v>
      </c>
      <c r="K206" s="22">
        <v>282025.2</v>
      </c>
      <c r="L206" s="1">
        <v>282025.2</v>
      </c>
    </row>
    <row r="207" spans="1:12" x14ac:dyDescent="0.3">
      <c r="A207" s="30" t="s">
        <v>433</v>
      </c>
      <c r="B207" s="31" t="s">
        <v>434</v>
      </c>
      <c r="C207" s="32" t="s">
        <v>39</v>
      </c>
      <c r="D207" s="24">
        <v>61.71</v>
      </c>
      <c r="E207" s="24">
        <v>65.069999999999993</v>
      </c>
      <c r="F207" s="26">
        <f t="shared" si="3"/>
        <v>4015.47</v>
      </c>
      <c r="G207" s="27">
        <v>0</v>
      </c>
      <c r="H207" s="24">
        <v>0</v>
      </c>
      <c r="I207" s="24">
        <v>4015.47</v>
      </c>
      <c r="J207" s="25">
        <v>0</v>
      </c>
      <c r="K207" s="22">
        <v>4015.47</v>
      </c>
      <c r="L207" s="1">
        <v>4015.47</v>
      </c>
    </row>
    <row r="208" spans="1:12" x14ac:dyDescent="0.3">
      <c r="A208" s="30" t="s">
        <v>435</v>
      </c>
      <c r="B208" s="31" t="s">
        <v>436</v>
      </c>
      <c r="C208" s="32" t="s">
        <v>268</v>
      </c>
      <c r="D208" s="24">
        <v>1.37</v>
      </c>
      <c r="E208" s="24">
        <v>39.950000000000003</v>
      </c>
      <c r="F208" s="26">
        <f t="shared" si="3"/>
        <v>54.73</v>
      </c>
      <c r="G208" s="27">
        <v>0</v>
      </c>
      <c r="H208" s="24">
        <v>0</v>
      </c>
      <c r="I208" s="24">
        <v>0</v>
      </c>
      <c r="J208" s="25">
        <v>54.73</v>
      </c>
      <c r="K208" s="22">
        <v>54.73</v>
      </c>
      <c r="L208" s="1">
        <v>54.73</v>
      </c>
    </row>
    <row r="209" spans="1:12" x14ac:dyDescent="0.3">
      <c r="A209" s="30" t="s">
        <v>437</v>
      </c>
      <c r="B209" s="31" t="s">
        <v>438</v>
      </c>
      <c r="C209" s="32" t="s">
        <v>45</v>
      </c>
      <c r="D209" s="24">
        <v>2</v>
      </c>
      <c r="E209" s="24">
        <v>52.5</v>
      </c>
      <c r="F209" s="26">
        <f t="shared" si="3"/>
        <v>105</v>
      </c>
      <c r="G209" s="27">
        <v>0</v>
      </c>
      <c r="H209" s="24">
        <v>0</v>
      </c>
      <c r="I209" s="24">
        <v>0</v>
      </c>
      <c r="J209" s="25">
        <v>105</v>
      </c>
      <c r="K209" s="22">
        <v>105</v>
      </c>
      <c r="L209" s="1">
        <v>105</v>
      </c>
    </row>
    <row r="210" spans="1:12" x14ac:dyDescent="0.3">
      <c r="A210" s="30" t="s">
        <v>439</v>
      </c>
      <c r="B210" s="31" t="s">
        <v>440</v>
      </c>
      <c r="C210" s="32" t="s">
        <v>45</v>
      </c>
      <c r="D210" s="24">
        <v>1</v>
      </c>
      <c r="E210" s="24">
        <v>52.5</v>
      </c>
      <c r="F210" s="26">
        <f t="shared" si="3"/>
        <v>52.5</v>
      </c>
      <c r="G210" s="27">
        <v>0</v>
      </c>
      <c r="H210" s="24">
        <v>0</v>
      </c>
      <c r="I210" s="24">
        <v>0</v>
      </c>
      <c r="J210" s="25">
        <v>52.5</v>
      </c>
      <c r="K210" s="22">
        <v>52.5</v>
      </c>
      <c r="L210" s="1">
        <v>52.5</v>
      </c>
    </row>
    <row r="211" spans="1:12" x14ac:dyDescent="0.3">
      <c r="A211" s="30" t="s">
        <v>441</v>
      </c>
      <c r="B211" s="31" t="s">
        <v>442</v>
      </c>
      <c r="C211" s="32" t="s">
        <v>45</v>
      </c>
      <c r="D211" s="24">
        <v>2</v>
      </c>
      <c r="E211" s="24">
        <v>84</v>
      </c>
      <c r="F211" s="26">
        <f t="shared" si="3"/>
        <v>168</v>
      </c>
      <c r="G211" s="27">
        <v>0</v>
      </c>
      <c r="H211" s="24">
        <v>0</v>
      </c>
      <c r="I211" s="24">
        <v>0</v>
      </c>
      <c r="J211" s="25">
        <v>168</v>
      </c>
      <c r="K211" s="22">
        <v>168</v>
      </c>
      <c r="L211" s="1">
        <v>168</v>
      </c>
    </row>
    <row r="212" spans="1:12" x14ac:dyDescent="0.3">
      <c r="A212" s="30" t="s">
        <v>443</v>
      </c>
      <c r="B212" s="31" t="s">
        <v>444</v>
      </c>
      <c r="C212" s="32" t="s">
        <v>45</v>
      </c>
      <c r="D212" s="24">
        <v>1</v>
      </c>
      <c r="E212" s="24">
        <v>165</v>
      </c>
      <c r="F212" s="26">
        <f t="shared" si="3"/>
        <v>165</v>
      </c>
      <c r="G212" s="27">
        <v>0</v>
      </c>
      <c r="H212" s="24">
        <v>0</v>
      </c>
      <c r="I212" s="24">
        <v>0</v>
      </c>
      <c r="J212" s="25">
        <v>165</v>
      </c>
      <c r="K212" s="22">
        <v>165</v>
      </c>
      <c r="L212" s="1">
        <v>165</v>
      </c>
    </row>
    <row r="213" spans="1:12" x14ac:dyDescent="0.3">
      <c r="A213" s="30" t="s">
        <v>445</v>
      </c>
      <c r="B213" s="31" t="s">
        <v>446</v>
      </c>
      <c r="C213" s="32" t="s">
        <v>45</v>
      </c>
      <c r="D213" s="24">
        <v>100</v>
      </c>
      <c r="E213" s="24">
        <v>3</v>
      </c>
      <c r="F213" s="26">
        <f t="shared" si="3"/>
        <v>300</v>
      </c>
      <c r="G213" s="27">
        <v>78.150000000000006</v>
      </c>
      <c r="H213" s="24">
        <v>75.63</v>
      </c>
      <c r="I213" s="24">
        <v>78.150000000000006</v>
      </c>
      <c r="J213" s="25">
        <v>68.069999999999993</v>
      </c>
      <c r="K213" s="22">
        <v>300</v>
      </c>
      <c r="L213" s="1">
        <v>300</v>
      </c>
    </row>
    <row r="214" spans="1:12" x14ac:dyDescent="0.3">
      <c r="A214" s="30" t="s">
        <v>447</v>
      </c>
      <c r="B214" s="31" t="s">
        <v>448</v>
      </c>
      <c r="C214" s="32" t="s">
        <v>45</v>
      </c>
      <c r="D214" s="24">
        <v>2</v>
      </c>
      <c r="E214" s="24">
        <v>7120</v>
      </c>
      <c r="F214" s="26">
        <f t="shared" si="3"/>
        <v>14240</v>
      </c>
      <c r="G214" s="27">
        <v>0</v>
      </c>
      <c r="H214" s="24">
        <v>0</v>
      </c>
      <c r="I214" s="24">
        <v>14240</v>
      </c>
      <c r="J214" s="25">
        <v>0</v>
      </c>
      <c r="K214" s="22">
        <v>14240</v>
      </c>
      <c r="L214" s="1">
        <v>14240</v>
      </c>
    </row>
    <row r="215" spans="1:12" x14ac:dyDescent="0.3">
      <c r="A215" s="30" t="s">
        <v>449</v>
      </c>
      <c r="B215" s="31" t="s">
        <v>450</v>
      </c>
      <c r="C215" s="32" t="s">
        <v>45</v>
      </c>
      <c r="D215" s="24">
        <v>2</v>
      </c>
      <c r="E215" s="24">
        <v>5220</v>
      </c>
      <c r="F215" s="26">
        <f t="shared" si="3"/>
        <v>10440</v>
      </c>
      <c r="G215" s="27">
        <v>0</v>
      </c>
      <c r="H215" s="24">
        <v>0</v>
      </c>
      <c r="I215" s="24">
        <v>10440</v>
      </c>
      <c r="J215" s="25">
        <v>0</v>
      </c>
      <c r="K215" s="22">
        <v>10440</v>
      </c>
      <c r="L215" s="1">
        <v>10440</v>
      </c>
    </row>
    <row r="216" spans="1:12" x14ac:dyDescent="0.3">
      <c r="A216" s="30" t="s">
        <v>451</v>
      </c>
      <c r="B216" s="31" t="s">
        <v>452</v>
      </c>
      <c r="C216" s="32" t="s">
        <v>45</v>
      </c>
      <c r="D216" s="24">
        <v>3</v>
      </c>
      <c r="E216" s="24">
        <v>3320</v>
      </c>
      <c r="F216" s="26">
        <f t="shared" si="3"/>
        <v>9960</v>
      </c>
      <c r="G216" s="27">
        <v>0</v>
      </c>
      <c r="H216" s="24">
        <v>0</v>
      </c>
      <c r="I216" s="24">
        <v>9960</v>
      </c>
      <c r="J216" s="25">
        <v>0</v>
      </c>
      <c r="K216" s="22">
        <v>9960</v>
      </c>
      <c r="L216" s="1">
        <v>9960</v>
      </c>
    </row>
    <row r="217" spans="1:12" x14ac:dyDescent="0.3">
      <c r="A217" s="30" t="s">
        <v>453</v>
      </c>
      <c r="B217" s="31" t="s">
        <v>454</v>
      </c>
      <c r="C217" s="32" t="s">
        <v>45</v>
      </c>
      <c r="D217" s="24">
        <v>1</v>
      </c>
      <c r="E217" s="24">
        <v>253</v>
      </c>
      <c r="F217" s="26">
        <f t="shared" si="3"/>
        <v>253</v>
      </c>
      <c r="G217" s="27">
        <v>0</v>
      </c>
      <c r="H217" s="24">
        <v>0</v>
      </c>
      <c r="I217" s="24">
        <v>0</v>
      </c>
      <c r="J217" s="25">
        <v>253</v>
      </c>
      <c r="K217" s="22">
        <v>253</v>
      </c>
      <c r="L217" s="1">
        <v>253</v>
      </c>
    </row>
    <row r="218" spans="1:12" x14ac:dyDescent="0.3">
      <c r="A218" s="30" t="s">
        <v>455</v>
      </c>
      <c r="B218" s="31" t="s">
        <v>456</v>
      </c>
      <c r="C218" s="32" t="s">
        <v>217</v>
      </c>
      <c r="D218" s="24">
        <v>4.21</v>
      </c>
      <c r="E218" s="24">
        <v>2.12</v>
      </c>
      <c r="F218" s="26">
        <f t="shared" si="3"/>
        <v>8.93</v>
      </c>
      <c r="G218" s="27">
        <v>0</v>
      </c>
      <c r="H218" s="24">
        <v>8.93</v>
      </c>
      <c r="I218" s="24">
        <v>0</v>
      </c>
      <c r="J218" s="25">
        <v>0</v>
      </c>
      <c r="K218" s="22">
        <v>8.93</v>
      </c>
      <c r="L218" s="1">
        <v>8.93</v>
      </c>
    </row>
    <row r="219" spans="1:12" x14ac:dyDescent="0.3">
      <c r="A219" s="30" t="s">
        <v>457</v>
      </c>
      <c r="B219" s="31" t="s">
        <v>458</v>
      </c>
      <c r="C219" s="32" t="s">
        <v>217</v>
      </c>
      <c r="D219" s="24">
        <v>68.739999999999995</v>
      </c>
      <c r="E219" s="24">
        <v>2.31</v>
      </c>
      <c r="F219" s="26">
        <f t="shared" si="3"/>
        <v>158.79</v>
      </c>
      <c r="G219" s="27">
        <v>0</v>
      </c>
      <c r="H219" s="24">
        <v>37.96</v>
      </c>
      <c r="I219" s="24">
        <v>33.880000000000003</v>
      </c>
      <c r="J219" s="25">
        <v>86.95</v>
      </c>
      <c r="K219" s="22">
        <v>158.79</v>
      </c>
      <c r="L219" s="1">
        <v>158.79</v>
      </c>
    </row>
    <row r="220" spans="1:12" x14ac:dyDescent="0.3">
      <c r="A220" s="30" t="s">
        <v>459</v>
      </c>
      <c r="B220" s="31" t="s">
        <v>460</v>
      </c>
      <c r="C220" s="32" t="s">
        <v>45</v>
      </c>
      <c r="D220" s="24">
        <v>1</v>
      </c>
      <c r="E220" s="24">
        <v>5800.69</v>
      </c>
      <c r="F220" s="26">
        <f t="shared" si="3"/>
        <v>5800.69</v>
      </c>
      <c r="G220" s="27">
        <v>0</v>
      </c>
      <c r="H220" s="24">
        <v>0</v>
      </c>
      <c r="I220" s="24">
        <v>5800.69</v>
      </c>
      <c r="J220" s="25">
        <v>0</v>
      </c>
      <c r="K220" s="22">
        <v>5800.69</v>
      </c>
      <c r="L220" s="1">
        <v>5800.69</v>
      </c>
    </row>
    <row r="221" spans="1:12" x14ac:dyDescent="0.3">
      <c r="A221" s="30" t="s">
        <v>461</v>
      </c>
      <c r="B221" s="31" t="s">
        <v>462</v>
      </c>
      <c r="C221" s="32" t="s">
        <v>45</v>
      </c>
      <c r="D221" s="24">
        <v>1</v>
      </c>
      <c r="E221" s="24">
        <v>3583.16</v>
      </c>
      <c r="F221" s="26">
        <f t="shared" si="3"/>
        <v>3583.16</v>
      </c>
      <c r="G221" s="27">
        <v>0</v>
      </c>
      <c r="H221" s="24">
        <v>0</v>
      </c>
      <c r="I221" s="24">
        <v>3583.16</v>
      </c>
      <c r="J221" s="25">
        <v>0</v>
      </c>
      <c r="K221" s="22">
        <v>3583.16</v>
      </c>
      <c r="L221" s="1">
        <v>3583.16</v>
      </c>
    </row>
    <row r="222" spans="1:12" x14ac:dyDescent="0.3">
      <c r="A222" s="30" t="s">
        <v>463</v>
      </c>
      <c r="B222" s="31" t="s">
        <v>464</v>
      </c>
      <c r="C222" s="32" t="s">
        <v>123</v>
      </c>
      <c r="D222" s="24">
        <v>1</v>
      </c>
      <c r="E222" s="24">
        <v>2000</v>
      </c>
      <c r="F222" s="26">
        <f t="shared" si="3"/>
        <v>2000</v>
      </c>
      <c r="G222" s="27">
        <v>0</v>
      </c>
      <c r="H222" s="24">
        <v>0</v>
      </c>
      <c r="I222" s="24">
        <v>0</v>
      </c>
      <c r="J222" s="25">
        <v>2000</v>
      </c>
      <c r="K222" s="22">
        <v>2000</v>
      </c>
      <c r="L222" s="1">
        <v>2000</v>
      </c>
    </row>
    <row r="223" spans="1:12" x14ac:dyDescent="0.3">
      <c r="A223" s="30" t="s">
        <v>465</v>
      </c>
      <c r="B223" s="31" t="s">
        <v>466</v>
      </c>
      <c r="C223" s="32" t="s">
        <v>467</v>
      </c>
      <c r="D223" s="24">
        <v>39.17</v>
      </c>
      <c r="E223" s="24">
        <v>177.12</v>
      </c>
      <c r="F223" s="26">
        <f t="shared" si="3"/>
        <v>6937.79</v>
      </c>
      <c r="G223" s="27">
        <v>0</v>
      </c>
      <c r="H223" s="24">
        <v>6937.79</v>
      </c>
      <c r="I223" s="24">
        <v>0</v>
      </c>
      <c r="J223" s="25">
        <v>0</v>
      </c>
      <c r="K223" s="22">
        <v>6937.79</v>
      </c>
      <c r="L223" s="96">
        <v>6937.79</v>
      </c>
    </row>
    <row r="224" spans="1:12" x14ac:dyDescent="0.3">
      <c r="A224" s="30" t="s">
        <v>468</v>
      </c>
      <c r="B224" s="31" t="s">
        <v>469</v>
      </c>
      <c r="C224" s="32" t="s">
        <v>268</v>
      </c>
      <c r="D224" s="24">
        <v>24.37</v>
      </c>
      <c r="E224" s="24">
        <v>82.06</v>
      </c>
      <c r="F224" s="26">
        <f t="shared" si="3"/>
        <v>1999.8</v>
      </c>
      <c r="G224" s="27">
        <v>0</v>
      </c>
      <c r="H224" s="24">
        <v>0</v>
      </c>
      <c r="I224" s="24">
        <v>1999.8</v>
      </c>
      <c r="J224" s="25">
        <v>0</v>
      </c>
      <c r="K224" s="22">
        <v>1999.8</v>
      </c>
      <c r="L224" s="1">
        <v>1999.8</v>
      </c>
    </row>
    <row r="225" spans="1:12" x14ac:dyDescent="0.3">
      <c r="A225" s="30" t="s">
        <v>470</v>
      </c>
      <c r="B225" s="31" t="s">
        <v>471</v>
      </c>
      <c r="C225" s="32" t="s">
        <v>366</v>
      </c>
      <c r="D225" s="24">
        <v>2.04</v>
      </c>
      <c r="E225" s="24">
        <v>312.85000000000002</v>
      </c>
      <c r="F225" s="26">
        <f t="shared" si="3"/>
        <v>638.21</v>
      </c>
      <c r="G225" s="27">
        <v>638.21</v>
      </c>
      <c r="H225" s="24">
        <v>0</v>
      </c>
      <c r="I225" s="24">
        <v>0</v>
      </c>
      <c r="J225" s="25">
        <v>0</v>
      </c>
      <c r="K225" s="22">
        <v>638.21</v>
      </c>
      <c r="L225" s="1">
        <v>638.21</v>
      </c>
    </row>
    <row r="226" spans="1:12" x14ac:dyDescent="0.3">
      <c r="A226" s="30" t="s">
        <v>472</v>
      </c>
      <c r="B226" s="31" t="s">
        <v>473</v>
      </c>
      <c r="C226" s="32" t="s">
        <v>268</v>
      </c>
      <c r="D226" s="24">
        <v>33.229999999999997</v>
      </c>
      <c r="E226" s="24">
        <v>12.29</v>
      </c>
      <c r="F226" s="26">
        <f t="shared" si="3"/>
        <v>408.4</v>
      </c>
      <c r="G226" s="27">
        <v>0</v>
      </c>
      <c r="H226" s="24">
        <v>9.77</v>
      </c>
      <c r="I226" s="24">
        <v>106.4</v>
      </c>
      <c r="J226" s="25">
        <v>292.23</v>
      </c>
      <c r="K226" s="22">
        <v>408.4</v>
      </c>
      <c r="L226" s="1">
        <v>408.4</v>
      </c>
    </row>
    <row r="227" spans="1:12" x14ac:dyDescent="0.3">
      <c r="A227" s="30" t="s">
        <v>474</v>
      </c>
      <c r="B227" s="31" t="s">
        <v>475</v>
      </c>
      <c r="C227" s="32" t="s">
        <v>39</v>
      </c>
      <c r="D227" s="24">
        <v>52.75</v>
      </c>
      <c r="E227" s="24">
        <v>50</v>
      </c>
      <c r="F227" s="26">
        <f t="shared" si="3"/>
        <v>2637.5</v>
      </c>
      <c r="G227" s="27">
        <v>2637.5</v>
      </c>
      <c r="H227" s="24">
        <v>0</v>
      </c>
      <c r="I227" s="24">
        <v>0</v>
      </c>
      <c r="J227" s="25">
        <v>0</v>
      </c>
      <c r="K227" s="22">
        <v>2637.5</v>
      </c>
      <c r="L227" s="1">
        <v>2637.5</v>
      </c>
    </row>
    <row r="228" spans="1:12" x14ac:dyDescent="0.3">
      <c r="A228" s="30" t="s">
        <v>476</v>
      </c>
      <c r="B228" s="31" t="s">
        <v>477</v>
      </c>
      <c r="C228" s="32" t="s">
        <v>366</v>
      </c>
      <c r="D228" s="24">
        <v>9.43</v>
      </c>
      <c r="E228" s="24">
        <v>69.41</v>
      </c>
      <c r="F228" s="26">
        <f t="shared" si="3"/>
        <v>654.54</v>
      </c>
      <c r="G228" s="27">
        <v>49.91</v>
      </c>
      <c r="H228" s="24">
        <v>432.71</v>
      </c>
      <c r="I228" s="24">
        <v>171.92</v>
      </c>
      <c r="J228" s="25">
        <v>0</v>
      </c>
      <c r="K228" s="22">
        <v>654.54</v>
      </c>
      <c r="L228" s="1">
        <v>654.54</v>
      </c>
    </row>
    <row r="229" spans="1:12" x14ac:dyDescent="0.3">
      <c r="A229" s="30" t="s">
        <v>478</v>
      </c>
      <c r="B229" s="31" t="s">
        <v>479</v>
      </c>
      <c r="C229" s="32" t="s">
        <v>32</v>
      </c>
      <c r="D229" s="24">
        <v>1</v>
      </c>
      <c r="E229" s="24">
        <v>805.09</v>
      </c>
      <c r="F229" s="26">
        <f t="shared" si="3"/>
        <v>805.09</v>
      </c>
      <c r="G229" s="27">
        <v>209.73</v>
      </c>
      <c r="H229" s="24">
        <v>202.96</v>
      </c>
      <c r="I229" s="24">
        <v>209.73</v>
      </c>
      <c r="J229" s="25">
        <v>182.67</v>
      </c>
      <c r="K229" s="22">
        <v>805.09</v>
      </c>
      <c r="L229" s="1">
        <v>805.09</v>
      </c>
    </row>
    <row r="230" spans="1:12" x14ac:dyDescent="0.3">
      <c r="A230" s="30" t="s">
        <v>480</v>
      </c>
      <c r="B230" s="31" t="s">
        <v>481</v>
      </c>
      <c r="C230" s="32" t="s">
        <v>32</v>
      </c>
      <c r="D230" s="24">
        <v>1</v>
      </c>
      <c r="E230" s="24">
        <v>8050.85</v>
      </c>
      <c r="F230" s="26">
        <f t="shared" si="3"/>
        <v>8050.85</v>
      </c>
      <c r="G230" s="27">
        <v>2097.2800000000002</v>
      </c>
      <c r="H230" s="24">
        <v>2029.63</v>
      </c>
      <c r="I230" s="24">
        <v>2097.2800000000002</v>
      </c>
      <c r="J230" s="25">
        <v>1826.66</v>
      </c>
      <c r="K230" s="22">
        <v>8050.85</v>
      </c>
      <c r="L230" s="1">
        <v>8050.85</v>
      </c>
    </row>
    <row r="231" spans="1:12" x14ac:dyDescent="0.3">
      <c r="A231" s="30" t="s">
        <v>482</v>
      </c>
      <c r="B231" s="31" t="s">
        <v>483</v>
      </c>
      <c r="C231" s="32" t="s">
        <v>484</v>
      </c>
      <c r="D231" s="24">
        <v>2.62</v>
      </c>
      <c r="E231" s="24">
        <v>110.94</v>
      </c>
      <c r="F231" s="26">
        <f t="shared" si="3"/>
        <v>290.66000000000003</v>
      </c>
      <c r="G231" s="27">
        <v>0</v>
      </c>
      <c r="H231" s="24">
        <v>0</v>
      </c>
      <c r="I231" s="24">
        <v>72.67</v>
      </c>
      <c r="J231" s="25">
        <v>217.99</v>
      </c>
      <c r="K231" s="22">
        <v>290.66000000000003</v>
      </c>
      <c r="L231" s="1">
        <v>290.66000000000003</v>
      </c>
    </row>
    <row r="232" spans="1:12" x14ac:dyDescent="0.3">
      <c r="A232" s="30" t="s">
        <v>485</v>
      </c>
      <c r="B232" s="31" t="s">
        <v>486</v>
      </c>
      <c r="C232" s="32" t="s">
        <v>51</v>
      </c>
      <c r="D232" s="24">
        <v>56.66</v>
      </c>
      <c r="E232" s="24">
        <v>8.39</v>
      </c>
      <c r="F232" s="26">
        <f t="shared" si="3"/>
        <v>475.38</v>
      </c>
      <c r="G232" s="27">
        <v>0</v>
      </c>
      <c r="H232" s="24">
        <v>12.23</v>
      </c>
      <c r="I232" s="24">
        <v>126.1</v>
      </c>
      <c r="J232" s="25">
        <v>337.05</v>
      </c>
      <c r="K232" s="22">
        <v>475.38</v>
      </c>
      <c r="L232" s="1">
        <v>475.38</v>
      </c>
    </row>
    <row r="233" spans="1:12" x14ac:dyDescent="0.3">
      <c r="A233" s="30" t="s">
        <v>487</v>
      </c>
      <c r="B233" s="31" t="s">
        <v>488</v>
      </c>
      <c r="C233" s="32" t="s">
        <v>32</v>
      </c>
      <c r="D233" s="24">
        <v>1</v>
      </c>
      <c r="E233" s="24">
        <v>4025.43</v>
      </c>
      <c r="F233" s="26">
        <f t="shared" si="3"/>
        <v>4025.43</v>
      </c>
      <c r="G233" s="27">
        <v>1048.6400000000001</v>
      </c>
      <c r="H233" s="24">
        <v>1014.81</v>
      </c>
      <c r="I233" s="24">
        <v>1048.6400000000001</v>
      </c>
      <c r="J233" s="25">
        <v>913.34</v>
      </c>
      <c r="K233" s="22">
        <v>4025.43</v>
      </c>
      <c r="L233" s="1">
        <v>4025.43</v>
      </c>
    </row>
    <row r="234" spans="1:12" x14ac:dyDescent="0.3">
      <c r="A234" s="30" t="s">
        <v>489</v>
      </c>
      <c r="B234" s="31" t="s">
        <v>490</v>
      </c>
      <c r="C234" s="32" t="s">
        <v>32</v>
      </c>
      <c r="D234" s="24">
        <v>1</v>
      </c>
      <c r="E234" s="24">
        <v>346.19</v>
      </c>
      <c r="F234" s="26">
        <f t="shared" si="3"/>
        <v>346.19</v>
      </c>
      <c r="G234" s="27">
        <v>346.19</v>
      </c>
      <c r="H234" s="24">
        <v>0</v>
      </c>
      <c r="I234" s="24">
        <v>0</v>
      </c>
      <c r="J234" s="25">
        <v>0</v>
      </c>
      <c r="K234" s="22">
        <v>346.19</v>
      </c>
      <c r="L234" s="1">
        <v>346.19</v>
      </c>
    </row>
    <row r="235" spans="1:12" x14ac:dyDescent="0.3">
      <c r="A235" s="30" t="s">
        <v>491</v>
      </c>
      <c r="B235" s="31" t="s">
        <v>492</v>
      </c>
      <c r="C235" s="32" t="s">
        <v>32</v>
      </c>
      <c r="D235" s="24">
        <v>1</v>
      </c>
      <c r="E235" s="24">
        <v>1127.6400000000001</v>
      </c>
      <c r="F235" s="26">
        <f t="shared" si="3"/>
        <v>1127.6400000000001</v>
      </c>
      <c r="G235" s="27">
        <v>293.75</v>
      </c>
      <c r="H235" s="24">
        <v>284.27999999999997</v>
      </c>
      <c r="I235" s="24">
        <v>293.75</v>
      </c>
      <c r="J235" s="25">
        <v>255.85999999999999</v>
      </c>
      <c r="K235" s="22">
        <v>1127.6400000000001</v>
      </c>
      <c r="L235" s="1">
        <v>1127.6400000000001</v>
      </c>
    </row>
    <row r="236" spans="1:12" x14ac:dyDescent="0.3">
      <c r="A236" s="30" t="s">
        <v>493</v>
      </c>
      <c r="B236" s="31" t="s">
        <v>494</v>
      </c>
      <c r="C236" s="32" t="s">
        <v>32</v>
      </c>
      <c r="D236" s="24">
        <v>1</v>
      </c>
      <c r="E236" s="24">
        <v>4025.43</v>
      </c>
      <c r="F236" s="26">
        <f t="shared" si="3"/>
        <v>4025.43</v>
      </c>
      <c r="G236" s="27">
        <v>2228.36</v>
      </c>
      <c r="H236" s="24">
        <v>1797.07</v>
      </c>
      <c r="I236" s="24">
        <v>0</v>
      </c>
      <c r="J236" s="25">
        <v>0</v>
      </c>
      <c r="K236" s="22">
        <v>4025.43</v>
      </c>
      <c r="L236" s="1">
        <v>4025.43</v>
      </c>
    </row>
    <row r="237" spans="1:12" x14ac:dyDescent="0.3">
      <c r="A237" s="30" t="s">
        <v>495</v>
      </c>
      <c r="B237" s="31" t="s">
        <v>496</v>
      </c>
      <c r="C237" s="32" t="s">
        <v>32</v>
      </c>
      <c r="D237" s="24">
        <v>1</v>
      </c>
      <c r="E237" s="24">
        <v>8050.85</v>
      </c>
      <c r="F237" s="26">
        <f t="shared" si="3"/>
        <v>8050.85</v>
      </c>
      <c r="G237" s="27">
        <v>2097.2800000000002</v>
      </c>
      <c r="H237" s="24">
        <v>2029.63</v>
      </c>
      <c r="I237" s="24">
        <v>2097.2800000000002</v>
      </c>
      <c r="J237" s="25">
        <v>1826.66</v>
      </c>
      <c r="K237" s="22">
        <v>8050.85</v>
      </c>
      <c r="L237" s="1">
        <v>8050.85</v>
      </c>
    </row>
    <row r="238" spans="1:12" x14ac:dyDescent="0.3">
      <c r="A238" s="30" t="s">
        <v>497</v>
      </c>
      <c r="B238" s="31" t="s">
        <v>498</v>
      </c>
      <c r="C238" s="32" t="s">
        <v>32</v>
      </c>
      <c r="D238" s="24">
        <v>1</v>
      </c>
      <c r="E238" s="24">
        <v>1610.17</v>
      </c>
      <c r="F238" s="26">
        <f t="shared" si="3"/>
        <v>1610.17</v>
      </c>
      <c r="G238" s="27">
        <v>419.46</v>
      </c>
      <c r="H238" s="24">
        <v>405.93</v>
      </c>
      <c r="I238" s="24">
        <v>419.46</v>
      </c>
      <c r="J238" s="25">
        <v>365.32</v>
      </c>
      <c r="K238" s="22">
        <v>1610.17</v>
      </c>
      <c r="L238" s="1">
        <v>1610.17</v>
      </c>
    </row>
    <row r="239" spans="1:12" x14ac:dyDescent="0.3">
      <c r="A239" s="30" t="s">
        <v>499</v>
      </c>
      <c r="B239" s="31" t="s">
        <v>500</v>
      </c>
      <c r="C239" s="32" t="s">
        <v>32</v>
      </c>
      <c r="D239" s="24">
        <v>1</v>
      </c>
      <c r="E239" s="24">
        <v>4023.37</v>
      </c>
      <c r="F239" s="26">
        <f t="shared" si="3"/>
        <v>4023.37</v>
      </c>
      <c r="G239" s="27">
        <v>1048.0999999999999</v>
      </c>
      <c r="H239" s="24">
        <v>1014.29</v>
      </c>
      <c r="I239" s="24">
        <v>1048.0999999999999</v>
      </c>
      <c r="J239" s="25">
        <v>912.88</v>
      </c>
      <c r="K239" s="22">
        <v>4023.37</v>
      </c>
      <c r="L239" s="1">
        <v>4023.37</v>
      </c>
    </row>
    <row r="240" spans="1:12" x14ac:dyDescent="0.3">
      <c r="A240" s="30" t="s">
        <v>501</v>
      </c>
      <c r="B240" s="31" t="s">
        <v>502</v>
      </c>
      <c r="C240" s="32" t="s">
        <v>45</v>
      </c>
      <c r="D240" s="24">
        <v>1</v>
      </c>
      <c r="E240" s="24">
        <v>522.5</v>
      </c>
      <c r="F240" s="26">
        <f t="shared" si="3"/>
        <v>522.5</v>
      </c>
      <c r="G240" s="27">
        <v>0</v>
      </c>
      <c r="H240" s="24">
        <v>0</v>
      </c>
      <c r="I240" s="24">
        <v>0</v>
      </c>
      <c r="J240" s="25">
        <v>522.5</v>
      </c>
      <c r="K240" s="22">
        <v>522.5</v>
      </c>
      <c r="L240" s="1">
        <v>522.5</v>
      </c>
    </row>
    <row r="241" spans="1:12" x14ac:dyDescent="0.3">
      <c r="A241" s="30" t="s">
        <v>503</v>
      </c>
      <c r="B241" s="31" t="s">
        <v>504</v>
      </c>
      <c r="C241" s="32" t="s">
        <v>45</v>
      </c>
      <c r="D241" s="24">
        <v>2</v>
      </c>
      <c r="E241" s="24">
        <v>2642.98</v>
      </c>
      <c r="F241" s="26">
        <f t="shared" si="3"/>
        <v>5285.96</v>
      </c>
      <c r="G241" s="27">
        <v>0</v>
      </c>
      <c r="H241" s="24">
        <v>0</v>
      </c>
      <c r="I241" s="24">
        <v>0</v>
      </c>
      <c r="J241" s="25">
        <v>5285.96</v>
      </c>
      <c r="K241" s="22">
        <v>5285.96</v>
      </c>
      <c r="L241" s="1">
        <v>5285.96</v>
      </c>
    </row>
    <row r="242" spans="1:12" x14ac:dyDescent="0.3">
      <c r="A242" s="30" t="s">
        <v>505</v>
      </c>
      <c r="B242" s="31" t="s">
        <v>506</v>
      </c>
      <c r="C242" s="32" t="s">
        <v>102</v>
      </c>
      <c r="D242" s="24">
        <v>27.34</v>
      </c>
      <c r="E242" s="24">
        <v>99</v>
      </c>
      <c r="F242" s="26">
        <f t="shared" si="3"/>
        <v>2706.66</v>
      </c>
      <c r="G242" s="27">
        <v>0</v>
      </c>
      <c r="H242" s="24">
        <v>0</v>
      </c>
      <c r="I242" s="24">
        <v>2706.66</v>
      </c>
      <c r="J242" s="25">
        <v>0</v>
      </c>
      <c r="K242" s="22">
        <v>2706.66</v>
      </c>
      <c r="L242" s="1">
        <v>2706.66</v>
      </c>
    </row>
    <row r="243" spans="1:12" x14ac:dyDescent="0.3">
      <c r="A243" s="30" t="s">
        <v>507</v>
      </c>
      <c r="B243" s="31" t="s">
        <v>508</v>
      </c>
      <c r="C243" s="32" t="s">
        <v>45</v>
      </c>
      <c r="D243" s="24">
        <v>4</v>
      </c>
      <c r="E243" s="24">
        <v>88.1</v>
      </c>
      <c r="F243" s="26">
        <f t="shared" si="3"/>
        <v>352.4</v>
      </c>
      <c r="G243" s="27">
        <v>0</v>
      </c>
      <c r="H243" s="24">
        <v>0</v>
      </c>
      <c r="I243" s="24">
        <v>0</v>
      </c>
      <c r="J243" s="25">
        <v>352.4</v>
      </c>
      <c r="K243" s="22">
        <v>352.4</v>
      </c>
      <c r="L243" s="1">
        <v>352.4</v>
      </c>
    </row>
    <row r="244" spans="1:12" x14ac:dyDescent="0.3">
      <c r="A244" s="30" t="s">
        <v>509</v>
      </c>
      <c r="B244" s="31" t="s">
        <v>510</v>
      </c>
      <c r="C244" s="32" t="s">
        <v>45</v>
      </c>
      <c r="D244" s="24">
        <v>5</v>
      </c>
      <c r="E244" s="24">
        <v>4.24</v>
      </c>
      <c r="F244" s="26">
        <f t="shared" si="3"/>
        <v>21.2</v>
      </c>
      <c r="G244" s="27">
        <v>0</v>
      </c>
      <c r="H244" s="24">
        <v>0</v>
      </c>
      <c r="I244" s="24">
        <v>0</v>
      </c>
      <c r="J244" s="25">
        <v>21.2</v>
      </c>
      <c r="K244" s="22">
        <v>21.2</v>
      </c>
      <c r="L244" s="1">
        <v>21.2</v>
      </c>
    </row>
    <row r="245" spans="1:12" x14ac:dyDescent="0.3">
      <c r="A245" s="30" t="s">
        <v>511</v>
      </c>
      <c r="B245" s="31" t="s">
        <v>512</v>
      </c>
      <c r="C245" s="32" t="s">
        <v>45</v>
      </c>
      <c r="D245" s="24">
        <v>1</v>
      </c>
      <c r="E245" s="24">
        <v>4.24</v>
      </c>
      <c r="F245" s="26">
        <f t="shared" si="3"/>
        <v>4.24</v>
      </c>
      <c r="G245" s="27">
        <v>0</v>
      </c>
      <c r="H245" s="24">
        <v>0</v>
      </c>
      <c r="I245" s="24">
        <v>0</v>
      </c>
      <c r="J245" s="25">
        <v>4.24</v>
      </c>
      <c r="K245" s="22">
        <v>4.24</v>
      </c>
      <c r="L245" s="1">
        <v>4.24</v>
      </c>
    </row>
    <row r="246" spans="1:12" x14ac:dyDescent="0.3">
      <c r="A246" s="30" t="s">
        <v>513</v>
      </c>
      <c r="B246" s="31" t="s">
        <v>514</v>
      </c>
      <c r="C246" s="32" t="s">
        <v>45</v>
      </c>
      <c r="D246" s="24">
        <v>4</v>
      </c>
      <c r="E246" s="24">
        <v>4.24</v>
      </c>
      <c r="F246" s="26">
        <f t="shared" si="3"/>
        <v>16.96</v>
      </c>
      <c r="G246" s="27">
        <v>0</v>
      </c>
      <c r="H246" s="24">
        <v>0</v>
      </c>
      <c r="I246" s="24">
        <v>0</v>
      </c>
      <c r="J246" s="25">
        <v>16.96</v>
      </c>
      <c r="K246" s="22">
        <v>16.96</v>
      </c>
      <c r="L246" s="1">
        <v>16.96</v>
      </c>
    </row>
    <row r="247" spans="1:12" x14ac:dyDescent="0.3">
      <c r="A247" s="30" t="s">
        <v>515</v>
      </c>
      <c r="B247" s="31" t="s">
        <v>516</v>
      </c>
      <c r="C247" s="32" t="s">
        <v>45</v>
      </c>
      <c r="D247" s="24">
        <v>4</v>
      </c>
      <c r="E247" s="24">
        <v>4.24</v>
      </c>
      <c r="F247" s="26">
        <f t="shared" si="3"/>
        <v>16.96</v>
      </c>
      <c r="G247" s="27">
        <v>0</v>
      </c>
      <c r="H247" s="24">
        <v>0</v>
      </c>
      <c r="I247" s="24">
        <v>0</v>
      </c>
      <c r="J247" s="25">
        <v>16.96</v>
      </c>
      <c r="K247" s="22">
        <v>16.96</v>
      </c>
      <c r="L247" s="1">
        <v>16.96</v>
      </c>
    </row>
    <row r="248" spans="1:12" x14ac:dyDescent="0.3">
      <c r="A248" s="30" t="s">
        <v>517</v>
      </c>
      <c r="B248" s="31" t="s">
        <v>518</v>
      </c>
      <c r="C248" s="32" t="s">
        <v>45</v>
      </c>
      <c r="D248" s="24">
        <v>2</v>
      </c>
      <c r="E248" s="24">
        <v>4.24</v>
      </c>
      <c r="F248" s="26">
        <f t="shared" si="3"/>
        <v>8.48</v>
      </c>
      <c r="G248" s="27">
        <v>0</v>
      </c>
      <c r="H248" s="24">
        <v>0</v>
      </c>
      <c r="I248" s="24">
        <v>0</v>
      </c>
      <c r="J248" s="25">
        <v>8.48</v>
      </c>
      <c r="K248" s="22">
        <v>8.48</v>
      </c>
      <c r="L248" s="1">
        <v>8.48</v>
      </c>
    </row>
    <row r="249" spans="1:12" x14ac:dyDescent="0.3">
      <c r="A249" s="30" t="s">
        <v>519</v>
      </c>
      <c r="B249" s="31" t="s">
        <v>520</v>
      </c>
      <c r="C249" s="32" t="s">
        <v>45</v>
      </c>
      <c r="D249" s="24">
        <v>1</v>
      </c>
      <c r="E249" s="24">
        <v>4.24</v>
      </c>
      <c r="F249" s="26">
        <f t="shared" si="3"/>
        <v>4.24</v>
      </c>
      <c r="G249" s="27">
        <v>0</v>
      </c>
      <c r="H249" s="24">
        <v>0</v>
      </c>
      <c r="I249" s="24">
        <v>0</v>
      </c>
      <c r="J249" s="25">
        <v>4.24</v>
      </c>
      <c r="K249" s="22">
        <v>4.24</v>
      </c>
      <c r="L249" s="1">
        <v>4.24</v>
      </c>
    </row>
    <row r="250" spans="1:12" x14ac:dyDescent="0.3">
      <c r="A250" s="30" t="s">
        <v>521</v>
      </c>
      <c r="B250" s="31" t="s">
        <v>522</v>
      </c>
      <c r="C250" s="32" t="s">
        <v>45</v>
      </c>
      <c r="D250" s="24">
        <v>1</v>
      </c>
      <c r="E250" s="24">
        <v>9.35</v>
      </c>
      <c r="F250" s="26">
        <f t="shared" si="3"/>
        <v>9.35</v>
      </c>
      <c r="G250" s="27">
        <v>0</v>
      </c>
      <c r="H250" s="24">
        <v>0</v>
      </c>
      <c r="I250" s="24">
        <v>0</v>
      </c>
      <c r="J250" s="25">
        <v>9.35</v>
      </c>
      <c r="K250" s="22">
        <v>9.35</v>
      </c>
      <c r="L250" s="1">
        <v>9.35</v>
      </c>
    </row>
    <row r="251" spans="1:12" x14ac:dyDescent="0.3">
      <c r="A251" s="30" t="s">
        <v>523</v>
      </c>
      <c r="B251" s="31" t="s">
        <v>524</v>
      </c>
      <c r="C251" s="32" t="s">
        <v>45</v>
      </c>
      <c r="D251" s="24">
        <v>5</v>
      </c>
      <c r="E251" s="24">
        <v>9.35</v>
      </c>
      <c r="F251" s="26">
        <f t="shared" si="3"/>
        <v>46.75</v>
      </c>
      <c r="G251" s="27">
        <v>0</v>
      </c>
      <c r="H251" s="24">
        <v>0</v>
      </c>
      <c r="I251" s="24">
        <v>0</v>
      </c>
      <c r="J251" s="25">
        <v>46.75</v>
      </c>
      <c r="K251" s="22">
        <v>46.75</v>
      </c>
      <c r="L251" s="1">
        <v>46.75</v>
      </c>
    </row>
    <row r="252" spans="1:12" x14ac:dyDescent="0.3">
      <c r="A252" s="30" t="s">
        <v>525</v>
      </c>
      <c r="B252" s="31" t="s">
        <v>526</v>
      </c>
      <c r="C252" s="32" t="s">
        <v>45</v>
      </c>
      <c r="D252" s="24">
        <v>4</v>
      </c>
      <c r="E252" s="24">
        <v>9.35</v>
      </c>
      <c r="F252" s="26">
        <f t="shared" si="3"/>
        <v>37.4</v>
      </c>
      <c r="G252" s="27">
        <v>0</v>
      </c>
      <c r="H252" s="24">
        <v>0</v>
      </c>
      <c r="I252" s="24">
        <v>0</v>
      </c>
      <c r="J252" s="25">
        <v>37.4</v>
      </c>
      <c r="K252" s="22">
        <v>37.4</v>
      </c>
      <c r="L252" s="1">
        <v>37.4</v>
      </c>
    </row>
    <row r="253" spans="1:12" x14ac:dyDescent="0.3">
      <c r="A253" s="30" t="s">
        <v>527</v>
      </c>
      <c r="B253" s="31" t="s">
        <v>528</v>
      </c>
      <c r="C253" s="32" t="s">
        <v>45</v>
      </c>
      <c r="D253" s="24">
        <v>3</v>
      </c>
      <c r="E253" s="24">
        <v>4.24</v>
      </c>
      <c r="F253" s="26">
        <f t="shared" si="3"/>
        <v>12.72</v>
      </c>
      <c r="G253" s="27">
        <v>0</v>
      </c>
      <c r="H253" s="24">
        <v>0</v>
      </c>
      <c r="I253" s="24">
        <v>0</v>
      </c>
      <c r="J253" s="25">
        <v>12.72</v>
      </c>
      <c r="K253" s="22">
        <v>12.72</v>
      </c>
      <c r="L253" s="1">
        <v>12.72</v>
      </c>
    </row>
    <row r="254" spans="1:12" x14ac:dyDescent="0.3">
      <c r="A254" s="30" t="s">
        <v>529</v>
      </c>
      <c r="B254" s="31" t="s">
        <v>530</v>
      </c>
      <c r="C254" s="32" t="s">
        <v>45</v>
      </c>
      <c r="D254" s="24">
        <v>1</v>
      </c>
      <c r="E254" s="24">
        <v>4.24</v>
      </c>
      <c r="F254" s="26">
        <f t="shared" si="3"/>
        <v>4.24</v>
      </c>
      <c r="G254" s="27">
        <v>0</v>
      </c>
      <c r="H254" s="24">
        <v>0</v>
      </c>
      <c r="I254" s="24">
        <v>0</v>
      </c>
      <c r="J254" s="25">
        <v>4.24</v>
      </c>
      <c r="K254" s="22">
        <v>4.24</v>
      </c>
      <c r="L254" s="1">
        <v>4.24</v>
      </c>
    </row>
    <row r="255" spans="1:12" x14ac:dyDescent="0.3">
      <c r="A255" s="30" t="s">
        <v>531</v>
      </c>
      <c r="B255" s="31" t="s">
        <v>532</v>
      </c>
      <c r="C255" s="32" t="s">
        <v>45</v>
      </c>
      <c r="D255" s="24">
        <v>2</v>
      </c>
      <c r="E255" s="24">
        <v>4.24</v>
      </c>
      <c r="F255" s="26">
        <f t="shared" si="3"/>
        <v>8.48</v>
      </c>
      <c r="G255" s="27">
        <v>0</v>
      </c>
      <c r="H255" s="24">
        <v>0</v>
      </c>
      <c r="I255" s="24">
        <v>0</v>
      </c>
      <c r="J255" s="25">
        <v>8.48</v>
      </c>
      <c r="K255" s="22">
        <v>8.48</v>
      </c>
      <c r="L255" s="1">
        <v>8.48</v>
      </c>
    </row>
    <row r="256" spans="1:12" x14ac:dyDescent="0.3">
      <c r="A256" s="30" t="s">
        <v>533</v>
      </c>
      <c r="B256" s="31" t="s">
        <v>534</v>
      </c>
      <c r="C256" s="32" t="s">
        <v>45</v>
      </c>
      <c r="D256" s="24">
        <v>7</v>
      </c>
      <c r="E256" s="24">
        <v>4.24</v>
      </c>
      <c r="F256" s="26">
        <f t="shared" si="3"/>
        <v>29.68</v>
      </c>
      <c r="G256" s="27">
        <v>0</v>
      </c>
      <c r="H256" s="24">
        <v>0</v>
      </c>
      <c r="I256" s="24">
        <v>0</v>
      </c>
      <c r="J256" s="25">
        <v>29.68</v>
      </c>
      <c r="K256" s="22">
        <v>29.68</v>
      </c>
      <c r="L256" s="1">
        <v>29.68</v>
      </c>
    </row>
    <row r="257" spans="1:12" x14ac:dyDescent="0.3">
      <c r="A257" s="30" t="s">
        <v>535</v>
      </c>
      <c r="B257" s="31" t="s">
        <v>536</v>
      </c>
      <c r="C257" s="32" t="s">
        <v>45</v>
      </c>
      <c r="D257" s="24">
        <v>1</v>
      </c>
      <c r="E257" s="24">
        <v>4.24</v>
      </c>
      <c r="F257" s="26">
        <f t="shared" si="3"/>
        <v>4.24</v>
      </c>
      <c r="G257" s="27">
        <v>0</v>
      </c>
      <c r="H257" s="24">
        <v>0</v>
      </c>
      <c r="I257" s="24">
        <v>0</v>
      </c>
      <c r="J257" s="25">
        <v>4.24</v>
      </c>
      <c r="K257" s="22">
        <v>4.24</v>
      </c>
      <c r="L257" s="1">
        <v>4.24</v>
      </c>
    </row>
    <row r="258" spans="1:12" x14ac:dyDescent="0.3">
      <c r="A258" s="30" t="s">
        <v>537</v>
      </c>
      <c r="B258" s="31" t="s">
        <v>538</v>
      </c>
      <c r="C258" s="32" t="s">
        <v>45</v>
      </c>
      <c r="D258" s="24">
        <v>4</v>
      </c>
      <c r="E258" s="24">
        <v>4.24</v>
      </c>
      <c r="F258" s="26">
        <f t="shared" si="3"/>
        <v>16.96</v>
      </c>
      <c r="G258" s="27">
        <v>0</v>
      </c>
      <c r="H258" s="24">
        <v>0</v>
      </c>
      <c r="I258" s="24">
        <v>0</v>
      </c>
      <c r="J258" s="25">
        <v>16.96</v>
      </c>
      <c r="K258" s="22">
        <v>16.96</v>
      </c>
      <c r="L258" s="1">
        <v>16.96</v>
      </c>
    </row>
    <row r="259" spans="1:12" x14ac:dyDescent="0.3">
      <c r="A259" s="30" t="s">
        <v>539</v>
      </c>
      <c r="B259" s="31" t="s">
        <v>540</v>
      </c>
      <c r="C259" s="32" t="s">
        <v>45</v>
      </c>
      <c r="D259" s="24">
        <v>2</v>
      </c>
      <c r="E259" s="24">
        <v>4.24</v>
      </c>
      <c r="F259" s="26">
        <f t="shared" si="3"/>
        <v>8.48</v>
      </c>
      <c r="G259" s="27">
        <v>0</v>
      </c>
      <c r="H259" s="24">
        <v>0</v>
      </c>
      <c r="I259" s="24">
        <v>0</v>
      </c>
      <c r="J259" s="25">
        <v>8.48</v>
      </c>
      <c r="K259" s="22">
        <v>8.48</v>
      </c>
      <c r="L259" s="1">
        <v>8.48</v>
      </c>
    </row>
    <row r="260" spans="1:12" x14ac:dyDescent="0.3">
      <c r="A260" s="30" t="s">
        <v>541</v>
      </c>
      <c r="B260" s="31" t="s">
        <v>542</v>
      </c>
      <c r="C260" s="32" t="s">
        <v>45</v>
      </c>
      <c r="D260" s="24">
        <v>3</v>
      </c>
      <c r="E260" s="24">
        <v>4.24</v>
      </c>
      <c r="F260" s="26">
        <f t="shared" si="3"/>
        <v>12.72</v>
      </c>
      <c r="G260" s="27">
        <v>0</v>
      </c>
      <c r="H260" s="24">
        <v>0</v>
      </c>
      <c r="I260" s="24">
        <v>0</v>
      </c>
      <c r="J260" s="25">
        <v>12.72</v>
      </c>
      <c r="K260" s="22">
        <v>12.72</v>
      </c>
      <c r="L260" s="1">
        <v>12.72</v>
      </c>
    </row>
    <row r="261" spans="1:12" x14ac:dyDescent="0.3">
      <c r="A261" s="30" t="s">
        <v>543</v>
      </c>
      <c r="B261" s="31" t="s">
        <v>544</v>
      </c>
      <c r="C261" s="32" t="s">
        <v>45</v>
      </c>
      <c r="D261" s="24">
        <v>3</v>
      </c>
      <c r="E261" s="24">
        <v>4.24</v>
      </c>
      <c r="F261" s="26">
        <f t="shared" si="3"/>
        <v>12.72</v>
      </c>
      <c r="G261" s="27">
        <v>0</v>
      </c>
      <c r="H261" s="24">
        <v>0</v>
      </c>
      <c r="I261" s="24">
        <v>0</v>
      </c>
      <c r="J261" s="25">
        <v>12.72</v>
      </c>
      <c r="K261" s="22">
        <v>12.72</v>
      </c>
      <c r="L261" s="1">
        <v>12.72</v>
      </c>
    </row>
    <row r="262" spans="1:12" x14ac:dyDescent="0.3">
      <c r="A262" s="30" t="s">
        <v>545</v>
      </c>
      <c r="B262" s="31" t="s">
        <v>546</v>
      </c>
      <c r="C262" s="32" t="s">
        <v>45</v>
      </c>
      <c r="D262" s="24">
        <v>5</v>
      </c>
      <c r="E262" s="24">
        <v>29.16</v>
      </c>
      <c r="F262" s="26">
        <f t="shared" si="3"/>
        <v>145.80000000000001</v>
      </c>
      <c r="G262" s="27">
        <v>0</v>
      </c>
      <c r="H262" s="24">
        <v>62.49</v>
      </c>
      <c r="I262" s="24">
        <v>83.31</v>
      </c>
      <c r="J262" s="25">
        <v>0</v>
      </c>
      <c r="K262" s="22">
        <v>145.80000000000001</v>
      </c>
      <c r="L262" s="1">
        <v>145.80000000000001</v>
      </c>
    </row>
    <row r="263" spans="1:12" x14ac:dyDescent="0.3">
      <c r="A263" s="30" t="s">
        <v>547</v>
      </c>
      <c r="B263" s="31" t="s">
        <v>548</v>
      </c>
      <c r="C263" s="32" t="s">
        <v>45</v>
      </c>
      <c r="D263" s="24">
        <v>1</v>
      </c>
      <c r="E263" s="24">
        <v>44</v>
      </c>
      <c r="F263" s="26">
        <f t="shared" si="3"/>
        <v>44</v>
      </c>
      <c r="G263" s="27">
        <v>0</v>
      </c>
      <c r="H263" s="24">
        <v>0</v>
      </c>
      <c r="I263" s="24">
        <v>0</v>
      </c>
      <c r="J263" s="25">
        <v>44</v>
      </c>
      <c r="K263" s="22">
        <v>44</v>
      </c>
      <c r="L263" s="1">
        <v>44</v>
      </c>
    </row>
    <row r="264" spans="1:12" x14ac:dyDescent="0.3">
      <c r="A264" s="30" t="s">
        <v>549</v>
      </c>
      <c r="B264" s="31" t="s">
        <v>550</v>
      </c>
      <c r="C264" s="32" t="s">
        <v>45</v>
      </c>
      <c r="D264" s="24">
        <v>1</v>
      </c>
      <c r="E264" s="24">
        <v>2936.64</v>
      </c>
      <c r="F264" s="26">
        <f t="shared" si="3"/>
        <v>2936.64</v>
      </c>
      <c r="G264" s="27">
        <v>0</v>
      </c>
      <c r="H264" s="24">
        <v>0</v>
      </c>
      <c r="I264" s="24">
        <v>0</v>
      </c>
      <c r="J264" s="25">
        <v>2936.64</v>
      </c>
      <c r="K264" s="22">
        <v>2936.64</v>
      </c>
      <c r="L264" s="1">
        <v>2936.64</v>
      </c>
    </row>
    <row r="265" spans="1:12" x14ac:dyDescent="0.3">
      <c r="A265" s="30" t="s">
        <v>551</v>
      </c>
      <c r="B265" s="31" t="s">
        <v>552</v>
      </c>
      <c r="C265" s="32" t="s">
        <v>45</v>
      </c>
      <c r="D265" s="24">
        <v>1</v>
      </c>
      <c r="E265" s="24">
        <v>2852.74</v>
      </c>
      <c r="F265" s="26">
        <f t="shared" si="3"/>
        <v>2852.74</v>
      </c>
      <c r="G265" s="27">
        <v>0</v>
      </c>
      <c r="H265" s="24">
        <v>0</v>
      </c>
      <c r="I265" s="24">
        <v>0</v>
      </c>
      <c r="J265" s="25">
        <v>2852.74</v>
      </c>
      <c r="K265" s="22">
        <v>2852.74</v>
      </c>
      <c r="L265" s="1">
        <v>2852.74</v>
      </c>
    </row>
    <row r="266" spans="1:12" x14ac:dyDescent="0.3">
      <c r="A266" s="30" t="s">
        <v>553</v>
      </c>
      <c r="B266" s="31" t="s">
        <v>554</v>
      </c>
      <c r="C266" s="32" t="s">
        <v>45</v>
      </c>
      <c r="D266" s="24">
        <v>1</v>
      </c>
      <c r="E266" s="24">
        <v>1090.75</v>
      </c>
      <c r="F266" s="26">
        <f t="shared" si="3"/>
        <v>1090.75</v>
      </c>
      <c r="G266" s="27">
        <v>0</v>
      </c>
      <c r="H266" s="24">
        <v>0</v>
      </c>
      <c r="I266" s="24">
        <v>0</v>
      </c>
      <c r="J266" s="25">
        <v>1090.75</v>
      </c>
      <c r="K266" s="22">
        <v>1090.75</v>
      </c>
      <c r="L266" s="1">
        <v>1090.75</v>
      </c>
    </row>
    <row r="267" spans="1:12" x14ac:dyDescent="0.3">
      <c r="A267" s="30" t="s">
        <v>555</v>
      </c>
      <c r="B267" s="31" t="s">
        <v>556</v>
      </c>
      <c r="C267" s="32" t="s">
        <v>45</v>
      </c>
      <c r="D267" s="24">
        <v>1</v>
      </c>
      <c r="E267" s="24">
        <v>2768.83</v>
      </c>
      <c r="F267" s="26">
        <f t="shared" si="3"/>
        <v>2768.83</v>
      </c>
      <c r="G267" s="27">
        <v>0</v>
      </c>
      <c r="H267" s="24">
        <v>0</v>
      </c>
      <c r="I267" s="24">
        <v>0</v>
      </c>
      <c r="J267" s="25">
        <v>2768.83</v>
      </c>
      <c r="K267" s="22">
        <v>2768.83</v>
      </c>
      <c r="L267" s="1">
        <v>2768.83</v>
      </c>
    </row>
    <row r="268" spans="1:12" x14ac:dyDescent="0.3">
      <c r="A268" s="30" t="s">
        <v>557</v>
      </c>
      <c r="B268" s="31" t="s">
        <v>558</v>
      </c>
      <c r="C268" s="32" t="s">
        <v>45</v>
      </c>
      <c r="D268" s="24">
        <v>1</v>
      </c>
      <c r="E268" s="24">
        <v>4027.39</v>
      </c>
      <c r="F268" s="26">
        <f t="shared" si="3"/>
        <v>4027.39</v>
      </c>
      <c r="G268" s="27">
        <v>0</v>
      </c>
      <c r="H268" s="24">
        <v>0</v>
      </c>
      <c r="I268" s="24">
        <v>0</v>
      </c>
      <c r="J268" s="25">
        <v>4027.39</v>
      </c>
      <c r="K268" s="22">
        <v>4027.39</v>
      </c>
      <c r="L268" s="1">
        <v>4027.39</v>
      </c>
    </row>
    <row r="269" spans="1:12" x14ac:dyDescent="0.3">
      <c r="A269" s="30" t="s">
        <v>559</v>
      </c>
      <c r="B269" s="31" t="s">
        <v>560</v>
      </c>
      <c r="C269" s="32" t="s">
        <v>45</v>
      </c>
      <c r="D269" s="24">
        <v>1</v>
      </c>
      <c r="E269" s="24">
        <v>1006.85</v>
      </c>
      <c r="F269" s="26">
        <f t="shared" ref="F269:F332" si="4">+ROUND(D269*E269,2)</f>
        <v>1006.85</v>
      </c>
      <c r="G269" s="27">
        <v>0</v>
      </c>
      <c r="H269" s="24">
        <v>0</v>
      </c>
      <c r="I269" s="24">
        <v>0</v>
      </c>
      <c r="J269" s="25">
        <v>1006.85</v>
      </c>
      <c r="K269" s="22">
        <v>1006.85</v>
      </c>
      <c r="L269" s="1">
        <v>1006.85</v>
      </c>
    </row>
    <row r="270" spans="1:12" x14ac:dyDescent="0.3">
      <c r="A270" s="30" t="s">
        <v>561</v>
      </c>
      <c r="B270" s="31" t="s">
        <v>562</v>
      </c>
      <c r="C270" s="32" t="s">
        <v>45</v>
      </c>
      <c r="D270" s="24">
        <v>2</v>
      </c>
      <c r="E270" s="24">
        <v>545.38</v>
      </c>
      <c r="F270" s="26">
        <f t="shared" si="4"/>
        <v>1090.76</v>
      </c>
      <c r="G270" s="27">
        <v>0</v>
      </c>
      <c r="H270" s="24">
        <v>0</v>
      </c>
      <c r="I270" s="24">
        <v>0</v>
      </c>
      <c r="J270" s="25">
        <v>1090.76</v>
      </c>
      <c r="K270" s="22">
        <v>1090.76</v>
      </c>
      <c r="L270" s="1">
        <v>1090.76</v>
      </c>
    </row>
    <row r="271" spans="1:12" x14ac:dyDescent="0.3">
      <c r="A271" s="30" t="s">
        <v>563</v>
      </c>
      <c r="B271" s="31" t="s">
        <v>564</v>
      </c>
      <c r="C271" s="32" t="s">
        <v>45</v>
      </c>
      <c r="D271" s="24">
        <v>1</v>
      </c>
      <c r="E271" s="24">
        <v>1887.84</v>
      </c>
      <c r="F271" s="26">
        <f t="shared" si="4"/>
        <v>1887.84</v>
      </c>
      <c r="G271" s="27">
        <v>0</v>
      </c>
      <c r="H271" s="24">
        <v>0</v>
      </c>
      <c r="I271" s="24">
        <v>0</v>
      </c>
      <c r="J271" s="25">
        <v>1887.84</v>
      </c>
      <c r="K271" s="22">
        <v>1887.84</v>
      </c>
      <c r="L271" s="1">
        <v>1887.84</v>
      </c>
    </row>
    <row r="272" spans="1:12" x14ac:dyDescent="0.3">
      <c r="A272" s="30" t="s">
        <v>565</v>
      </c>
      <c r="B272" s="31" t="s">
        <v>566</v>
      </c>
      <c r="C272" s="32" t="s">
        <v>45</v>
      </c>
      <c r="D272" s="24">
        <v>1</v>
      </c>
      <c r="E272" s="24">
        <v>1975.24</v>
      </c>
      <c r="F272" s="26">
        <f t="shared" si="4"/>
        <v>1975.24</v>
      </c>
      <c r="G272" s="27">
        <v>0</v>
      </c>
      <c r="H272" s="24">
        <v>0</v>
      </c>
      <c r="I272" s="24">
        <v>0</v>
      </c>
      <c r="J272" s="25">
        <v>1975.24</v>
      </c>
      <c r="K272" s="22">
        <v>1975.24</v>
      </c>
      <c r="L272" s="1">
        <v>1975.24</v>
      </c>
    </row>
    <row r="273" spans="1:12" x14ac:dyDescent="0.3">
      <c r="A273" s="30" t="s">
        <v>567</v>
      </c>
      <c r="B273" s="31" t="s">
        <v>568</v>
      </c>
      <c r="C273" s="32" t="s">
        <v>45</v>
      </c>
      <c r="D273" s="24">
        <v>8</v>
      </c>
      <c r="E273" s="24">
        <v>340.86</v>
      </c>
      <c r="F273" s="26">
        <f t="shared" si="4"/>
        <v>2726.88</v>
      </c>
      <c r="G273" s="27">
        <v>0</v>
      </c>
      <c r="H273" s="24">
        <v>0</v>
      </c>
      <c r="I273" s="24">
        <v>0</v>
      </c>
      <c r="J273" s="25">
        <v>2726.88</v>
      </c>
      <c r="K273" s="22">
        <v>2726.88</v>
      </c>
      <c r="L273" s="1">
        <v>2726.88</v>
      </c>
    </row>
    <row r="274" spans="1:12" x14ac:dyDescent="0.3">
      <c r="A274" s="30" t="s">
        <v>569</v>
      </c>
      <c r="B274" s="31" t="s">
        <v>570</v>
      </c>
      <c r="C274" s="32" t="s">
        <v>45</v>
      </c>
      <c r="D274" s="24">
        <v>1</v>
      </c>
      <c r="E274" s="24">
        <v>31071.96</v>
      </c>
      <c r="F274" s="26">
        <f t="shared" si="4"/>
        <v>31071.96</v>
      </c>
      <c r="G274" s="27">
        <v>0</v>
      </c>
      <c r="H274" s="24">
        <v>0</v>
      </c>
      <c r="I274" s="24">
        <v>0</v>
      </c>
      <c r="J274" s="25">
        <v>31071.96</v>
      </c>
      <c r="K274" s="22">
        <v>31071.96</v>
      </c>
      <c r="L274" s="1">
        <v>31071.96</v>
      </c>
    </row>
    <row r="275" spans="1:12" x14ac:dyDescent="0.3">
      <c r="A275" s="30" t="s">
        <v>571</v>
      </c>
      <c r="B275" s="31" t="s">
        <v>572</v>
      </c>
      <c r="C275" s="32" t="s">
        <v>484</v>
      </c>
      <c r="D275" s="24">
        <v>12</v>
      </c>
      <c r="E275" s="24">
        <v>16.72</v>
      </c>
      <c r="F275" s="26">
        <f t="shared" si="4"/>
        <v>200.64</v>
      </c>
      <c r="G275" s="27">
        <v>0</v>
      </c>
      <c r="H275" s="24">
        <v>200.64</v>
      </c>
      <c r="I275" s="24">
        <v>0</v>
      </c>
      <c r="J275" s="25">
        <v>0</v>
      </c>
      <c r="K275" s="22">
        <v>200.64</v>
      </c>
      <c r="L275" s="1">
        <v>200.64</v>
      </c>
    </row>
    <row r="276" spans="1:12" x14ac:dyDescent="0.3">
      <c r="A276" s="30" t="s">
        <v>573</v>
      </c>
      <c r="B276" s="31" t="s">
        <v>574</v>
      </c>
      <c r="C276" s="32" t="s">
        <v>366</v>
      </c>
      <c r="D276" s="24">
        <v>6.4</v>
      </c>
      <c r="E276" s="24">
        <v>106.79</v>
      </c>
      <c r="F276" s="26">
        <f t="shared" si="4"/>
        <v>683.46</v>
      </c>
      <c r="G276" s="27">
        <v>0</v>
      </c>
      <c r="H276" s="24">
        <v>0</v>
      </c>
      <c r="I276" s="24">
        <v>683.46</v>
      </c>
      <c r="J276" s="25">
        <v>0</v>
      </c>
      <c r="K276" s="22">
        <v>683.46</v>
      </c>
      <c r="L276" s="1">
        <v>683.46</v>
      </c>
    </row>
    <row r="277" spans="1:12" x14ac:dyDescent="0.3">
      <c r="A277" s="30" t="s">
        <v>575</v>
      </c>
      <c r="B277" s="31" t="s">
        <v>576</v>
      </c>
      <c r="C277" s="32" t="s">
        <v>32</v>
      </c>
      <c r="D277" s="24">
        <v>1</v>
      </c>
      <c r="E277" s="24">
        <v>2280</v>
      </c>
      <c r="F277" s="26">
        <f t="shared" si="4"/>
        <v>2280</v>
      </c>
      <c r="G277" s="27">
        <v>2280</v>
      </c>
      <c r="H277" s="24">
        <v>0</v>
      </c>
      <c r="I277" s="24">
        <v>0</v>
      </c>
      <c r="J277" s="25">
        <v>0</v>
      </c>
      <c r="K277" s="22">
        <v>2280</v>
      </c>
      <c r="L277" s="1">
        <v>2280</v>
      </c>
    </row>
    <row r="278" spans="1:12" x14ac:dyDescent="0.3">
      <c r="A278" s="30" t="s">
        <v>577</v>
      </c>
      <c r="B278" s="31" t="s">
        <v>578</v>
      </c>
      <c r="C278" s="32" t="s">
        <v>45</v>
      </c>
      <c r="D278" s="24">
        <v>38</v>
      </c>
      <c r="E278" s="24">
        <v>15.17</v>
      </c>
      <c r="F278" s="26">
        <f t="shared" si="4"/>
        <v>576.46</v>
      </c>
      <c r="G278" s="27">
        <v>150.16999999999999</v>
      </c>
      <c r="H278" s="24">
        <v>145.33000000000001</v>
      </c>
      <c r="I278" s="24">
        <v>150.16999999999999</v>
      </c>
      <c r="J278" s="25">
        <v>130.79</v>
      </c>
      <c r="K278" s="22">
        <v>576.46</v>
      </c>
      <c r="L278" s="1">
        <v>576.46</v>
      </c>
    </row>
    <row r="279" spans="1:12" x14ac:dyDescent="0.3">
      <c r="A279" s="30" t="s">
        <v>579</v>
      </c>
      <c r="B279" s="31" t="s">
        <v>580</v>
      </c>
      <c r="C279" s="32" t="s">
        <v>45</v>
      </c>
      <c r="D279" s="24">
        <v>78</v>
      </c>
      <c r="E279" s="24">
        <v>25.98</v>
      </c>
      <c r="F279" s="26">
        <f t="shared" si="4"/>
        <v>2026.44</v>
      </c>
      <c r="G279" s="27">
        <v>527.9</v>
      </c>
      <c r="H279" s="24">
        <v>510.87</v>
      </c>
      <c r="I279" s="24">
        <v>527.9</v>
      </c>
      <c r="J279" s="25">
        <v>459.77</v>
      </c>
      <c r="K279" s="22">
        <v>2026.44</v>
      </c>
      <c r="L279" s="1">
        <v>2026.44</v>
      </c>
    </row>
    <row r="280" spans="1:12" x14ac:dyDescent="0.3">
      <c r="A280" s="30" t="s">
        <v>581</v>
      </c>
      <c r="B280" s="31" t="s">
        <v>582</v>
      </c>
      <c r="C280" s="32" t="s">
        <v>583</v>
      </c>
      <c r="D280" s="24">
        <v>28</v>
      </c>
      <c r="E280" s="24">
        <v>8.51</v>
      </c>
      <c r="F280" s="26">
        <f t="shared" si="4"/>
        <v>238.28</v>
      </c>
      <c r="G280" s="27">
        <v>62.07</v>
      </c>
      <c r="H280" s="24">
        <v>60.07</v>
      </c>
      <c r="I280" s="24">
        <v>62.07</v>
      </c>
      <c r="J280" s="25">
        <v>54.07</v>
      </c>
      <c r="K280" s="22">
        <v>238.28</v>
      </c>
      <c r="L280" s="1">
        <v>238.28</v>
      </c>
    </row>
    <row r="281" spans="1:12" x14ac:dyDescent="0.3">
      <c r="A281" s="30" t="s">
        <v>584</v>
      </c>
      <c r="B281" s="31" t="s">
        <v>585</v>
      </c>
      <c r="C281" s="32" t="s">
        <v>93</v>
      </c>
      <c r="D281" s="24">
        <v>33.64</v>
      </c>
      <c r="E281" s="24">
        <v>51.32</v>
      </c>
      <c r="F281" s="26">
        <f t="shared" si="4"/>
        <v>1726.4</v>
      </c>
      <c r="G281" s="27">
        <v>466.62</v>
      </c>
      <c r="H281" s="24">
        <v>1098.56</v>
      </c>
      <c r="I281" s="24">
        <v>161.22</v>
      </c>
      <c r="J281" s="25">
        <v>0</v>
      </c>
      <c r="K281" s="22">
        <v>1726.4</v>
      </c>
      <c r="L281" s="1">
        <v>1726.4</v>
      </c>
    </row>
    <row r="282" spans="1:12" x14ac:dyDescent="0.3">
      <c r="A282" s="30" t="s">
        <v>586</v>
      </c>
      <c r="B282" s="31" t="s">
        <v>587</v>
      </c>
      <c r="C282" s="32" t="s">
        <v>32</v>
      </c>
      <c r="D282" s="24">
        <v>1</v>
      </c>
      <c r="E282" s="24">
        <v>2350.85</v>
      </c>
      <c r="F282" s="26">
        <f t="shared" si="4"/>
        <v>2350.85</v>
      </c>
      <c r="G282" s="27">
        <v>2350.85</v>
      </c>
      <c r="H282" s="24">
        <v>0</v>
      </c>
      <c r="I282" s="24">
        <v>0</v>
      </c>
      <c r="J282" s="25">
        <v>0</v>
      </c>
      <c r="K282" s="22">
        <v>2350.85</v>
      </c>
      <c r="L282" s="1">
        <v>2350.85</v>
      </c>
    </row>
    <row r="283" spans="1:12" x14ac:dyDescent="0.3">
      <c r="A283" s="30" t="s">
        <v>588</v>
      </c>
      <c r="B283" s="31" t="s">
        <v>589</v>
      </c>
      <c r="C283" s="32" t="s">
        <v>590</v>
      </c>
      <c r="D283" s="24">
        <v>0.2</v>
      </c>
      <c r="E283" s="24">
        <v>3.31</v>
      </c>
      <c r="F283" s="26">
        <f t="shared" si="4"/>
        <v>0.66</v>
      </c>
      <c r="G283" s="27">
        <v>0</v>
      </c>
      <c r="H283" s="24">
        <v>0</v>
      </c>
      <c r="I283" s="24">
        <v>0</v>
      </c>
      <c r="J283" s="25">
        <v>0.66</v>
      </c>
      <c r="K283" s="22">
        <v>0.66</v>
      </c>
      <c r="L283" s="1">
        <v>0.66</v>
      </c>
    </row>
    <row r="284" spans="1:12" x14ac:dyDescent="0.3">
      <c r="A284" s="30" t="s">
        <v>591</v>
      </c>
      <c r="B284" s="31" t="s">
        <v>592</v>
      </c>
      <c r="C284" s="32" t="s">
        <v>51</v>
      </c>
      <c r="D284" s="33">
        <v>4.0000000000000001E-3</v>
      </c>
      <c r="E284" s="24">
        <v>34.5</v>
      </c>
      <c r="F284" s="26">
        <f t="shared" si="4"/>
        <v>0.14000000000000001</v>
      </c>
      <c r="G284" s="27">
        <v>0</v>
      </c>
      <c r="H284" s="24">
        <v>0</v>
      </c>
      <c r="I284" s="24">
        <v>0</v>
      </c>
      <c r="J284" s="25">
        <v>0.14000000000000001</v>
      </c>
      <c r="K284" s="22">
        <v>0.14000000000000001</v>
      </c>
      <c r="L284" s="1">
        <v>0.14000000000000001</v>
      </c>
    </row>
    <row r="285" spans="1:12" x14ac:dyDescent="0.3">
      <c r="A285" s="30" t="s">
        <v>593</v>
      </c>
      <c r="B285" s="31" t="s">
        <v>594</v>
      </c>
      <c r="C285" s="32" t="s">
        <v>45</v>
      </c>
      <c r="D285" s="24">
        <v>4.2</v>
      </c>
      <c r="E285" s="24">
        <v>26</v>
      </c>
      <c r="F285" s="26">
        <f t="shared" si="4"/>
        <v>109.2</v>
      </c>
      <c r="G285" s="27">
        <v>0</v>
      </c>
      <c r="H285" s="24">
        <v>109.2</v>
      </c>
      <c r="I285" s="24">
        <v>0</v>
      </c>
      <c r="J285" s="25">
        <v>0</v>
      </c>
      <c r="K285" s="22">
        <v>109.2</v>
      </c>
      <c r="L285" s="1">
        <v>109.2</v>
      </c>
    </row>
    <row r="286" spans="1:12" x14ac:dyDescent="0.3">
      <c r="A286" s="30" t="s">
        <v>595</v>
      </c>
      <c r="B286" s="31" t="s">
        <v>596</v>
      </c>
      <c r="C286" s="32" t="s">
        <v>597</v>
      </c>
      <c r="D286" s="24">
        <v>84.94</v>
      </c>
      <c r="E286" s="24">
        <v>2.0299999999999998</v>
      </c>
      <c r="F286" s="26">
        <f t="shared" si="4"/>
        <v>172.43</v>
      </c>
      <c r="G286" s="27">
        <v>0</v>
      </c>
      <c r="H286" s="24">
        <v>149.80000000000001</v>
      </c>
      <c r="I286" s="24">
        <v>0</v>
      </c>
      <c r="J286" s="25">
        <v>22.63</v>
      </c>
      <c r="K286" s="22">
        <v>172.43</v>
      </c>
      <c r="L286" s="1">
        <v>172.43</v>
      </c>
    </row>
    <row r="287" spans="1:12" x14ac:dyDescent="0.3">
      <c r="A287" s="30" t="s">
        <v>598</v>
      </c>
      <c r="B287" s="31" t="s">
        <v>599</v>
      </c>
      <c r="C287" s="32" t="s">
        <v>326</v>
      </c>
      <c r="D287" s="24">
        <v>3</v>
      </c>
      <c r="E287" s="24">
        <v>17.71</v>
      </c>
      <c r="F287" s="26">
        <f t="shared" si="4"/>
        <v>53.13</v>
      </c>
      <c r="G287" s="27">
        <v>0</v>
      </c>
      <c r="H287" s="24">
        <v>0</v>
      </c>
      <c r="I287" s="24">
        <v>53.13</v>
      </c>
      <c r="J287" s="25">
        <v>0</v>
      </c>
      <c r="K287" s="22">
        <v>53.13</v>
      </c>
      <c r="L287" s="1">
        <v>53.13</v>
      </c>
    </row>
    <row r="288" spans="1:12" x14ac:dyDescent="0.3">
      <c r="A288" s="30" t="s">
        <v>600</v>
      </c>
      <c r="B288" s="31" t="s">
        <v>601</v>
      </c>
      <c r="C288" s="32" t="s">
        <v>123</v>
      </c>
      <c r="D288" s="24">
        <v>3</v>
      </c>
      <c r="E288" s="24">
        <v>156</v>
      </c>
      <c r="F288" s="26">
        <f t="shared" si="4"/>
        <v>468</v>
      </c>
      <c r="G288" s="27">
        <v>0</v>
      </c>
      <c r="H288" s="24">
        <v>0</v>
      </c>
      <c r="I288" s="24">
        <v>0</v>
      </c>
      <c r="J288" s="25">
        <v>468</v>
      </c>
      <c r="K288" s="22">
        <v>468</v>
      </c>
      <c r="L288" s="1">
        <v>468</v>
      </c>
    </row>
    <row r="289" spans="1:12" x14ac:dyDescent="0.3">
      <c r="A289" s="30" t="s">
        <v>602</v>
      </c>
      <c r="B289" s="31" t="s">
        <v>603</v>
      </c>
      <c r="C289" s="32" t="s">
        <v>45</v>
      </c>
      <c r="D289" s="24">
        <v>9</v>
      </c>
      <c r="E289" s="24">
        <v>14.7</v>
      </c>
      <c r="F289" s="26">
        <f t="shared" si="4"/>
        <v>132.30000000000001</v>
      </c>
      <c r="G289" s="27">
        <v>0</v>
      </c>
      <c r="H289" s="24">
        <v>132.30000000000001</v>
      </c>
      <c r="I289" s="24">
        <v>0</v>
      </c>
      <c r="J289" s="25">
        <v>0</v>
      </c>
      <c r="K289" s="22">
        <v>132.30000000000001</v>
      </c>
      <c r="L289" s="1">
        <v>132.30000000000001</v>
      </c>
    </row>
    <row r="290" spans="1:12" x14ac:dyDescent="0.3">
      <c r="A290" s="30" t="s">
        <v>604</v>
      </c>
      <c r="B290" s="31" t="s">
        <v>605</v>
      </c>
      <c r="C290" s="32" t="s">
        <v>45</v>
      </c>
      <c r="D290" s="24">
        <v>14</v>
      </c>
      <c r="E290" s="24">
        <v>14.08</v>
      </c>
      <c r="F290" s="26">
        <f t="shared" si="4"/>
        <v>197.12</v>
      </c>
      <c r="G290" s="27">
        <v>0</v>
      </c>
      <c r="H290" s="24">
        <v>0</v>
      </c>
      <c r="I290" s="24">
        <v>197.12</v>
      </c>
      <c r="J290" s="25">
        <v>0</v>
      </c>
      <c r="K290" s="22">
        <v>197.12</v>
      </c>
      <c r="L290" s="1">
        <v>197.12</v>
      </c>
    </row>
    <row r="291" spans="1:12" x14ac:dyDescent="0.3">
      <c r="A291" s="30" t="s">
        <v>606</v>
      </c>
      <c r="B291" s="31" t="s">
        <v>607</v>
      </c>
      <c r="C291" s="32" t="s">
        <v>45</v>
      </c>
      <c r="D291" s="24">
        <v>2</v>
      </c>
      <c r="E291" s="24">
        <v>18.649999999999999</v>
      </c>
      <c r="F291" s="26">
        <f t="shared" si="4"/>
        <v>37.299999999999997</v>
      </c>
      <c r="G291" s="27">
        <v>0</v>
      </c>
      <c r="H291" s="24">
        <v>0</v>
      </c>
      <c r="I291" s="24">
        <v>37.299999999999997</v>
      </c>
      <c r="J291" s="25">
        <v>0</v>
      </c>
      <c r="K291" s="22">
        <v>37.299999999999997</v>
      </c>
      <c r="L291" s="1">
        <v>37.299999999999997</v>
      </c>
    </row>
    <row r="292" spans="1:12" x14ac:dyDescent="0.3">
      <c r="A292" s="30" t="s">
        <v>608</v>
      </c>
      <c r="B292" s="31" t="s">
        <v>609</v>
      </c>
      <c r="C292" s="32" t="s">
        <v>45</v>
      </c>
      <c r="D292" s="24">
        <v>3</v>
      </c>
      <c r="E292" s="24">
        <v>37.29</v>
      </c>
      <c r="F292" s="26">
        <f t="shared" si="4"/>
        <v>111.87</v>
      </c>
      <c r="G292" s="27">
        <v>0</v>
      </c>
      <c r="H292" s="24">
        <v>0</v>
      </c>
      <c r="I292" s="24">
        <v>111.87</v>
      </c>
      <c r="J292" s="25">
        <v>0</v>
      </c>
      <c r="K292" s="22">
        <v>111.87</v>
      </c>
      <c r="L292" s="1">
        <v>111.87</v>
      </c>
    </row>
    <row r="293" spans="1:12" x14ac:dyDescent="0.3">
      <c r="A293" s="30" t="s">
        <v>610</v>
      </c>
      <c r="B293" s="31" t="s">
        <v>611</v>
      </c>
      <c r="C293" s="32" t="s">
        <v>128</v>
      </c>
      <c r="D293" s="24">
        <v>7.5</v>
      </c>
      <c r="E293" s="24">
        <v>24.31</v>
      </c>
      <c r="F293" s="26">
        <f t="shared" si="4"/>
        <v>182.33</v>
      </c>
      <c r="G293" s="27">
        <v>0</v>
      </c>
      <c r="H293" s="24">
        <v>182.33</v>
      </c>
      <c r="I293" s="24">
        <v>0</v>
      </c>
      <c r="J293" s="25">
        <v>0</v>
      </c>
      <c r="K293" s="22">
        <v>182.33</v>
      </c>
      <c r="L293" s="1">
        <v>182.33</v>
      </c>
    </row>
    <row r="294" spans="1:12" x14ac:dyDescent="0.3">
      <c r="A294" s="30" t="s">
        <v>612</v>
      </c>
      <c r="B294" s="31" t="s">
        <v>613</v>
      </c>
      <c r="C294" s="32" t="s">
        <v>128</v>
      </c>
      <c r="D294" s="24">
        <v>9.35</v>
      </c>
      <c r="E294" s="24">
        <v>27.94</v>
      </c>
      <c r="F294" s="26">
        <f t="shared" si="4"/>
        <v>261.24</v>
      </c>
      <c r="G294" s="27">
        <v>0</v>
      </c>
      <c r="H294" s="24">
        <v>261.24</v>
      </c>
      <c r="I294" s="24">
        <v>0</v>
      </c>
      <c r="J294" s="25">
        <v>0</v>
      </c>
      <c r="K294" s="22">
        <v>261.24</v>
      </c>
      <c r="L294" s="1">
        <v>261.24</v>
      </c>
    </row>
    <row r="295" spans="1:12" x14ac:dyDescent="0.3">
      <c r="A295" s="30" t="s">
        <v>614</v>
      </c>
      <c r="B295" s="31" t="s">
        <v>615</v>
      </c>
      <c r="C295" s="32" t="s">
        <v>128</v>
      </c>
      <c r="D295" s="24">
        <v>2</v>
      </c>
      <c r="E295" s="24">
        <v>51.26</v>
      </c>
      <c r="F295" s="26">
        <f t="shared" si="4"/>
        <v>102.52</v>
      </c>
      <c r="G295" s="27">
        <v>0</v>
      </c>
      <c r="H295" s="24">
        <v>102.52</v>
      </c>
      <c r="I295" s="24">
        <v>0</v>
      </c>
      <c r="J295" s="25">
        <v>0</v>
      </c>
      <c r="K295" s="22">
        <v>102.52</v>
      </c>
      <c r="L295" s="1">
        <v>102.52</v>
      </c>
    </row>
    <row r="296" spans="1:12" x14ac:dyDescent="0.3">
      <c r="A296" s="30" t="s">
        <v>616</v>
      </c>
      <c r="B296" s="31" t="s">
        <v>617</v>
      </c>
      <c r="C296" s="32" t="s">
        <v>128</v>
      </c>
      <c r="D296" s="24">
        <v>2.5</v>
      </c>
      <c r="E296" s="24">
        <v>51.26</v>
      </c>
      <c r="F296" s="26">
        <f t="shared" si="4"/>
        <v>128.15</v>
      </c>
      <c r="G296" s="27">
        <v>0</v>
      </c>
      <c r="H296" s="24">
        <v>128.15</v>
      </c>
      <c r="I296" s="24">
        <v>0</v>
      </c>
      <c r="J296" s="25">
        <v>0</v>
      </c>
      <c r="K296" s="22">
        <v>128.15</v>
      </c>
      <c r="L296" s="1">
        <v>128.15</v>
      </c>
    </row>
    <row r="297" spans="1:12" x14ac:dyDescent="0.3">
      <c r="A297" s="30" t="s">
        <v>618</v>
      </c>
      <c r="B297" s="31" t="s">
        <v>619</v>
      </c>
      <c r="C297" s="32" t="s">
        <v>45</v>
      </c>
      <c r="D297" s="24">
        <v>16.27</v>
      </c>
      <c r="E297" s="24">
        <v>73.680000000000007</v>
      </c>
      <c r="F297" s="26">
        <f t="shared" si="4"/>
        <v>1198.77</v>
      </c>
      <c r="G297" s="27">
        <v>1198.77</v>
      </c>
      <c r="H297" s="24">
        <v>0</v>
      </c>
      <c r="I297" s="24">
        <v>0</v>
      </c>
      <c r="J297" s="25">
        <v>0</v>
      </c>
      <c r="K297" s="22">
        <v>1198.77</v>
      </c>
      <c r="L297" s="1">
        <v>1198.77</v>
      </c>
    </row>
    <row r="298" spans="1:12" x14ac:dyDescent="0.3">
      <c r="A298" s="30" t="s">
        <v>620</v>
      </c>
      <c r="B298" s="31" t="s">
        <v>621</v>
      </c>
      <c r="C298" s="32" t="s">
        <v>45</v>
      </c>
      <c r="D298" s="24">
        <v>29.27</v>
      </c>
      <c r="E298" s="24">
        <v>2.12</v>
      </c>
      <c r="F298" s="26">
        <f t="shared" si="4"/>
        <v>62.05</v>
      </c>
      <c r="G298" s="27">
        <v>0</v>
      </c>
      <c r="H298" s="24">
        <v>0</v>
      </c>
      <c r="I298" s="24">
        <v>42.24</v>
      </c>
      <c r="J298" s="25">
        <v>19.809999999999999</v>
      </c>
      <c r="K298" s="22">
        <v>62.05</v>
      </c>
      <c r="L298" s="1">
        <v>62.05</v>
      </c>
    </row>
    <row r="299" spans="1:12" x14ac:dyDescent="0.3">
      <c r="A299" s="30" t="s">
        <v>622</v>
      </c>
      <c r="B299" s="31" t="s">
        <v>623</v>
      </c>
      <c r="C299" s="32" t="s">
        <v>624</v>
      </c>
      <c r="D299" s="24">
        <v>1099.04</v>
      </c>
      <c r="E299" s="24">
        <v>2.97</v>
      </c>
      <c r="F299" s="26">
        <f t="shared" si="4"/>
        <v>3264.15</v>
      </c>
      <c r="G299" s="27">
        <v>0</v>
      </c>
      <c r="H299" s="24">
        <v>0</v>
      </c>
      <c r="I299" s="24">
        <v>530.24</v>
      </c>
      <c r="J299" s="25">
        <v>2733.91</v>
      </c>
      <c r="K299" s="22">
        <v>3264.15</v>
      </c>
      <c r="L299" s="1">
        <v>3264.15</v>
      </c>
    </row>
    <row r="300" spans="1:12" x14ac:dyDescent="0.3">
      <c r="A300" s="30" t="s">
        <v>625</v>
      </c>
      <c r="B300" s="31" t="s">
        <v>626</v>
      </c>
      <c r="C300" s="32" t="s">
        <v>624</v>
      </c>
      <c r="D300" s="24">
        <v>6215.68</v>
      </c>
      <c r="E300" s="24">
        <v>4.83</v>
      </c>
      <c r="F300" s="26">
        <f t="shared" si="4"/>
        <v>30021.73</v>
      </c>
      <c r="G300" s="27">
        <v>3448.45</v>
      </c>
      <c r="H300" s="24">
        <v>18205.82</v>
      </c>
      <c r="I300" s="24">
        <v>8367.4600000000009</v>
      </c>
      <c r="J300" s="25">
        <v>0</v>
      </c>
      <c r="K300" s="22">
        <v>30021.73</v>
      </c>
      <c r="L300" s="1">
        <v>30021.73</v>
      </c>
    </row>
    <row r="301" spans="1:12" x14ac:dyDescent="0.3">
      <c r="A301" s="30" t="s">
        <v>627</v>
      </c>
      <c r="B301" s="31" t="s">
        <v>628</v>
      </c>
      <c r="C301" s="32" t="s">
        <v>624</v>
      </c>
      <c r="D301" s="24">
        <v>0.42</v>
      </c>
      <c r="E301" s="24">
        <v>4.83</v>
      </c>
      <c r="F301" s="26">
        <f t="shared" si="4"/>
        <v>2.0299999999999998</v>
      </c>
      <c r="G301" s="27">
        <v>0</v>
      </c>
      <c r="H301" s="24">
        <v>0</v>
      </c>
      <c r="I301" s="24">
        <v>2.0299999999999998</v>
      </c>
      <c r="J301" s="25">
        <v>0</v>
      </c>
      <c r="K301" s="22">
        <v>2.0299999999999998</v>
      </c>
      <c r="L301" s="1">
        <v>2.0299999999999998</v>
      </c>
    </row>
    <row r="302" spans="1:12" x14ac:dyDescent="0.3">
      <c r="A302" s="30" t="s">
        <v>629</v>
      </c>
      <c r="B302" s="31" t="s">
        <v>630</v>
      </c>
      <c r="C302" s="32" t="s">
        <v>45</v>
      </c>
      <c r="D302" s="24">
        <v>1</v>
      </c>
      <c r="E302" s="24">
        <v>12.71</v>
      </c>
      <c r="F302" s="26">
        <f t="shared" si="4"/>
        <v>12.71</v>
      </c>
      <c r="G302" s="27">
        <v>0</v>
      </c>
      <c r="H302" s="24">
        <v>0</v>
      </c>
      <c r="I302" s="24">
        <v>0</v>
      </c>
      <c r="J302" s="25">
        <v>12.71</v>
      </c>
      <c r="K302" s="22">
        <v>12.71</v>
      </c>
      <c r="L302" s="1">
        <v>12.71</v>
      </c>
    </row>
    <row r="303" spans="1:12" x14ac:dyDescent="0.3">
      <c r="A303" s="30" t="s">
        <v>631</v>
      </c>
      <c r="B303" s="31" t="s">
        <v>632</v>
      </c>
      <c r="C303" s="32" t="s">
        <v>45</v>
      </c>
      <c r="D303" s="24">
        <v>1</v>
      </c>
      <c r="E303" s="24">
        <v>261.02</v>
      </c>
      <c r="F303" s="26">
        <f t="shared" si="4"/>
        <v>261.02</v>
      </c>
      <c r="G303" s="27">
        <v>0</v>
      </c>
      <c r="H303" s="24">
        <v>0</v>
      </c>
      <c r="I303" s="24">
        <v>261.02</v>
      </c>
      <c r="J303" s="25">
        <v>0</v>
      </c>
      <c r="K303" s="22">
        <v>261.02</v>
      </c>
      <c r="L303" s="1">
        <v>261.02</v>
      </c>
    </row>
    <row r="304" spans="1:12" x14ac:dyDescent="0.3">
      <c r="A304" s="30" t="s">
        <v>633</v>
      </c>
      <c r="B304" s="31" t="s">
        <v>634</v>
      </c>
      <c r="C304" s="32" t="s">
        <v>624</v>
      </c>
      <c r="D304" s="24">
        <v>32.54</v>
      </c>
      <c r="E304" s="24">
        <v>8.5</v>
      </c>
      <c r="F304" s="26">
        <f t="shared" si="4"/>
        <v>276.58999999999997</v>
      </c>
      <c r="G304" s="27">
        <v>276.58999999999997</v>
      </c>
      <c r="H304" s="24">
        <v>0</v>
      </c>
      <c r="I304" s="24">
        <v>0</v>
      </c>
      <c r="J304" s="25">
        <v>0</v>
      </c>
      <c r="K304" s="22">
        <v>276.58999999999997</v>
      </c>
      <c r="L304" s="1">
        <v>276.58999999999997</v>
      </c>
    </row>
    <row r="305" spans="1:12" x14ac:dyDescent="0.3">
      <c r="A305" s="30" t="s">
        <v>635</v>
      </c>
      <c r="B305" s="31" t="s">
        <v>636</v>
      </c>
      <c r="C305" s="32" t="s">
        <v>45</v>
      </c>
      <c r="D305" s="24">
        <v>3.68</v>
      </c>
      <c r="E305" s="24">
        <v>27.88</v>
      </c>
      <c r="F305" s="26">
        <f t="shared" si="4"/>
        <v>102.6</v>
      </c>
      <c r="G305" s="27">
        <v>102.6</v>
      </c>
      <c r="H305" s="24">
        <v>0</v>
      </c>
      <c r="I305" s="24">
        <v>0</v>
      </c>
      <c r="J305" s="25">
        <v>0</v>
      </c>
      <c r="K305" s="22">
        <v>102.6</v>
      </c>
      <c r="L305" s="1">
        <v>102.6</v>
      </c>
    </row>
    <row r="306" spans="1:12" x14ac:dyDescent="0.3">
      <c r="A306" s="30" t="s">
        <v>637</v>
      </c>
      <c r="B306" s="31" t="s">
        <v>638</v>
      </c>
      <c r="C306" s="32" t="s">
        <v>639</v>
      </c>
      <c r="D306" s="24">
        <v>1</v>
      </c>
      <c r="E306" s="24">
        <v>38.35</v>
      </c>
      <c r="F306" s="26">
        <f t="shared" si="4"/>
        <v>38.35</v>
      </c>
      <c r="G306" s="27">
        <v>0</v>
      </c>
      <c r="H306" s="24">
        <v>0</v>
      </c>
      <c r="I306" s="24">
        <v>38.35</v>
      </c>
      <c r="J306" s="25">
        <v>0</v>
      </c>
      <c r="K306" s="22">
        <v>38.35</v>
      </c>
      <c r="L306" s="1">
        <v>38.35</v>
      </c>
    </row>
    <row r="307" spans="1:12" x14ac:dyDescent="0.3">
      <c r="A307" s="30" t="s">
        <v>640</v>
      </c>
      <c r="B307" s="31" t="s">
        <v>641</v>
      </c>
      <c r="C307" s="32" t="s">
        <v>128</v>
      </c>
      <c r="D307" s="24">
        <v>2.83</v>
      </c>
      <c r="E307" s="24">
        <v>126.28</v>
      </c>
      <c r="F307" s="26">
        <f t="shared" si="4"/>
        <v>357.37</v>
      </c>
      <c r="G307" s="27">
        <v>0</v>
      </c>
      <c r="H307" s="24">
        <v>0</v>
      </c>
      <c r="I307" s="24">
        <v>357.37</v>
      </c>
      <c r="J307" s="25">
        <v>0</v>
      </c>
      <c r="K307" s="22">
        <v>357.37</v>
      </c>
      <c r="L307" s="1">
        <v>357.37</v>
      </c>
    </row>
    <row r="308" spans="1:12" x14ac:dyDescent="0.3">
      <c r="A308" s="30" t="s">
        <v>642</v>
      </c>
      <c r="B308" s="31" t="s">
        <v>643</v>
      </c>
      <c r="C308" s="32" t="s">
        <v>39</v>
      </c>
      <c r="D308" s="24">
        <v>0.67</v>
      </c>
      <c r="E308" s="24">
        <v>205.92</v>
      </c>
      <c r="F308" s="26">
        <f t="shared" si="4"/>
        <v>137.97</v>
      </c>
      <c r="G308" s="27">
        <v>0</v>
      </c>
      <c r="H308" s="24">
        <v>0</v>
      </c>
      <c r="I308" s="24">
        <v>118.8</v>
      </c>
      <c r="J308" s="25">
        <v>19.170000000000002</v>
      </c>
      <c r="K308" s="22">
        <v>137.97</v>
      </c>
      <c r="L308" s="1">
        <v>137.97</v>
      </c>
    </row>
    <row r="309" spans="1:12" x14ac:dyDescent="0.3">
      <c r="A309" s="30" t="s">
        <v>644</v>
      </c>
      <c r="B309" s="31" t="s">
        <v>645</v>
      </c>
      <c r="C309" s="32" t="s">
        <v>366</v>
      </c>
      <c r="D309" s="24">
        <v>0.75</v>
      </c>
      <c r="E309" s="24">
        <v>89.87</v>
      </c>
      <c r="F309" s="26">
        <f t="shared" si="4"/>
        <v>67.400000000000006</v>
      </c>
      <c r="G309" s="27">
        <v>0</v>
      </c>
      <c r="H309" s="24">
        <v>0</v>
      </c>
      <c r="I309" s="24">
        <v>0</v>
      </c>
      <c r="J309" s="25">
        <v>67.400000000000006</v>
      </c>
      <c r="K309" s="22">
        <v>67.400000000000006</v>
      </c>
      <c r="L309" s="1">
        <v>67.400000000000006</v>
      </c>
    </row>
    <row r="310" spans="1:12" x14ac:dyDescent="0.3">
      <c r="A310" s="30" t="s">
        <v>646</v>
      </c>
      <c r="B310" s="31" t="s">
        <v>647</v>
      </c>
      <c r="C310" s="32" t="s">
        <v>39</v>
      </c>
      <c r="D310" s="24">
        <v>0.03</v>
      </c>
      <c r="E310" s="24">
        <v>152.54</v>
      </c>
      <c r="F310" s="26">
        <f t="shared" si="4"/>
        <v>4.58</v>
      </c>
      <c r="G310" s="27">
        <v>0</v>
      </c>
      <c r="H310" s="24">
        <v>0</v>
      </c>
      <c r="I310" s="24">
        <v>0</v>
      </c>
      <c r="J310" s="25">
        <v>4.58</v>
      </c>
      <c r="K310" s="22">
        <v>4.58</v>
      </c>
      <c r="L310" s="1">
        <v>4.58</v>
      </c>
    </row>
    <row r="311" spans="1:12" x14ac:dyDescent="0.3">
      <c r="A311" s="30" t="s">
        <v>648</v>
      </c>
      <c r="B311" s="31" t="s">
        <v>649</v>
      </c>
      <c r="C311" s="32" t="s">
        <v>366</v>
      </c>
      <c r="D311" s="24">
        <v>0.67</v>
      </c>
      <c r="E311" s="24">
        <v>211.86</v>
      </c>
      <c r="F311" s="26">
        <f t="shared" si="4"/>
        <v>141.94999999999999</v>
      </c>
      <c r="G311" s="27">
        <v>0</v>
      </c>
      <c r="H311" s="24">
        <v>0</v>
      </c>
      <c r="I311" s="24">
        <v>122.23</v>
      </c>
      <c r="J311" s="25">
        <v>19.72</v>
      </c>
      <c r="K311" s="22">
        <v>141.94999999999999</v>
      </c>
      <c r="L311" s="1">
        <v>141.94999999999999</v>
      </c>
    </row>
    <row r="312" spans="1:12" x14ac:dyDescent="0.3">
      <c r="A312" s="30" t="s">
        <v>650</v>
      </c>
      <c r="B312" s="31" t="s">
        <v>651</v>
      </c>
      <c r="C312" s="32" t="s">
        <v>366</v>
      </c>
      <c r="D312" s="24">
        <v>0.54</v>
      </c>
      <c r="E312" s="24">
        <v>30.8</v>
      </c>
      <c r="F312" s="26">
        <f t="shared" si="4"/>
        <v>16.63</v>
      </c>
      <c r="G312" s="27">
        <v>0</v>
      </c>
      <c r="H312" s="24">
        <v>0</v>
      </c>
      <c r="I312" s="24">
        <v>0</v>
      </c>
      <c r="J312" s="25">
        <v>16.63</v>
      </c>
      <c r="K312" s="22">
        <v>16.63</v>
      </c>
      <c r="L312" s="1">
        <v>16.63</v>
      </c>
    </row>
    <row r="313" spans="1:12" x14ac:dyDescent="0.3">
      <c r="A313" s="30" t="s">
        <v>652</v>
      </c>
      <c r="B313" s="31" t="s">
        <v>653</v>
      </c>
      <c r="C313" s="32" t="s">
        <v>39</v>
      </c>
      <c r="D313" s="24">
        <v>42.14</v>
      </c>
      <c r="E313" s="24">
        <v>57.59</v>
      </c>
      <c r="F313" s="26">
        <f t="shared" si="4"/>
        <v>2426.84</v>
      </c>
      <c r="G313" s="27">
        <v>0</v>
      </c>
      <c r="H313" s="24">
        <v>518.84</v>
      </c>
      <c r="I313" s="24">
        <v>402.56</v>
      </c>
      <c r="J313" s="25">
        <v>1505.44</v>
      </c>
      <c r="K313" s="22">
        <v>2426.84</v>
      </c>
      <c r="L313" s="1">
        <v>2426.84</v>
      </c>
    </row>
    <row r="314" spans="1:12" x14ac:dyDescent="0.3">
      <c r="A314" s="30" t="s">
        <v>654</v>
      </c>
      <c r="B314" s="31" t="s">
        <v>655</v>
      </c>
      <c r="C314" s="32" t="s">
        <v>366</v>
      </c>
      <c r="D314" s="24">
        <v>1.92</v>
      </c>
      <c r="E314" s="24">
        <v>52.77</v>
      </c>
      <c r="F314" s="26">
        <f t="shared" si="4"/>
        <v>101.32</v>
      </c>
      <c r="G314" s="27">
        <v>0</v>
      </c>
      <c r="H314" s="24">
        <v>0</v>
      </c>
      <c r="I314" s="24">
        <v>101.32</v>
      </c>
      <c r="J314" s="25">
        <v>0</v>
      </c>
      <c r="K314" s="22">
        <v>101.32</v>
      </c>
      <c r="L314" s="1">
        <v>101.32</v>
      </c>
    </row>
    <row r="315" spans="1:12" x14ac:dyDescent="0.3">
      <c r="A315" s="30" t="s">
        <v>656</v>
      </c>
      <c r="B315" s="31" t="s">
        <v>657</v>
      </c>
      <c r="C315" s="32" t="s">
        <v>366</v>
      </c>
      <c r="D315" s="24">
        <v>0.23</v>
      </c>
      <c r="E315" s="24">
        <v>24.2</v>
      </c>
      <c r="F315" s="26">
        <f t="shared" si="4"/>
        <v>5.57</v>
      </c>
      <c r="G315" s="27">
        <v>0</v>
      </c>
      <c r="H315" s="24">
        <v>0</v>
      </c>
      <c r="I315" s="24">
        <v>0</v>
      </c>
      <c r="J315" s="25">
        <v>5.57</v>
      </c>
      <c r="K315" s="22">
        <v>5.57</v>
      </c>
      <c r="L315" s="1">
        <v>5.57</v>
      </c>
    </row>
    <row r="316" spans="1:12" x14ac:dyDescent="0.3">
      <c r="A316" s="30" t="s">
        <v>658</v>
      </c>
      <c r="B316" s="31" t="s">
        <v>659</v>
      </c>
      <c r="C316" s="32" t="s">
        <v>366</v>
      </c>
      <c r="D316" s="24">
        <v>0.25</v>
      </c>
      <c r="E316" s="24">
        <v>61.44</v>
      </c>
      <c r="F316" s="26">
        <f t="shared" si="4"/>
        <v>15.36</v>
      </c>
      <c r="G316" s="27">
        <v>0</v>
      </c>
      <c r="H316" s="24">
        <v>0</v>
      </c>
      <c r="I316" s="24">
        <v>0</v>
      </c>
      <c r="J316" s="25">
        <v>15.36</v>
      </c>
      <c r="K316" s="22">
        <v>15.36</v>
      </c>
      <c r="L316" s="1">
        <v>15.36</v>
      </c>
    </row>
    <row r="317" spans="1:12" x14ac:dyDescent="0.3">
      <c r="A317" s="30" t="s">
        <v>660</v>
      </c>
      <c r="B317" s="31" t="s">
        <v>661</v>
      </c>
      <c r="C317" s="32" t="s">
        <v>484</v>
      </c>
      <c r="D317" s="24">
        <v>6.34</v>
      </c>
      <c r="E317" s="24">
        <v>25.34</v>
      </c>
      <c r="F317" s="26">
        <f t="shared" si="4"/>
        <v>160.66</v>
      </c>
      <c r="G317" s="27">
        <v>160.66</v>
      </c>
      <c r="H317" s="24">
        <v>0</v>
      </c>
      <c r="I317" s="24">
        <v>0</v>
      </c>
      <c r="J317" s="25">
        <v>0</v>
      </c>
      <c r="K317" s="22">
        <v>160.66</v>
      </c>
      <c r="L317" s="1">
        <v>160.66</v>
      </c>
    </row>
    <row r="318" spans="1:12" x14ac:dyDescent="0.3">
      <c r="A318" s="30" t="s">
        <v>662</v>
      </c>
      <c r="B318" s="31" t="s">
        <v>663</v>
      </c>
      <c r="C318" s="32" t="s">
        <v>123</v>
      </c>
      <c r="D318" s="24">
        <v>18.29</v>
      </c>
      <c r="E318" s="24">
        <v>8.39</v>
      </c>
      <c r="F318" s="26">
        <f t="shared" si="4"/>
        <v>153.44999999999999</v>
      </c>
      <c r="G318" s="27">
        <v>0</v>
      </c>
      <c r="H318" s="24">
        <v>0</v>
      </c>
      <c r="I318" s="24">
        <v>128.41999999999999</v>
      </c>
      <c r="J318" s="25">
        <v>25.03</v>
      </c>
      <c r="K318" s="22">
        <v>153.44999999999999</v>
      </c>
      <c r="L318" s="1">
        <v>153.44999999999999</v>
      </c>
    </row>
    <row r="319" spans="1:12" x14ac:dyDescent="0.3">
      <c r="A319" s="30" t="s">
        <v>664</v>
      </c>
      <c r="B319" s="31" t="s">
        <v>665</v>
      </c>
      <c r="C319" s="32" t="s">
        <v>45</v>
      </c>
      <c r="D319" s="24">
        <v>1</v>
      </c>
      <c r="E319" s="24">
        <v>168.3</v>
      </c>
      <c r="F319" s="26">
        <f t="shared" si="4"/>
        <v>168.3</v>
      </c>
      <c r="G319" s="27">
        <v>0</v>
      </c>
      <c r="H319" s="24">
        <v>0</v>
      </c>
      <c r="I319" s="24">
        <v>0</v>
      </c>
      <c r="J319" s="25">
        <v>168.3</v>
      </c>
      <c r="K319" s="22">
        <v>168.3</v>
      </c>
      <c r="L319" s="1">
        <v>168.3</v>
      </c>
    </row>
    <row r="320" spans="1:12" x14ac:dyDescent="0.3">
      <c r="A320" s="30" t="s">
        <v>666</v>
      </c>
      <c r="B320" s="31" t="s">
        <v>667</v>
      </c>
      <c r="C320" s="32" t="s">
        <v>484</v>
      </c>
      <c r="D320" s="24">
        <v>18.010000000000002</v>
      </c>
      <c r="E320" s="24">
        <v>67</v>
      </c>
      <c r="F320" s="26">
        <f t="shared" si="4"/>
        <v>1206.67</v>
      </c>
      <c r="G320" s="27">
        <v>0</v>
      </c>
      <c r="H320" s="24">
        <v>0</v>
      </c>
      <c r="I320" s="24">
        <v>1206.67</v>
      </c>
      <c r="J320" s="25">
        <v>0</v>
      </c>
      <c r="K320" s="22">
        <v>1206.67</v>
      </c>
      <c r="L320" s="1">
        <v>1206.67</v>
      </c>
    </row>
    <row r="321" spans="1:12" x14ac:dyDescent="0.3">
      <c r="A321" s="30" t="s">
        <v>668</v>
      </c>
      <c r="B321" s="31" t="s">
        <v>669</v>
      </c>
      <c r="C321" s="32" t="s">
        <v>128</v>
      </c>
      <c r="D321" s="24">
        <v>4.47</v>
      </c>
      <c r="E321" s="24">
        <v>26.78</v>
      </c>
      <c r="F321" s="26">
        <f t="shared" si="4"/>
        <v>119.71</v>
      </c>
      <c r="G321" s="27">
        <v>0</v>
      </c>
      <c r="H321" s="24">
        <v>0</v>
      </c>
      <c r="I321" s="24">
        <v>119.71</v>
      </c>
      <c r="J321" s="25">
        <v>0</v>
      </c>
      <c r="K321" s="22">
        <v>119.71</v>
      </c>
      <c r="L321" s="1">
        <v>119.71</v>
      </c>
    </row>
    <row r="322" spans="1:12" x14ac:dyDescent="0.3">
      <c r="A322" s="30" t="s">
        <v>670</v>
      </c>
      <c r="B322" s="31" t="s">
        <v>671</v>
      </c>
      <c r="C322" s="32" t="s">
        <v>128</v>
      </c>
      <c r="D322" s="24">
        <v>3.25</v>
      </c>
      <c r="E322" s="24">
        <v>42</v>
      </c>
      <c r="F322" s="26">
        <f t="shared" si="4"/>
        <v>136.5</v>
      </c>
      <c r="G322" s="27">
        <v>0</v>
      </c>
      <c r="H322" s="24">
        <v>0</v>
      </c>
      <c r="I322" s="24">
        <v>0</v>
      </c>
      <c r="J322" s="25">
        <v>136.5</v>
      </c>
      <c r="K322" s="22">
        <v>136.5</v>
      </c>
      <c r="L322" s="1">
        <v>136.5</v>
      </c>
    </row>
    <row r="323" spans="1:12" x14ac:dyDescent="0.3">
      <c r="A323" s="30" t="s">
        <v>672</v>
      </c>
      <c r="B323" s="31" t="s">
        <v>673</v>
      </c>
      <c r="C323" s="32" t="s">
        <v>674</v>
      </c>
      <c r="D323" s="24">
        <v>1.71</v>
      </c>
      <c r="E323" s="24">
        <v>7.2</v>
      </c>
      <c r="F323" s="26">
        <f t="shared" si="4"/>
        <v>12.31</v>
      </c>
      <c r="G323" s="27">
        <v>0</v>
      </c>
      <c r="H323" s="24">
        <v>0.32</v>
      </c>
      <c r="I323" s="24">
        <v>3.25</v>
      </c>
      <c r="J323" s="25">
        <v>8.74</v>
      </c>
      <c r="K323" s="22">
        <v>12.31</v>
      </c>
      <c r="L323" s="1">
        <v>12.31</v>
      </c>
    </row>
    <row r="324" spans="1:12" x14ac:dyDescent="0.3">
      <c r="A324" s="30" t="s">
        <v>675</v>
      </c>
      <c r="B324" s="31" t="s">
        <v>676</v>
      </c>
      <c r="C324" s="32" t="s">
        <v>45</v>
      </c>
      <c r="D324" s="24">
        <v>2.2400000000000002</v>
      </c>
      <c r="E324" s="24">
        <v>506.25</v>
      </c>
      <c r="F324" s="26">
        <f t="shared" si="4"/>
        <v>1134</v>
      </c>
      <c r="G324" s="27">
        <v>0</v>
      </c>
      <c r="H324" s="24">
        <v>0</v>
      </c>
      <c r="I324" s="24">
        <v>283.5</v>
      </c>
      <c r="J324" s="25">
        <v>850.5</v>
      </c>
      <c r="K324" s="22">
        <v>1134</v>
      </c>
      <c r="L324" s="1">
        <v>1134</v>
      </c>
    </row>
    <row r="325" spans="1:12" x14ac:dyDescent="0.3">
      <c r="A325" s="30" t="s">
        <v>677</v>
      </c>
      <c r="B325" s="31" t="s">
        <v>678</v>
      </c>
      <c r="C325" s="32" t="s">
        <v>45</v>
      </c>
      <c r="D325" s="24">
        <v>22.01</v>
      </c>
      <c r="E325" s="24">
        <v>1.05</v>
      </c>
      <c r="F325" s="26">
        <f t="shared" si="4"/>
        <v>23.11</v>
      </c>
      <c r="G325" s="27">
        <v>0</v>
      </c>
      <c r="H325" s="24">
        <v>0</v>
      </c>
      <c r="I325" s="24">
        <v>0</v>
      </c>
      <c r="J325" s="25">
        <v>23.11</v>
      </c>
      <c r="K325" s="22">
        <v>23.11</v>
      </c>
      <c r="L325" s="1">
        <v>23.11</v>
      </c>
    </row>
    <row r="326" spans="1:12" x14ac:dyDescent="0.3">
      <c r="A326" s="30" t="s">
        <v>679</v>
      </c>
      <c r="B326" s="31" t="s">
        <v>680</v>
      </c>
      <c r="C326" s="32" t="s">
        <v>128</v>
      </c>
      <c r="D326" s="24">
        <v>4</v>
      </c>
      <c r="E326" s="24">
        <v>9.35</v>
      </c>
      <c r="F326" s="26">
        <f t="shared" si="4"/>
        <v>37.4</v>
      </c>
      <c r="G326" s="27">
        <v>0</v>
      </c>
      <c r="H326" s="24">
        <v>0</v>
      </c>
      <c r="I326" s="24">
        <v>0</v>
      </c>
      <c r="J326" s="25">
        <v>37.4</v>
      </c>
      <c r="K326" s="22">
        <v>37.4</v>
      </c>
      <c r="L326" s="1">
        <v>37.4</v>
      </c>
    </row>
    <row r="327" spans="1:12" x14ac:dyDescent="0.3">
      <c r="A327" s="30" t="s">
        <v>681</v>
      </c>
      <c r="B327" s="31" t="s">
        <v>682</v>
      </c>
      <c r="C327" s="32" t="s">
        <v>45</v>
      </c>
      <c r="D327" s="24">
        <v>3</v>
      </c>
      <c r="E327" s="24">
        <v>11</v>
      </c>
      <c r="F327" s="26">
        <f t="shared" si="4"/>
        <v>33</v>
      </c>
      <c r="G327" s="27">
        <v>0</v>
      </c>
      <c r="H327" s="24">
        <v>33</v>
      </c>
      <c r="I327" s="24">
        <v>0</v>
      </c>
      <c r="J327" s="25">
        <v>0</v>
      </c>
      <c r="K327" s="22">
        <v>33</v>
      </c>
      <c r="L327" s="1">
        <v>33</v>
      </c>
    </row>
    <row r="328" spans="1:12" x14ac:dyDescent="0.3">
      <c r="A328" s="30" t="s">
        <v>683</v>
      </c>
      <c r="B328" s="31" t="s">
        <v>684</v>
      </c>
      <c r="C328" s="32" t="s">
        <v>128</v>
      </c>
      <c r="D328" s="24">
        <v>10</v>
      </c>
      <c r="E328" s="24">
        <v>35.42</v>
      </c>
      <c r="F328" s="26">
        <f t="shared" si="4"/>
        <v>354.2</v>
      </c>
      <c r="G328" s="27">
        <v>0</v>
      </c>
      <c r="H328" s="24">
        <v>0</v>
      </c>
      <c r="I328" s="24">
        <v>354.2</v>
      </c>
      <c r="J328" s="25">
        <v>0</v>
      </c>
      <c r="K328" s="22">
        <v>354.2</v>
      </c>
      <c r="L328" s="1">
        <v>354.2</v>
      </c>
    </row>
    <row r="329" spans="1:12" x14ac:dyDescent="0.3">
      <c r="A329" s="30" t="s">
        <v>685</v>
      </c>
      <c r="B329" s="31" t="s">
        <v>686</v>
      </c>
      <c r="C329" s="32" t="s">
        <v>128</v>
      </c>
      <c r="D329" s="24">
        <v>7</v>
      </c>
      <c r="E329" s="24">
        <v>25.62</v>
      </c>
      <c r="F329" s="26">
        <f t="shared" si="4"/>
        <v>179.34</v>
      </c>
      <c r="G329" s="27">
        <v>0</v>
      </c>
      <c r="H329" s="24">
        <v>0</v>
      </c>
      <c r="I329" s="24">
        <v>179.34</v>
      </c>
      <c r="J329" s="25">
        <v>0</v>
      </c>
      <c r="K329" s="22">
        <v>179.34</v>
      </c>
      <c r="L329" s="1">
        <v>179.34</v>
      </c>
    </row>
    <row r="330" spans="1:12" x14ac:dyDescent="0.3">
      <c r="A330" s="30" t="s">
        <v>687</v>
      </c>
      <c r="B330" s="31" t="s">
        <v>688</v>
      </c>
      <c r="C330" s="32" t="s">
        <v>128</v>
      </c>
      <c r="D330" s="24">
        <v>16</v>
      </c>
      <c r="E330" s="24">
        <v>13.99</v>
      </c>
      <c r="F330" s="26">
        <f t="shared" si="4"/>
        <v>223.84</v>
      </c>
      <c r="G330" s="27">
        <v>27.98</v>
      </c>
      <c r="H330" s="24">
        <v>0</v>
      </c>
      <c r="I330" s="24">
        <v>195.86</v>
      </c>
      <c r="J330" s="25">
        <v>0</v>
      </c>
      <c r="K330" s="22">
        <v>223.84</v>
      </c>
      <c r="L330" s="1">
        <v>223.84</v>
      </c>
    </row>
    <row r="331" spans="1:12" x14ac:dyDescent="0.3">
      <c r="A331" s="30" t="s">
        <v>689</v>
      </c>
      <c r="B331" s="31" t="s">
        <v>690</v>
      </c>
      <c r="C331" s="32" t="s">
        <v>45</v>
      </c>
      <c r="D331" s="24">
        <v>65</v>
      </c>
      <c r="E331" s="24">
        <v>5.72</v>
      </c>
      <c r="F331" s="26">
        <f t="shared" si="4"/>
        <v>371.8</v>
      </c>
      <c r="G331" s="27">
        <v>97.24</v>
      </c>
      <c r="H331" s="24">
        <v>274.56</v>
      </c>
      <c r="I331" s="24">
        <v>0</v>
      </c>
      <c r="J331" s="25">
        <v>0</v>
      </c>
      <c r="K331" s="22">
        <v>371.8</v>
      </c>
      <c r="L331" s="1">
        <v>371.8</v>
      </c>
    </row>
    <row r="332" spans="1:12" x14ac:dyDescent="0.3">
      <c r="A332" s="30" t="s">
        <v>691</v>
      </c>
      <c r="B332" s="31" t="s">
        <v>692</v>
      </c>
      <c r="C332" s="32" t="s">
        <v>45</v>
      </c>
      <c r="D332" s="24">
        <v>35.61</v>
      </c>
      <c r="E332" s="24">
        <v>1.21</v>
      </c>
      <c r="F332" s="26">
        <f t="shared" si="4"/>
        <v>43.09</v>
      </c>
      <c r="G332" s="27">
        <v>0</v>
      </c>
      <c r="H332" s="24">
        <v>43.09</v>
      </c>
      <c r="I332" s="24">
        <v>0</v>
      </c>
      <c r="J332" s="25">
        <v>0</v>
      </c>
      <c r="K332" s="22">
        <v>43.09</v>
      </c>
      <c r="L332" s="1">
        <v>43.09</v>
      </c>
    </row>
    <row r="333" spans="1:12" x14ac:dyDescent="0.3">
      <c r="A333" s="30" t="s">
        <v>693</v>
      </c>
      <c r="B333" s="31" t="s">
        <v>694</v>
      </c>
      <c r="C333" s="32" t="s">
        <v>45</v>
      </c>
      <c r="D333" s="24">
        <v>37.159999999999997</v>
      </c>
      <c r="E333" s="24">
        <v>1.54</v>
      </c>
      <c r="F333" s="26">
        <f t="shared" ref="F333:F396" si="5">+ROUND(D333*E333,2)</f>
        <v>57.23</v>
      </c>
      <c r="G333" s="27">
        <v>27.25</v>
      </c>
      <c r="H333" s="24">
        <v>29.98</v>
      </c>
      <c r="I333" s="24">
        <v>0</v>
      </c>
      <c r="J333" s="25">
        <v>0</v>
      </c>
      <c r="K333" s="22">
        <v>57.23</v>
      </c>
      <c r="L333" s="1">
        <v>57.23</v>
      </c>
    </row>
    <row r="334" spans="1:12" x14ac:dyDescent="0.3">
      <c r="A334" s="30" t="s">
        <v>695</v>
      </c>
      <c r="B334" s="31" t="s">
        <v>696</v>
      </c>
      <c r="C334" s="32" t="s">
        <v>45</v>
      </c>
      <c r="D334" s="24">
        <v>9.43</v>
      </c>
      <c r="E334" s="24">
        <v>1.76</v>
      </c>
      <c r="F334" s="26">
        <f t="shared" si="5"/>
        <v>16.600000000000001</v>
      </c>
      <c r="G334" s="27">
        <v>0</v>
      </c>
      <c r="H334" s="24">
        <v>16.600000000000001</v>
      </c>
      <c r="I334" s="24">
        <v>0</v>
      </c>
      <c r="J334" s="25">
        <v>0</v>
      </c>
      <c r="K334" s="22">
        <v>16.600000000000001</v>
      </c>
      <c r="L334" s="1">
        <v>16.600000000000001</v>
      </c>
    </row>
    <row r="335" spans="1:12" x14ac:dyDescent="0.3">
      <c r="A335" s="30" t="s">
        <v>697</v>
      </c>
      <c r="B335" s="31" t="s">
        <v>698</v>
      </c>
      <c r="C335" s="32" t="s">
        <v>128</v>
      </c>
      <c r="D335" s="24">
        <v>4</v>
      </c>
      <c r="E335" s="24">
        <v>13.97</v>
      </c>
      <c r="F335" s="26">
        <f t="shared" si="5"/>
        <v>55.88</v>
      </c>
      <c r="G335" s="27">
        <v>0</v>
      </c>
      <c r="H335" s="24">
        <v>0</v>
      </c>
      <c r="I335" s="24">
        <v>0</v>
      </c>
      <c r="J335" s="25">
        <v>55.88</v>
      </c>
      <c r="K335" s="22">
        <v>55.88</v>
      </c>
      <c r="L335" s="1">
        <v>55.88</v>
      </c>
    </row>
    <row r="336" spans="1:12" x14ac:dyDescent="0.3">
      <c r="A336" s="30" t="s">
        <v>699</v>
      </c>
      <c r="B336" s="31" t="s">
        <v>700</v>
      </c>
      <c r="C336" s="32" t="s">
        <v>128</v>
      </c>
      <c r="D336" s="24">
        <v>2</v>
      </c>
      <c r="E336" s="24">
        <v>11.22</v>
      </c>
      <c r="F336" s="26">
        <f t="shared" si="5"/>
        <v>22.44</v>
      </c>
      <c r="G336" s="27">
        <v>0</v>
      </c>
      <c r="H336" s="24">
        <v>22.44</v>
      </c>
      <c r="I336" s="24">
        <v>0</v>
      </c>
      <c r="J336" s="25">
        <v>0</v>
      </c>
      <c r="K336" s="22">
        <v>22.44</v>
      </c>
      <c r="L336" s="1">
        <v>22.44</v>
      </c>
    </row>
    <row r="337" spans="1:12" x14ac:dyDescent="0.3">
      <c r="A337" s="30" t="s">
        <v>701</v>
      </c>
      <c r="B337" s="31" t="s">
        <v>702</v>
      </c>
      <c r="C337" s="32" t="s">
        <v>128</v>
      </c>
      <c r="D337" s="24">
        <v>1</v>
      </c>
      <c r="E337" s="24">
        <v>23.32</v>
      </c>
      <c r="F337" s="26">
        <f t="shared" si="5"/>
        <v>23.32</v>
      </c>
      <c r="G337" s="27">
        <v>0</v>
      </c>
      <c r="H337" s="24">
        <v>0</v>
      </c>
      <c r="I337" s="24">
        <v>23.32</v>
      </c>
      <c r="J337" s="25">
        <v>0</v>
      </c>
      <c r="K337" s="22">
        <v>23.32</v>
      </c>
      <c r="L337" s="1">
        <v>23.32</v>
      </c>
    </row>
    <row r="338" spans="1:12" x14ac:dyDescent="0.3">
      <c r="A338" s="30" t="s">
        <v>703</v>
      </c>
      <c r="B338" s="31" t="s">
        <v>704</v>
      </c>
      <c r="C338" s="32" t="s">
        <v>128</v>
      </c>
      <c r="D338" s="24">
        <v>3</v>
      </c>
      <c r="E338" s="24">
        <v>20.52</v>
      </c>
      <c r="F338" s="26">
        <f t="shared" si="5"/>
        <v>61.56</v>
      </c>
      <c r="G338" s="27">
        <v>0</v>
      </c>
      <c r="H338" s="24">
        <v>0</v>
      </c>
      <c r="I338" s="24">
        <v>61.56</v>
      </c>
      <c r="J338" s="25">
        <v>0</v>
      </c>
      <c r="K338" s="22">
        <v>61.56</v>
      </c>
      <c r="L338" s="1">
        <v>61.56</v>
      </c>
    </row>
    <row r="339" spans="1:12" x14ac:dyDescent="0.3">
      <c r="A339" s="30" t="s">
        <v>705</v>
      </c>
      <c r="B339" s="31" t="s">
        <v>706</v>
      </c>
      <c r="C339" s="32" t="s">
        <v>128</v>
      </c>
      <c r="D339" s="24">
        <v>4.2</v>
      </c>
      <c r="E339" s="24">
        <v>9.35</v>
      </c>
      <c r="F339" s="26">
        <f t="shared" si="5"/>
        <v>39.270000000000003</v>
      </c>
      <c r="G339" s="27">
        <v>0</v>
      </c>
      <c r="H339" s="24">
        <v>39.270000000000003</v>
      </c>
      <c r="I339" s="24">
        <v>0</v>
      </c>
      <c r="J339" s="25">
        <v>0</v>
      </c>
      <c r="K339" s="22">
        <v>39.270000000000003</v>
      </c>
      <c r="L339" s="1">
        <v>39.270000000000003</v>
      </c>
    </row>
    <row r="340" spans="1:12" x14ac:dyDescent="0.3">
      <c r="A340" s="30" t="s">
        <v>707</v>
      </c>
      <c r="B340" s="31" t="s">
        <v>708</v>
      </c>
      <c r="C340" s="32" t="s">
        <v>128</v>
      </c>
      <c r="D340" s="24">
        <v>2</v>
      </c>
      <c r="E340" s="24">
        <v>24.31</v>
      </c>
      <c r="F340" s="26">
        <f t="shared" si="5"/>
        <v>48.62</v>
      </c>
      <c r="G340" s="27">
        <v>0</v>
      </c>
      <c r="H340" s="24">
        <v>48.62</v>
      </c>
      <c r="I340" s="24">
        <v>0</v>
      </c>
      <c r="J340" s="25">
        <v>0</v>
      </c>
      <c r="K340" s="22">
        <v>48.62</v>
      </c>
      <c r="L340" s="1">
        <v>48.62</v>
      </c>
    </row>
    <row r="341" spans="1:12" x14ac:dyDescent="0.3">
      <c r="A341" s="30" t="s">
        <v>709</v>
      </c>
      <c r="B341" s="31" t="s">
        <v>710</v>
      </c>
      <c r="C341" s="32" t="s">
        <v>32</v>
      </c>
      <c r="D341" s="24">
        <v>1</v>
      </c>
      <c r="E341" s="24">
        <v>22</v>
      </c>
      <c r="F341" s="26">
        <f t="shared" si="5"/>
        <v>22</v>
      </c>
      <c r="G341" s="27">
        <v>0</v>
      </c>
      <c r="H341" s="24">
        <v>0</v>
      </c>
      <c r="I341" s="24">
        <v>0</v>
      </c>
      <c r="J341" s="25">
        <v>22</v>
      </c>
      <c r="K341" s="22">
        <v>22</v>
      </c>
      <c r="L341" s="1">
        <v>22</v>
      </c>
    </row>
    <row r="342" spans="1:12" x14ac:dyDescent="0.3">
      <c r="A342" s="30" t="s">
        <v>711</v>
      </c>
      <c r="B342" s="31" t="s">
        <v>712</v>
      </c>
      <c r="C342" s="32" t="s">
        <v>45</v>
      </c>
      <c r="D342" s="24">
        <v>1</v>
      </c>
      <c r="E342" s="24">
        <v>18.649999999999999</v>
      </c>
      <c r="F342" s="26">
        <f t="shared" si="5"/>
        <v>18.649999999999999</v>
      </c>
      <c r="G342" s="27">
        <v>0</v>
      </c>
      <c r="H342" s="24">
        <v>0</v>
      </c>
      <c r="I342" s="24">
        <v>18.649999999999999</v>
      </c>
      <c r="J342" s="25">
        <v>0</v>
      </c>
      <c r="K342" s="22">
        <v>18.649999999999999</v>
      </c>
      <c r="L342" s="1">
        <v>18.649999999999999</v>
      </c>
    </row>
    <row r="343" spans="1:12" x14ac:dyDescent="0.3">
      <c r="A343" s="30" t="s">
        <v>713</v>
      </c>
      <c r="B343" s="31" t="s">
        <v>714</v>
      </c>
      <c r="C343" s="32" t="s">
        <v>128</v>
      </c>
      <c r="D343" s="24">
        <v>4</v>
      </c>
      <c r="E343" s="24">
        <v>23.32</v>
      </c>
      <c r="F343" s="26">
        <f t="shared" si="5"/>
        <v>93.28</v>
      </c>
      <c r="G343" s="27">
        <v>0</v>
      </c>
      <c r="H343" s="24">
        <v>0</v>
      </c>
      <c r="I343" s="24">
        <v>93.28</v>
      </c>
      <c r="J343" s="25">
        <v>0</v>
      </c>
      <c r="K343" s="22">
        <v>93.28</v>
      </c>
      <c r="L343" s="1">
        <v>93.28</v>
      </c>
    </row>
    <row r="344" spans="1:12" x14ac:dyDescent="0.3">
      <c r="A344" s="30" t="s">
        <v>715</v>
      </c>
      <c r="B344" s="31" t="s">
        <v>716</v>
      </c>
      <c r="C344" s="32" t="s">
        <v>128</v>
      </c>
      <c r="D344" s="24">
        <v>7</v>
      </c>
      <c r="E344" s="24">
        <v>29.83</v>
      </c>
      <c r="F344" s="26">
        <f t="shared" si="5"/>
        <v>208.81</v>
      </c>
      <c r="G344" s="27">
        <v>0</v>
      </c>
      <c r="H344" s="24">
        <v>0</v>
      </c>
      <c r="I344" s="24">
        <v>208.81</v>
      </c>
      <c r="J344" s="25">
        <v>0</v>
      </c>
      <c r="K344" s="22">
        <v>208.81</v>
      </c>
      <c r="L344" s="1">
        <v>208.81</v>
      </c>
    </row>
    <row r="345" spans="1:12" x14ac:dyDescent="0.3">
      <c r="A345" s="30" t="s">
        <v>717</v>
      </c>
      <c r="B345" s="31" t="s">
        <v>718</v>
      </c>
      <c r="C345" s="32" t="s">
        <v>128</v>
      </c>
      <c r="D345" s="24">
        <v>10</v>
      </c>
      <c r="E345" s="24">
        <v>11.22</v>
      </c>
      <c r="F345" s="26">
        <f t="shared" si="5"/>
        <v>112.2</v>
      </c>
      <c r="G345" s="27">
        <v>22.44</v>
      </c>
      <c r="H345" s="24">
        <v>0</v>
      </c>
      <c r="I345" s="24">
        <v>89.76</v>
      </c>
      <c r="J345" s="25">
        <v>0</v>
      </c>
      <c r="K345" s="22">
        <v>112.2</v>
      </c>
      <c r="L345" s="1">
        <v>112.2</v>
      </c>
    </row>
    <row r="346" spans="1:12" x14ac:dyDescent="0.3">
      <c r="A346" s="30" t="s">
        <v>719</v>
      </c>
      <c r="B346" s="31" t="s">
        <v>720</v>
      </c>
      <c r="C346" s="32" t="s">
        <v>45</v>
      </c>
      <c r="D346" s="24">
        <v>2</v>
      </c>
      <c r="E346" s="24">
        <v>39.159999999999997</v>
      </c>
      <c r="F346" s="26">
        <f t="shared" si="5"/>
        <v>78.319999999999993</v>
      </c>
      <c r="G346" s="27">
        <v>0</v>
      </c>
      <c r="H346" s="24">
        <v>78.319999999999993</v>
      </c>
      <c r="I346" s="24">
        <v>0</v>
      </c>
      <c r="J346" s="25">
        <v>0</v>
      </c>
      <c r="K346" s="22">
        <v>78.319999999999993</v>
      </c>
      <c r="L346" s="1">
        <v>78.319999999999993</v>
      </c>
    </row>
    <row r="347" spans="1:12" x14ac:dyDescent="0.3">
      <c r="A347" s="30" t="s">
        <v>721</v>
      </c>
      <c r="B347" s="31" t="s">
        <v>722</v>
      </c>
      <c r="C347" s="32" t="s">
        <v>128</v>
      </c>
      <c r="D347" s="24">
        <v>3.86</v>
      </c>
      <c r="E347" s="24">
        <v>60.61</v>
      </c>
      <c r="F347" s="26">
        <f t="shared" si="5"/>
        <v>233.95</v>
      </c>
      <c r="G347" s="27">
        <v>0</v>
      </c>
      <c r="H347" s="24">
        <v>233.95</v>
      </c>
      <c r="I347" s="24">
        <v>0</v>
      </c>
      <c r="J347" s="25">
        <v>0</v>
      </c>
      <c r="K347" s="22">
        <v>233.95</v>
      </c>
      <c r="L347" s="1">
        <v>233.95</v>
      </c>
    </row>
    <row r="348" spans="1:12" x14ac:dyDescent="0.3">
      <c r="A348" s="30" t="s">
        <v>723</v>
      </c>
      <c r="B348" s="31" t="s">
        <v>724</v>
      </c>
      <c r="C348" s="32" t="s">
        <v>45</v>
      </c>
      <c r="D348" s="24">
        <v>15</v>
      </c>
      <c r="E348" s="24">
        <v>17.8</v>
      </c>
      <c r="F348" s="26">
        <f t="shared" si="5"/>
        <v>267</v>
      </c>
      <c r="G348" s="27">
        <v>0</v>
      </c>
      <c r="H348" s="24">
        <v>267</v>
      </c>
      <c r="I348" s="24">
        <v>0</v>
      </c>
      <c r="J348" s="25">
        <v>0</v>
      </c>
      <c r="K348" s="22">
        <v>267</v>
      </c>
      <c r="L348" s="1">
        <v>267</v>
      </c>
    </row>
    <row r="349" spans="1:12" x14ac:dyDescent="0.3">
      <c r="A349" s="30" t="s">
        <v>725</v>
      </c>
      <c r="B349" s="31" t="s">
        <v>726</v>
      </c>
      <c r="C349" s="32" t="s">
        <v>45</v>
      </c>
      <c r="D349" s="24">
        <v>19.29</v>
      </c>
      <c r="E349" s="24">
        <v>10.25</v>
      </c>
      <c r="F349" s="26">
        <f t="shared" si="5"/>
        <v>197.72</v>
      </c>
      <c r="G349" s="27">
        <v>0</v>
      </c>
      <c r="H349" s="24">
        <v>197.72</v>
      </c>
      <c r="I349" s="24">
        <v>0</v>
      </c>
      <c r="J349" s="25">
        <v>0</v>
      </c>
      <c r="K349" s="22">
        <v>197.72</v>
      </c>
      <c r="L349" s="1">
        <v>197.72</v>
      </c>
    </row>
    <row r="350" spans="1:12" x14ac:dyDescent="0.3">
      <c r="A350" s="30" t="s">
        <v>727</v>
      </c>
      <c r="B350" s="31" t="s">
        <v>728</v>
      </c>
      <c r="C350" s="32" t="s">
        <v>45</v>
      </c>
      <c r="D350" s="24">
        <v>25.99</v>
      </c>
      <c r="E350" s="24">
        <v>12.17</v>
      </c>
      <c r="F350" s="26">
        <f t="shared" si="5"/>
        <v>316.3</v>
      </c>
      <c r="G350" s="27">
        <v>150.61000000000001</v>
      </c>
      <c r="H350" s="24">
        <v>165.69</v>
      </c>
      <c r="I350" s="24">
        <v>0</v>
      </c>
      <c r="J350" s="25">
        <v>0</v>
      </c>
      <c r="K350" s="22">
        <v>316.3</v>
      </c>
      <c r="L350" s="1">
        <v>316.3</v>
      </c>
    </row>
    <row r="351" spans="1:12" x14ac:dyDescent="0.3">
      <c r="A351" s="30" t="s">
        <v>729</v>
      </c>
      <c r="B351" s="31" t="s">
        <v>730</v>
      </c>
      <c r="C351" s="32" t="s">
        <v>45</v>
      </c>
      <c r="D351" s="24">
        <v>6.6</v>
      </c>
      <c r="E351" s="24">
        <v>15.25</v>
      </c>
      <c r="F351" s="26">
        <f t="shared" si="5"/>
        <v>100.65</v>
      </c>
      <c r="G351" s="27">
        <v>0</v>
      </c>
      <c r="H351" s="24">
        <v>100.65</v>
      </c>
      <c r="I351" s="24">
        <v>0</v>
      </c>
      <c r="J351" s="25">
        <v>0</v>
      </c>
      <c r="K351" s="22">
        <v>100.65</v>
      </c>
      <c r="L351" s="1">
        <v>100.65</v>
      </c>
    </row>
    <row r="352" spans="1:12" x14ac:dyDescent="0.3">
      <c r="A352" s="30" t="s">
        <v>731</v>
      </c>
      <c r="B352" s="31" t="s">
        <v>732</v>
      </c>
      <c r="C352" s="32" t="s">
        <v>45</v>
      </c>
      <c r="D352" s="24">
        <v>81</v>
      </c>
      <c r="E352" s="24">
        <v>12.17</v>
      </c>
      <c r="F352" s="26">
        <f t="shared" si="5"/>
        <v>985.77</v>
      </c>
      <c r="G352" s="27">
        <v>0</v>
      </c>
      <c r="H352" s="24">
        <v>985.77</v>
      </c>
      <c r="I352" s="24">
        <v>0</v>
      </c>
      <c r="J352" s="25">
        <v>0</v>
      </c>
      <c r="K352" s="22">
        <v>985.77</v>
      </c>
      <c r="L352" s="1">
        <v>985.77</v>
      </c>
    </row>
    <row r="353" spans="1:12" x14ac:dyDescent="0.3">
      <c r="A353" s="30" t="s">
        <v>733</v>
      </c>
      <c r="B353" s="31" t="s">
        <v>734</v>
      </c>
      <c r="C353" s="32" t="s">
        <v>123</v>
      </c>
      <c r="D353" s="24">
        <v>29</v>
      </c>
      <c r="E353" s="24">
        <v>9.7899999999999991</v>
      </c>
      <c r="F353" s="26">
        <f t="shared" si="5"/>
        <v>283.91000000000003</v>
      </c>
      <c r="G353" s="27">
        <v>166.43</v>
      </c>
      <c r="H353" s="24">
        <v>117.48</v>
      </c>
      <c r="I353" s="24">
        <v>0</v>
      </c>
      <c r="J353" s="25">
        <v>0</v>
      </c>
      <c r="K353" s="22">
        <v>283.91000000000003</v>
      </c>
      <c r="L353" s="1">
        <v>283.91000000000003</v>
      </c>
    </row>
    <row r="354" spans="1:12" x14ac:dyDescent="0.3">
      <c r="A354" s="30" t="s">
        <v>735</v>
      </c>
      <c r="B354" s="31" t="s">
        <v>736</v>
      </c>
      <c r="C354" s="32" t="s">
        <v>123</v>
      </c>
      <c r="D354" s="24">
        <v>27.29</v>
      </c>
      <c r="E354" s="24">
        <v>47.19</v>
      </c>
      <c r="F354" s="26">
        <f t="shared" si="5"/>
        <v>1287.82</v>
      </c>
      <c r="G354" s="27">
        <v>0</v>
      </c>
      <c r="H354" s="24">
        <v>0</v>
      </c>
      <c r="I354" s="24">
        <v>1287.82</v>
      </c>
      <c r="J354" s="25">
        <v>0</v>
      </c>
      <c r="K354" s="22">
        <v>1287.82</v>
      </c>
      <c r="L354" s="1">
        <v>1287.82</v>
      </c>
    </row>
    <row r="355" spans="1:12" x14ac:dyDescent="0.3">
      <c r="A355" s="30" t="s">
        <v>737</v>
      </c>
      <c r="B355" s="31" t="s">
        <v>738</v>
      </c>
      <c r="C355" s="32" t="s">
        <v>123</v>
      </c>
      <c r="D355" s="24">
        <v>11.36</v>
      </c>
      <c r="E355" s="24">
        <v>41.95</v>
      </c>
      <c r="F355" s="26">
        <f t="shared" si="5"/>
        <v>476.55</v>
      </c>
      <c r="G355" s="27">
        <v>0</v>
      </c>
      <c r="H355" s="24">
        <v>0</v>
      </c>
      <c r="I355" s="24">
        <v>476.55</v>
      </c>
      <c r="J355" s="25">
        <v>0</v>
      </c>
      <c r="K355" s="22">
        <v>476.55</v>
      </c>
      <c r="L355" s="1">
        <v>476.55</v>
      </c>
    </row>
    <row r="356" spans="1:12" x14ac:dyDescent="0.3">
      <c r="A356" s="30" t="s">
        <v>739</v>
      </c>
      <c r="B356" s="31" t="s">
        <v>740</v>
      </c>
      <c r="C356" s="32" t="s">
        <v>123</v>
      </c>
      <c r="D356" s="24">
        <v>9.8699999999999992</v>
      </c>
      <c r="E356" s="24">
        <v>33.56</v>
      </c>
      <c r="F356" s="26">
        <f t="shared" si="5"/>
        <v>331.24</v>
      </c>
      <c r="G356" s="27">
        <v>68.459999999999994</v>
      </c>
      <c r="H356" s="24">
        <v>68.459999999999994</v>
      </c>
      <c r="I356" s="24">
        <v>194.32</v>
      </c>
      <c r="J356" s="25">
        <v>0</v>
      </c>
      <c r="K356" s="22">
        <v>331.24</v>
      </c>
      <c r="L356" s="1">
        <v>331.24</v>
      </c>
    </row>
    <row r="357" spans="1:12" x14ac:dyDescent="0.3">
      <c r="A357" s="30" t="s">
        <v>741</v>
      </c>
      <c r="B357" s="31" t="s">
        <v>742</v>
      </c>
      <c r="C357" s="32" t="s">
        <v>128</v>
      </c>
      <c r="D357" s="24">
        <v>16</v>
      </c>
      <c r="E357" s="24">
        <v>4.66</v>
      </c>
      <c r="F357" s="26">
        <f t="shared" si="5"/>
        <v>74.56</v>
      </c>
      <c r="G357" s="27">
        <v>0</v>
      </c>
      <c r="H357" s="24">
        <v>74.56</v>
      </c>
      <c r="I357" s="24">
        <v>0</v>
      </c>
      <c r="J357" s="25">
        <v>0</v>
      </c>
      <c r="K357" s="22">
        <v>74.56</v>
      </c>
      <c r="L357" s="1">
        <v>74.56</v>
      </c>
    </row>
    <row r="358" spans="1:12" x14ac:dyDescent="0.3">
      <c r="A358" s="30" t="s">
        <v>743</v>
      </c>
      <c r="B358" s="31" t="s">
        <v>744</v>
      </c>
      <c r="C358" s="32" t="s">
        <v>123</v>
      </c>
      <c r="D358" s="24">
        <v>1.51</v>
      </c>
      <c r="E358" s="24">
        <v>14.3</v>
      </c>
      <c r="F358" s="26">
        <f t="shared" si="5"/>
        <v>21.59</v>
      </c>
      <c r="G358" s="27">
        <v>21.59</v>
      </c>
      <c r="H358" s="24">
        <v>0</v>
      </c>
      <c r="I358" s="24">
        <v>0</v>
      </c>
      <c r="J358" s="25">
        <v>0</v>
      </c>
      <c r="K358" s="22">
        <v>21.59</v>
      </c>
      <c r="L358" s="1">
        <v>21.59</v>
      </c>
    </row>
    <row r="359" spans="1:12" x14ac:dyDescent="0.3">
      <c r="A359" s="30" t="s">
        <v>745</v>
      </c>
      <c r="B359" s="31" t="s">
        <v>746</v>
      </c>
      <c r="C359" s="32" t="s">
        <v>128</v>
      </c>
      <c r="D359" s="24">
        <v>10.36</v>
      </c>
      <c r="E359" s="24">
        <v>25.19</v>
      </c>
      <c r="F359" s="26">
        <f t="shared" si="5"/>
        <v>260.97000000000003</v>
      </c>
      <c r="G359" s="27">
        <v>0</v>
      </c>
      <c r="H359" s="24">
        <v>260.97000000000003</v>
      </c>
      <c r="I359" s="24">
        <v>0</v>
      </c>
      <c r="J359" s="25">
        <v>0</v>
      </c>
      <c r="K359" s="22">
        <v>260.97000000000003</v>
      </c>
      <c r="L359" s="1">
        <v>260.97000000000003</v>
      </c>
    </row>
    <row r="360" spans="1:12" x14ac:dyDescent="0.3">
      <c r="A360" s="30" t="s">
        <v>747</v>
      </c>
      <c r="B360" s="31" t="s">
        <v>748</v>
      </c>
      <c r="C360" s="32" t="s">
        <v>128</v>
      </c>
      <c r="D360" s="24">
        <v>2</v>
      </c>
      <c r="E360" s="24">
        <v>48.51</v>
      </c>
      <c r="F360" s="26">
        <f t="shared" si="5"/>
        <v>97.02</v>
      </c>
      <c r="G360" s="27">
        <v>0</v>
      </c>
      <c r="H360" s="24">
        <v>97.02</v>
      </c>
      <c r="I360" s="24">
        <v>0</v>
      </c>
      <c r="J360" s="25">
        <v>0</v>
      </c>
      <c r="K360" s="22">
        <v>97.02</v>
      </c>
      <c r="L360" s="1">
        <v>97.02</v>
      </c>
    </row>
    <row r="361" spans="1:12" x14ac:dyDescent="0.3">
      <c r="A361" s="30" t="s">
        <v>749</v>
      </c>
      <c r="B361" s="31" t="s">
        <v>750</v>
      </c>
      <c r="C361" s="32" t="s">
        <v>217</v>
      </c>
      <c r="D361" s="24">
        <v>28.86</v>
      </c>
      <c r="E361" s="24">
        <v>8.93</v>
      </c>
      <c r="F361" s="26">
        <f t="shared" si="5"/>
        <v>257.72000000000003</v>
      </c>
      <c r="G361" s="27">
        <v>0</v>
      </c>
      <c r="H361" s="24">
        <v>171.81</v>
      </c>
      <c r="I361" s="24">
        <v>85.91</v>
      </c>
      <c r="J361" s="25">
        <v>0</v>
      </c>
      <c r="K361" s="22">
        <v>257.72000000000003</v>
      </c>
      <c r="L361" s="1">
        <v>257.72000000000003</v>
      </c>
    </row>
    <row r="362" spans="1:12" x14ac:dyDescent="0.3">
      <c r="A362" s="30" t="s">
        <v>751</v>
      </c>
      <c r="B362" s="31" t="s">
        <v>752</v>
      </c>
      <c r="C362" s="32" t="s">
        <v>217</v>
      </c>
      <c r="D362" s="24">
        <v>21.41</v>
      </c>
      <c r="E362" s="24">
        <v>83.93</v>
      </c>
      <c r="F362" s="26">
        <f t="shared" si="5"/>
        <v>1796.94</v>
      </c>
      <c r="G362" s="27">
        <v>0</v>
      </c>
      <c r="H362" s="24">
        <v>1692.67</v>
      </c>
      <c r="I362" s="24">
        <v>104.27</v>
      </c>
      <c r="J362" s="25">
        <v>0</v>
      </c>
      <c r="K362" s="22">
        <v>1796.94</v>
      </c>
      <c r="L362" s="1">
        <v>1796.94</v>
      </c>
    </row>
    <row r="363" spans="1:12" x14ac:dyDescent="0.3">
      <c r="A363" s="30" t="s">
        <v>753</v>
      </c>
      <c r="B363" s="31" t="s">
        <v>754</v>
      </c>
      <c r="C363" s="32" t="s">
        <v>45</v>
      </c>
      <c r="D363" s="24">
        <v>2.5</v>
      </c>
      <c r="E363" s="24">
        <v>41.95</v>
      </c>
      <c r="F363" s="26">
        <f t="shared" si="5"/>
        <v>104.88</v>
      </c>
      <c r="G363" s="27">
        <v>0</v>
      </c>
      <c r="H363" s="24">
        <v>104.88</v>
      </c>
      <c r="I363" s="24">
        <v>0</v>
      </c>
      <c r="J363" s="25">
        <v>0</v>
      </c>
      <c r="K363" s="22">
        <v>104.88</v>
      </c>
      <c r="L363" s="1">
        <v>104.88</v>
      </c>
    </row>
    <row r="364" spans="1:12" x14ac:dyDescent="0.3">
      <c r="A364" s="30" t="s">
        <v>755</v>
      </c>
      <c r="B364" s="31" t="s">
        <v>756</v>
      </c>
      <c r="C364" s="32" t="s">
        <v>45</v>
      </c>
      <c r="D364" s="24">
        <v>2</v>
      </c>
      <c r="E364" s="24">
        <v>29.92</v>
      </c>
      <c r="F364" s="26">
        <f t="shared" si="5"/>
        <v>59.84</v>
      </c>
      <c r="G364" s="27">
        <v>0</v>
      </c>
      <c r="H364" s="24">
        <v>0</v>
      </c>
      <c r="I364" s="24">
        <v>59.84</v>
      </c>
      <c r="J364" s="25">
        <v>0</v>
      </c>
      <c r="K364" s="22">
        <v>59.84</v>
      </c>
      <c r="L364" s="1">
        <v>59.84</v>
      </c>
    </row>
    <row r="365" spans="1:12" x14ac:dyDescent="0.3">
      <c r="A365" s="30" t="s">
        <v>757</v>
      </c>
      <c r="B365" s="31" t="s">
        <v>758</v>
      </c>
      <c r="C365" s="32" t="s">
        <v>128</v>
      </c>
      <c r="D365" s="24">
        <v>4.2</v>
      </c>
      <c r="E365" s="24">
        <v>20.57</v>
      </c>
      <c r="F365" s="26">
        <f t="shared" si="5"/>
        <v>86.39</v>
      </c>
      <c r="G365" s="27">
        <v>0</v>
      </c>
      <c r="H365" s="24">
        <v>86.39</v>
      </c>
      <c r="I365" s="24">
        <v>0</v>
      </c>
      <c r="J365" s="25">
        <v>0</v>
      </c>
      <c r="K365" s="22">
        <v>86.39</v>
      </c>
      <c r="L365" s="1">
        <v>86.39</v>
      </c>
    </row>
    <row r="366" spans="1:12" x14ac:dyDescent="0.3">
      <c r="A366" s="30" t="s">
        <v>759</v>
      </c>
      <c r="B366" s="31" t="s">
        <v>760</v>
      </c>
      <c r="C366" s="32" t="s">
        <v>128</v>
      </c>
      <c r="D366" s="24">
        <v>7.26</v>
      </c>
      <c r="E366" s="24">
        <v>51.37</v>
      </c>
      <c r="F366" s="26">
        <f t="shared" si="5"/>
        <v>372.95</v>
      </c>
      <c r="G366" s="27">
        <v>0</v>
      </c>
      <c r="H366" s="24">
        <v>372.95</v>
      </c>
      <c r="I366" s="24">
        <v>0</v>
      </c>
      <c r="J366" s="25">
        <v>0</v>
      </c>
      <c r="K366" s="22">
        <v>372.95</v>
      </c>
      <c r="L366" s="1">
        <v>372.95</v>
      </c>
    </row>
    <row r="367" spans="1:12" x14ac:dyDescent="0.3">
      <c r="A367" s="30" t="s">
        <v>761</v>
      </c>
      <c r="B367" s="31" t="s">
        <v>762</v>
      </c>
      <c r="C367" s="32" t="s">
        <v>128</v>
      </c>
      <c r="D367" s="24">
        <v>3</v>
      </c>
      <c r="E367" s="24">
        <v>13.89</v>
      </c>
      <c r="F367" s="26">
        <f t="shared" si="5"/>
        <v>41.67</v>
      </c>
      <c r="G367" s="27">
        <v>0</v>
      </c>
      <c r="H367" s="24">
        <v>0</v>
      </c>
      <c r="I367" s="24">
        <v>41.67</v>
      </c>
      <c r="J367" s="25">
        <v>0</v>
      </c>
      <c r="K367" s="22">
        <v>41.67</v>
      </c>
      <c r="L367" s="1">
        <v>41.67</v>
      </c>
    </row>
    <row r="368" spans="1:12" x14ac:dyDescent="0.3">
      <c r="A368" s="30" t="s">
        <v>763</v>
      </c>
      <c r="B368" s="31" t="s">
        <v>764</v>
      </c>
      <c r="C368" s="32" t="s">
        <v>45</v>
      </c>
      <c r="D368" s="24">
        <v>30</v>
      </c>
      <c r="E368" s="24">
        <v>1.1000000000000001</v>
      </c>
      <c r="F368" s="26">
        <f t="shared" si="5"/>
        <v>33</v>
      </c>
      <c r="G368" s="27">
        <v>0</v>
      </c>
      <c r="H368" s="24">
        <v>33</v>
      </c>
      <c r="I368" s="24">
        <v>0</v>
      </c>
      <c r="J368" s="25">
        <v>0</v>
      </c>
      <c r="K368" s="22">
        <v>33</v>
      </c>
      <c r="L368" s="1">
        <v>33</v>
      </c>
    </row>
    <row r="369" spans="1:12" x14ac:dyDescent="0.3">
      <c r="A369" s="30" t="s">
        <v>765</v>
      </c>
      <c r="B369" s="31" t="s">
        <v>766</v>
      </c>
      <c r="C369" s="32" t="s">
        <v>590</v>
      </c>
      <c r="D369" s="24">
        <v>12</v>
      </c>
      <c r="E369" s="24">
        <v>13.34</v>
      </c>
      <c r="F369" s="26">
        <f t="shared" si="5"/>
        <v>160.08000000000001</v>
      </c>
      <c r="G369" s="27">
        <v>0</v>
      </c>
      <c r="H369" s="24">
        <v>160.08000000000001</v>
      </c>
      <c r="I369" s="24">
        <v>0</v>
      </c>
      <c r="J369" s="25">
        <v>0</v>
      </c>
      <c r="K369" s="22">
        <v>160.08000000000001</v>
      </c>
      <c r="L369" s="1">
        <v>160.08000000000001</v>
      </c>
    </row>
    <row r="370" spans="1:12" x14ac:dyDescent="0.3">
      <c r="A370" s="30" t="s">
        <v>767</v>
      </c>
      <c r="B370" s="31" t="s">
        <v>768</v>
      </c>
      <c r="C370" s="32" t="s">
        <v>45</v>
      </c>
      <c r="D370" s="24">
        <v>37.200000000000003</v>
      </c>
      <c r="E370" s="24">
        <v>0.54</v>
      </c>
      <c r="F370" s="26">
        <f t="shared" si="5"/>
        <v>20.09</v>
      </c>
      <c r="G370" s="27">
        <v>0</v>
      </c>
      <c r="H370" s="24">
        <v>20.09</v>
      </c>
      <c r="I370" s="24">
        <v>0</v>
      </c>
      <c r="J370" s="25">
        <v>0</v>
      </c>
      <c r="K370" s="22">
        <v>20.09</v>
      </c>
      <c r="L370" s="1">
        <v>20.09</v>
      </c>
    </row>
    <row r="371" spans="1:12" x14ac:dyDescent="0.3">
      <c r="A371" s="30" t="s">
        <v>769</v>
      </c>
      <c r="B371" s="31" t="s">
        <v>770</v>
      </c>
      <c r="C371" s="32" t="s">
        <v>128</v>
      </c>
      <c r="D371" s="24">
        <v>8</v>
      </c>
      <c r="E371" s="24">
        <v>8.01</v>
      </c>
      <c r="F371" s="26">
        <f t="shared" si="5"/>
        <v>64.08</v>
      </c>
      <c r="G371" s="27">
        <v>0</v>
      </c>
      <c r="H371" s="24">
        <v>64.08</v>
      </c>
      <c r="I371" s="24">
        <v>0</v>
      </c>
      <c r="J371" s="25">
        <v>0</v>
      </c>
      <c r="K371" s="22">
        <v>64.08</v>
      </c>
      <c r="L371" s="1">
        <v>64.08</v>
      </c>
    </row>
    <row r="372" spans="1:12" x14ac:dyDescent="0.3">
      <c r="A372" s="30" t="s">
        <v>771</v>
      </c>
      <c r="B372" s="31" t="s">
        <v>772</v>
      </c>
      <c r="C372" s="32" t="s">
        <v>45</v>
      </c>
      <c r="D372" s="24">
        <v>1</v>
      </c>
      <c r="E372" s="24">
        <v>39.47</v>
      </c>
      <c r="F372" s="26">
        <f t="shared" si="5"/>
        <v>39.47</v>
      </c>
      <c r="G372" s="27">
        <v>0</v>
      </c>
      <c r="H372" s="24">
        <v>39.47</v>
      </c>
      <c r="I372" s="24">
        <v>0</v>
      </c>
      <c r="J372" s="25">
        <v>0</v>
      </c>
      <c r="K372" s="22">
        <v>39.47</v>
      </c>
      <c r="L372" s="1">
        <v>39.47</v>
      </c>
    </row>
    <row r="373" spans="1:12" x14ac:dyDescent="0.3">
      <c r="A373" s="30" t="s">
        <v>773</v>
      </c>
      <c r="B373" s="31" t="s">
        <v>774</v>
      </c>
      <c r="C373" s="32" t="s">
        <v>45</v>
      </c>
      <c r="D373" s="24">
        <v>2</v>
      </c>
      <c r="E373" s="24">
        <v>11.1</v>
      </c>
      <c r="F373" s="26">
        <f t="shared" si="5"/>
        <v>22.2</v>
      </c>
      <c r="G373" s="27">
        <v>0</v>
      </c>
      <c r="H373" s="24">
        <v>0</v>
      </c>
      <c r="I373" s="24">
        <v>0</v>
      </c>
      <c r="J373" s="25">
        <v>22.2</v>
      </c>
      <c r="K373" s="22">
        <v>22.2</v>
      </c>
      <c r="L373" s="1">
        <v>22.2</v>
      </c>
    </row>
    <row r="374" spans="1:12" x14ac:dyDescent="0.3">
      <c r="A374" s="30" t="s">
        <v>775</v>
      </c>
      <c r="B374" s="31" t="s">
        <v>776</v>
      </c>
      <c r="C374" s="32" t="s">
        <v>45</v>
      </c>
      <c r="D374" s="24">
        <v>25</v>
      </c>
      <c r="E374" s="24">
        <v>8.31</v>
      </c>
      <c r="F374" s="26">
        <f t="shared" si="5"/>
        <v>207.75</v>
      </c>
      <c r="G374" s="27">
        <v>0</v>
      </c>
      <c r="H374" s="24">
        <v>0</v>
      </c>
      <c r="I374" s="24">
        <v>207.75</v>
      </c>
      <c r="J374" s="25">
        <v>0</v>
      </c>
      <c r="K374" s="22">
        <v>207.75</v>
      </c>
      <c r="L374" s="1">
        <v>207.75</v>
      </c>
    </row>
    <row r="375" spans="1:12" x14ac:dyDescent="0.3">
      <c r="A375" s="30" t="s">
        <v>777</v>
      </c>
      <c r="B375" s="31" t="s">
        <v>778</v>
      </c>
      <c r="C375" s="32" t="s">
        <v>102</v>
      </c>
      <c r="D375" s="24">
        <v>3</v>
      </c>
      <c r="E375" s="24">
        <v>145</v>
      </c>
      <c r="F375" s="26">
        <f t="shared" si="5"/>
        <v>435</v>
      </c>
      <c r="G375" s="27">
        <v>0</v>
      </c>
      <c r="H375" s="24">
        <v>0</v>
      </c>
      <c r="I375" s="24">
        <v>435</v>
      </c>
      <c r="J375" s="25">
        <v>0</v>
      </c>
      <c r="K375" s="22">
        <v>435</v>
      </c>
      <c r="L375" s="1">
        <v>435</v>
      </c>
    </row>
    <row r="376" spans="1:12" x14ac:dyDescent="0.3">
      <c r="A376" s="30" t="s">
        <v>779</v>
      </c>
      <c r="B376" s="31" t="s">
        <v>780</v>
      </c>
      <c r="C376" s="32" t="s">
        <v>45</v>
      </c>
      <c r="D376" s="24">
        <v>0.46</v>
      </c>
      <c r="E376" s="24">
        <v>291.99</v>
      </c>
      <c r="F376" s="26">
        <f t="shared" si="5"/>
        <v>134.32</v>
      </c>
      <c r="G376" s="27">
        <v>0</v>
      </c>
      <c r="H376" s="24">
        <v>134.32</v>
      </c>
      <c r="I376" s="24">
        <v>0</v>
      </c>
      <c r="J376" s="25">
        <v>0</v>
      </c>
      <c r="K376" s="22">
        <v>134.32</v>
      </c>
      <c r="L376" s="1">
        <v>134.32</v>
      </c>
    </row>
    <row r="377" spans="1:12" x14ac:dyDescent="0.3">
      <c r="A377" s="23"/>
      <c r="B377" s="29" t="s">
        <v>781</v>
      </c>
      <c r="C377" s="24"/>
      <c r="D377" s="24"/>
      <c r="E377" s="24"/>
      <c r="F377" s="26">
        <f t="shared" si="5"/>
        <v>0</v>
      </c>
      <c r="G377" s="27"/>
      <c r="H377" s="24"/>
      <c r="I377" s="24"/>
      <c r="J377" s="25"/>
      <c r="K377" s="22"/>
    </row>
    <row r="378" spans="1:12" x14ac:dyDescent="0.3">
      <c r="A378" s="30" t="s">
        <v>782</v>
      </c>
      <c r="B378" s="31" t="s">
        <v>783</v>
      </c>
      <c r="C378" s="32" t="s">
        <v>784</v>
      </c>
      <c r="D378" s="24">
        <v>7.0000000000000007E-2</v>
      </c>
      <c r="E378" s="24">
        <v>84.75</v>
      </c>
      <c r="F378" s="26">
        <f t="shared" si="5"/>
        <v>5.93</v>
      </c>
      <c r="G378" s="27">
        <v>0</v>
      </c>
      <c r="H378" s="24">
        <v>0</v>
      </c>
      <c r="I378" s="24">
        <v>0</v>
      </c>
      <c r="J378" s="25">
        <v>5.93</v>
      </c>
      <c r="K378" s="22">
        <v>5.93</v>
      </c>
      <c r="L378" s="1">
        <v>5.93</v>
      </c>
    </row>
    <row r="379" spans="1:12" x14ac:dyDescent="0.3">
      <c r="A379" s="30" t="s">
        <v>785</v>
      </c>
      <c r="B379" s="31" t="s">
        <v>786</v>
      </c>
      <c r="C379" s="32" t="s">
        <v>784</v>
      </c>
      <c r="D379" s="24">
        <v>1.1399999999999999</v>
      </c>
      <c r="E379" s="24">
        <v>26.06</v>
      </c>
      <c r="F379" s="26">
        <f t="shared" si="5"/>
        <v>29.71</v>
      </c>
      <c r="G379" s="27">
        <v>0</v>
      </c>
      <c r="H379" s="24">
        <v>0</v>
      </c>
      <c r="I379" s="24">
        <v>0</v>
      </c>
      <c r="J379" s="25">
        <v>29.71</v>
      </c>
      <c r="K379" s="22">
        <v>29.71</v>
      </c>
      <c r="L379" s="1">
        <v>29.71</v>
      </c>
    </row>
    <row r="380" spans="1:12" x14ac:dyDescent="0.3">
      <c r="A380" s="30" t="s">
        <v>787</v>
      </c>
      <c r="B380" s="31" t="s">
        <v>788</v>
      </c>
      <c r="C380" s="32" t="s">
        <v>789</v>
      </c>
      <c r="D380" s="93"/>
      <c r="E380" s="93"/>
      <c r="F380" s="96">
        <v>9.4600000000000009</v>
      </c>
      <c r="G380" s="92">
        <v>0</v>
      </c>
      <c r="H380" s="93">
        <v>0</v>
      </c>
      <c r="I380" s="93">
        <v>0</v>
      </c>
      <c r="J380" s="94">
        <v>9.4600000000000009</v>
      </c>
      <c r="K380" s="95">
        <v>9.4600000000000009</v>
      </c>
      <c r="L380" s="96">
        <v>9.4600000000000009</v>
      </c>
    </row>
    <row r="381" spans="1:12" x14ac:dyDescent="0.3">
      <c r="A381" s="30" t="s">
        <v>790</v>
      </c>
      <c r="B381" s="31" t="s">
        <v>791</v>
      </c>
      <c r="C381" s="32" t="s">
        <v>789</v>
      </c>
      <c r="D381" s="93"/>
      <c r="E381" s="93"/>
      <c r="F381" s="96">
        <v>9169.18</v>
      </c>
      <c r="G381" s="92">
        <v>1549.56</v>
      </c>
      <c r="H381" s="93">
        <v>3328.04</v>
      </c>
      <c r="I381" s="93">
        <v>3395.92</v>
      </c>
      <c r="J381" s="94">
        <v>895.66</v>
      </c>
      <c r="K381" s="95">
        <v>9169.18</v>
      </c>
      <c r="L381" s="96">
        <v>9169.18</v>
      </c>
    </row>
    <row r="382" spans="1:12" x14ac:dyDescent="0.3">
      <c r="A382" s="30" t="s">
        <v>792</v>
      </c>
      <c r="B382" s="31" t="s">
        <v>793</v>
      </c>
      <c r="C382" s="32" t="s">
        <v>45</v>
      </c>
      <c r="D382" s="24">
        <v>1.59</v>
      </c>
      <c r="E382" s="24">
        <v>44</v>
      </c>
      <c r="F382" s="26">
        <f t="shared" si="5"/>
        <v>69.959999999999994</v>
      </c>
      <c r="G382" s="27">
        <v>69.959999999999994</v>
      </c>
      <c r="H382" s="24">
        <v>0</v>
      </c>
      <c r="I382" s="24">
        <v>0</v>
      </c>
      <c r="J382" s="25">
        <v>0</v>
      </c>
      <c r="K382" s="22">
        <v>69.959999999999994</v>
      </c>
      <c r="L382" s="1">
        <v>69.959999999999994</v>
      </c>
    </row>
    <row r="383" spans="1:12" x14ac:dyDescent="0.3">
      <c r="A383" s="30" t="s">
        <v>794</v>
      </c>
      <c r="B383" s="31" t="s">
        <v>795</v>
      </c>
      <c r="C383" s="32" t="s">
        <v>45</v>
      </c>
      <c r="D383" s="24">
        <v>2.4500000000000002</v>
      </c>
      <c r="E383" s="24">
        <v>81.540000000000006</v>
      </c>
      <c r="F383" s="26">
        <f t="shared" si="5"/>
        <v>199.77</v>
      </c>
      <c r="G383" s="27">
        <v>0</v>
      </c>
      <c r="H383" s="24">
        <v>0</v>
      </c>
      <c r="I383" s="24">
        <v>23.97</v>
      </c>
      <c r="J383" s="25">
        <v>175.8</v>
      </c>
      <c r="K383" s="22">
        <v>199.77</v>
      </c>
      <c r="L383" s="1">
        <v>199.77</v>
      </c>
    </row>
    <row r="384" spans="1:12" x14ac:dyDescent="0.3">
      <c r="A384" s="30" t="s">
        <v>796</v>
      </c>
      <c r="B384" s="31" t="s">
        <v>797</v>
      </c>
      <c r="C384" s="32" t="s">
        <v>784</v>
      </c>
      <c r="D384" s="24">
        <v>381.44</v>
      </c>
      <c r="E384" s="24">
        <v>11.25</v>
      </c>
      <c r="F384" s="26">
        <f t="shared" si="5"/>
        <v>4291.2</v>
      </c>
      <c r="G384" s="27">
        <v>0</v>
      </c>
      <c r="H384" s="24">
        <v>207.86</v>
      </c>
      <c r="I384" s="24">
        <v>2151.42</v>
      </c>
      <c r="J384" s="25">
        <v>1931.92</v>
      </c>
      <c r="K384" s="22">
        <v>4291.2</v>
      </c>
      <c r="L384" s="1">
        <v>4291.2</v>
      </c>
    </row>
    <row r="385" spans="1:12" x14ac:dyDescent="0.3">
      <c r="A385" s="30" t="s">
        <v>798</v>
      </c>
      <c r="B385" s="31" t="s">
        <v>799</v>
      </c>
      <c r="C385" s="32" t="s">
        <v>784</v>
      </c>
      <c r="D385" s="24">
        <v>15.44</v>
      </c>
      <c r="E385" s="24">
        <v>359.79</v>
      </c>
      <c r="F385" s="26">
        <f t="shared" si="5"/>
        <v>5555.16</v>
      </c>
      <c r="G385" s="27">
        <v>3420.77</v>
      </c>
      <c r="H385" s="24">
        <v>17.93</v>
      </c>
      <c r="I385" s="24">
        <v>0</v>
      </c>
      <c r="J385" s="25">
        <v>2116.46</v>
      </c>
      <c r="K385" s="22">
        <v>5555.16</v>
      </c>
      <c r="L385" s="1">
        <v>5555.16</v>
      </c>
    </row>
    <row r="386" spans="1:12" x14ac:dyDescent="0.3">
      <c r="A386" s="30" t="s">
        <v>800</v>
      </c>
      <c r="B386" s="31" t="s">
        <v>801</v>
      </c>
      <c r="C386" s="32" t="s">
        <v>784</v>
      </c>
      <c r="D386" s="24">
        <v>7.39</v>
      </c>
      <c r="E386" s="24">
        <v>329.82</v>
      </c>
      <c r="F386" s="26">
        <f t="shared" si="5"/>
        <v>2437.37</v>
      </c>
      <c r="G386" s="27">
        <v>2433.48</v>
      </c>
      <c r="H386" s="24">
        <v>3.89</v>
      </c>
      <c r="I386" s="24">
        <v>0</v>
      </c>
      <c r="J386" s="25">
        <v>0</v>
      </c>
      <c r="K386" s="22">
        <v>2437.37</v>
      </c>
      <c r="L386" s="1">
        <v>2437.37</v>
      </c>
    </row>
    <row r="387" spans="1:12" x14ac:dyDescent="0.3">
      <c r="A387" s="30" t="s">
        <v>802</v>
      </c>
      <c r="B387" s="31" t="s">
        <v>803</v>
      </c>
      <c r="C387" s="32" t="s">
        <v>784</v>
      </c>
      <c r="D387" s="24">
        <v>233.39</v>
      </c>
      <c r="E387" s="24">
        <v>3.24</v>
      </c>
      <c r="F387" s="26">
        <f t="shared" si="5"/>
        <v>756.18</v>
      </c>
      <c r="G387" s="27">
        <v>299.7</v>
      </c>
      <c r="H387" s="24">
        <v>327.64999999999998</v>
      </c>
      <c r="I387" s="24">
        <v>128.82999999999998</v>
      </c>
      <c r="J387" s="25">
        <v>0</v>
      </c>
      <c r="K387" s="22">
        <v>756.18</v>
      </c>
      <c r="L387" s="1">
        <v>756.18</v>
      </c>
    </row>
    <row r="388" spans="1:12" x14ac:dyDescent="0.3">
      <c r="A388" s="30" t="s">
        <v>804</v>
      </c>
      <c r="B388" s="31" t="s">
        <v>805</v>
      </c>
      <c r="C388" s="32" t="s">
        <v>806</v>
      </c>
      <c r="D388" s="24">
        <v>26.75</v>
      </c>
      <c r="E388" s="24">
        <v>42.52</v>
      </c>
      <c r="F388" s="26">
        <f t="shared" si="5"/>
        <v>1137.4100000000001</v>
      </c>
      <c r="G388" s="27">
        <v>0</v>
      </c>
      <c r="H388" s="24">
        <v>925.27</v>
      </c>
      <c r="I388" s="24">
        <v>0</v>
      </c>
      <c r="J388" s="25">
        <v>212.14</v>
      </c>
      <c r="K388" s="22">
        <v>1137.4100000000001</v>
      </c>
      <c r="L388" s="1">
        <v>1137.4100000000001</v>
      </c>
    </row>
    <row r="389" spans="1:12" x14ac:dyDescent="0.3">
      <c r="A389" s="30" t="s">
        <v>807</v>
      </c>
      <c r="B389" s="31" t="s">
        <v>808</v>
      </c>
      <c r="C389" s="32" t="s">
        <v>784</v>
      </c>
      <c r="D389" s="24">
        <v>20.46</v>
      </c>
      <c r="E389" s="24">
        <v>21.24</v>
      </c>
      <c r="F389" s="26">
        <f t="shared" si="5"/>
        <v>434.57</v>
      </c>
      <c r="G389" s="27">
        <v>0</v>
      </c>
      <c r="H389" s="24">
        <v>0</v>
      </c>
      <c r="I389" s="24">
        <v>15.45</v>
      </c>
      <c r="J389" s="25">
        <v>419.12</v>
      </c>
      <c r="K389" s="22">
        <v>434.57</v>
      </c>
      <c r="L389" s="1">
        <v>434.57</v>
      </c>
    </row>
    <row r="390" spans="1:12" x14ac:dyDescent="0.3">
      <c r="A390" s="30" t="s">
        <v>809</v>
      </c>
      <c r="B390" s="31" t="s">
        <v>810</v>
      </c>
      <c r="C390" s="32" t="s">
        <v>784</v>
      </c>
      <c r="D390" s="24">
        <v>14.1</v>
      </c>
      <c r="E390" s="24">
        <v>12.26</v>
      </c>
      <c r="F390" s="26">
        <f t="shared" si="5"/>
        <v>172.87</v>
      </c>
      <c r="G390" s="27">
        <v>0</v>
      </c>
      <c r="H390" s="24">
        <v>0</v>
      </c>
      <c r="I390" s="24">
        <v>172.87</v>
      </c>
      <c r="J390" s="25">
        <v>0</v>
      </c>
      <c r="K390" s="22">
        <v>172.87</v>
      </c>
      <c r="L390" s="1">
        <v>172.87</v>
      </c>
    </row>
    <row r="391" spans="1:12" x14ac:dyDescent="0.3">
      <c r="A391" s="30" t="s">
        <v>811</v>
      </c>
      <c r="B391" s="31" t="s">
        <v>812</v>
      </c>
      <c r="C391" s="32" t="s">
        <v>806</v>
      </c>
      <c r="D391" s="24">
        <v>0.25</v>
      </c>
      <c r="E391" s="24">
        <v>7.24</v>
      </c>
      <c r="F391" s="26">
        <f t="shared" si="5"/>
        <v>1.81</v>
      </c>
      <c r="G391" s="27">
        <v>0</v>
      </c>
      <c r="H391" s="24">
        <v>1.81</v>
      </c>
      <c r="I391" s="24">
        <v>0</v>
      </c>
      <c r="J391" s="25">
        <v>0</v>
      </c>
      <c r="K391" s="22">
        <v>1.81</v>
      </c>
      <c r="L391" s="1">
        <v>1.81</v>
      </c>
    </row>
    <row r="392" spans="1:12" x14ac:dyDescent="0.3">
      <c r="A392" s="30" t="s">
        <v>813</v>
      </c>
      <c r="B392" s="31" t="s">
        <v>814</v>
      </c>
      <c r="C392" s="32" t="s">
        <v>784</v>
      </c>
      <c r="D392" s="24">
        <v>2.41</v>
      </c>
      <c r="E392" s="24">
        <v>290</v>
      </c>
      <c r="F392" s="26">
        <f t="shared" si="5"/>
        <v>698.9</v>
      </c>
      <c r="G392" s="27">
        <v>698.9</v>
      </c>
      <c r="H392" s="24">
        <v>0</v>
      </c>
      <c r="I392" s="24">
        <v>0</v>
      </c>
      <c r="J392" s="25">
        <v>0</v>
      </c>
      <c r="K392" s="22">
        <v>698.9</v>
      </c>
      <c r="L392" s="1">
        <v>698.9</v>
      </c>
    </row>
    <row r="393" spans="1:12" x14ac:dyDescent="0.3">
      <c r="A393" s="30" t="s">
        <v>815</v>
      </c>
      <c r="B393" s="31" t="s">
        <v>816</v>
      </c>
      <c r="C393" s="32" t="s">
        <v>784</v>
      </c>
      <c r="D393" s="24">
        <v>0.6</v>
      </c>
      <c r="E393" s="24">
        <v>205.34</v>
      </c>
      <c r="F393" s="26">
        <f t="shared" si="5"/>
        <v>123.2</v>
      </c>
      <c r="G393" s="27">
        <v>123.2</v>
      </c>
      <c r="H393" s="24">
        <v>0</v>
      </c>
      <c r="I393" s="24">
        <v>0</v>
      </c>
      <c r="J393" s="25">
        <v>0</v>
      </c>
      <c r="K393" s="22">
        <v>123.2</v>
      </c>
      <c r="L393" s="1">
        <v>123.2</v>
      </c>
    </row>
    <row r="394" spans="1:12" x14ac:dyDescent="0.3">
      <c r="A394" s="30" t="s">
        <v>817</v>
      </c>
      <c r="B394" s="31" t="s">
        <v>818</v>
      </c>
      <c r="C394" s="32" t="s">
        <v>784</v>
      </c>
      <c r="D394" s="24">
        <v>9.67</v>
      </c>
      <c r="E394" s="24">
        <v>243.43</v>
      </c>
      <c r="F394" s="26">
        <f t="shared" si="5"/>
        <v>2353.9699999999998</v>
      </c>
      <c r="G394" s="27">
        <v>2353.9699999999998</v>
      </c>
      <c r="H394" s="24">
        <v>0</v>
      </c>
      <c r="I394" s="24">
        <v>0</v>
      </c>
      <c r="J394" s="25">
        <v>0</v>
      </c>
      <c r="K394" s="22">
        <v>2353.9699999999998</v>
      </c>
      <c r="L394" s="1">
        <v>2353.9699999999998</v>
      </c>
    </row>
    <row r="395" spans="1:12" x14ac:dyDescent="0.3">
      <c r="A395" s="30" t="s">
        <v>819</v>
      </c>
      <c r="B395" s="31" t="s">
        <v>820</v>
      </c>
      <c r="C395" s="32" t="s">
        <v>784</v>
      </c>
      <c r="D395" s="24">
        <v>1.1399999999999999</v>
      </c>
      <c r="E395" s="24">
        <v>208.67</v>
      </c>
      <c r="F395" s="26">
        <f t="shared" si="5"/>
        <v>237.88</v>
      </c>
      <c r="G395" s="27">
        <v>0</v>
      </c>
      <c r="H395" s="24">
        <v>2</v>
      </c>
      <c r="I395" s="24">
        <v>0</v>
      </c>
      <c r="J395" s="25">
        <v>235.88</v>
      </c>
      <c r="K395" s="22">
        <v>237.88</v>
      </c>
      <c r="L395" s="1">
        <v>237.88</v>
      </c>
    </row>
    <row r="396" spans="1:12" x14ac:dyDescent="0.3">
      <c r="A396" s="30" t="s">
        <v>821</v>
      </c>
      <c r="B396" s="31" t="s">
        <v>822</v>
      </c>
      <c r="C396" s="32" t="s">
        <v>784</v>
      </c>
      <c r="D396" s="24">
        <v>2.74</v>
      </c>
      <c r="E396" s="24">
        <v>243.43</v>
      </c>
      <c r="F396" s="26">
        <f t="shared" si="5"/>
        <v>667</v>
      </c>
      <c r="G396" s="27">
        <v>666.64</v>
      </c>
      <c r="H396" s="24">
        <v>0.36</v>
      </c>
      <c r="I396" s="24">
        <v>0</v>
      </c>
      <c r="J396" s="25">
        <v>0</v>
      </c>
      <c r="K396" s="22">
        <v>667</v>
      </c>
      <c r="L396" s="1">
        <v>667</v>
      </c>
    </row>
    <row r="397" spans="1:12" x14ac:dyDescent="0.3">
      <c r="A397" s="30" t="s">
        <v>823</v>
      </c>
      <c r="B397" s="31" t="s">
        <v>824</v>
      </c>
      <c r="C397" s="32" t="s">
        <v>784</v>
      </c>
      <c r="D397" s="24">
        <v>1.03</v>
      </c>
      <c r="E397" s="24">
        <v>5</v>
      </c>
      <c r="F397" s="26">
        <f t="shared" ref="F397:F406" si="6">+ROUND(D397*E397,2)</f>
        <v>5.15</v>
      </c>
      <c r="G397" s="27">
        <v>0</v>
      </c>
      <c r="H397" s="24">
        <v>0</v>
      </c>
      <c r="I397" s="24">
        <v>5.15</v>
      </c>
      <c r="J397" s="25">
        <v>0</v>
      </c>
      <c r="K397" s="22">
        <v>5.15</v>
      </c>
      <c r="L397" s="1">
        <v>5.15</v>
      </c>
    </row>
    <row r="398" spans="1:12" x14ac:dyDescent="0.3">
      <c r="A398" s="30" t="s">
        <v>825</v>
      </c>
      <c r="B398" s="31" t="s">
        <v>826</v>
      </c>
      <c r="C398" s="32" t="s">
        <v>784</v>
      </c>
      <c r="D398" s="24">
        <v>86.87</v>
      </c>
      <c r="E398" s="24">
        <v>12.26</v>
      </c>
      <c r="F398" s="26">
        <f t="shared" si="6"/>
        <v>1065.03</v>
      </c>
      <c r="G398" s="27">
        <v>235.51</v>
      </c>
      <c r="H398" s="24">
        <v>483.74</v>
      </c>
      <c r="I398" s="24">
        <v>345.78</v>
      </c>
      <c r="J398" s="25">
        <v>0</v>
      </c>
      <c r="K398" s="22">
        <v>1065.03</v>
      </c>
      <c r="L398" s="1">
        <v>1065.03</v>
      </c>
    </row>
    <row r="399" spans="1:12" x14ac:dyDescent="0.3">
      <c r="A399" s="30" t="s">
        <v>827</v>
      </c>
      <c r="B399" s="31" t="s">
        <v>828</v>
      </c>
      <c r="C399" s="32" t="s">
        <v>784</v>
      </c>
      <c r="D399" s="24">
        <v>5.79</v>
      </c>
      <c r="E399" s="24">
        <v>12.26</v>
      </c>
      <c r="F399" s="26">
        <f t="shared" si="6"/>
        <v>70.989999999999995</v>
      </c>
      <c r="G399" s="27">
        <v>0</v>
      </c>
      <c r="H399" s="24">
        <v>70.989999999999995</v>
      </c>
      <c r="I399" s="24">
        <v>0</v>
      </c>
      <c r="J399" s="25">
        <v>0</v>
      </c>
      <c r="K399" s="22">
        <v>70.989999999999995</v>
      </c>
      <c r="L399" s="1">
        <v>70.989999999999995</v>
      </c>
    </row>
    <row r="400" spans="1:12" x14ac:dyDescent="0.3">
      <c r="A400" s="30" t="s">
        <v>829</v>
      </c>
      <c r="B400" s="31" t="s">
        <v>830</v>
      </c>
      <c r="C400" s="32" t="s">
        <v>784</v>
      </c>
      <c r="D400" s="24">
        <v>3.18</v>
      </c>
      <c r="E400" s="24">
        <v>120.53</v>
      </c>
      <c r="F400" s="26">
        <f t="shared" si="6"/>
        <v>383.29</v>
      </c>
      <c r="G400" s="27">
        <v>0</v>
      </c>
      <c r="H400" s="24">
        <v>383.29</v>
      </c>
      <c r="I400" s="24">
        <v>0</v>
      </c>
      <c r="J400" s="25">
        <v>0</v>
      </c>
      <c r="K400" s="22">
        <v>383.29</v>
      </c>
      <c r="L400" s="1">
        <v>383.29</v>
      </c>
    </row>
    <row r="401" spans="1:12" x14ac:dyDescent="0.3">
      <c r="A401" s="30" t="s">
        <v>831</v>
      </c>
      <c r="B401" s="31" t="s">
        <v>832</v>
      </c>
      <c r="C401" s="32" t="s">
        <v>784</v>
      </c>
      <c r="D401" s="24">
        <v>7.53</v>
      </c>
      <c r="E401" s="24">
        <v>118.2</v>
      </c>
      <c r="F401" s="26">
        <f t="shared" si="6"/>
        <v>890.05</v>
      </c>
      <c r="G401" s="27">
        <v>890.05</v>
      </c>
      <c r="H401" s="24">
        <v>0</v>
      </c>
      <c r="I401" s="24">
        <v>0</v>
      </c>
      <c r="J401" s="25">
        <v>0</v>
      </c>
      <c r="K401" s="22">
        <v>890.05</v>
      </c>
      <c r="L401" s="1">
        <v>890.05</v>
      </c>
    </row>
    <row r="402" spans="1:12" x14ac:dyDescent="0.3">
      <c r="A402" s="30" t="s">
        <v>833</v>
      </c>
      <c r="B402" s="31" t="s">
        <v>834</v>
      </c>
      <c r="C402" s="32" t="s">
        <v>784</v>
      </c>
      <c r="D402" s="24">
        <v>59.94</v>
      </c>
      <c r="E402" s="24">
        <v>36.450000000000003</v>
      </c>
      <c r="F402" s="26">
        <f t="shared" si="6"/>
        <v>2184.81</v>
      </c>
      <c r="G402" s="27">
        <v>369.44</v>
      </c>
      <c r="H402" s="24">
        <v>1815.37</v>
      </c>
      <c r="I402" s="24">
        <v>0</v>
      </c>
      <c r="J402" s="25">
        <v>0</v>
      </c>
      <c r="K402" s="22">
        <v>2184.81</v>
      </c>
      <c r="L402" s="1">
        <v>2184.81</v>
      </c>
    </row>
    <row r="403" spans="1:12" x14ac:dyDescent="0.3">
      <c r="A403" s="30" t="s">
        <v>835</v>
      </c>
      <c r="B403" s="31" t="s">
        <v>836</v>
      </c>
      <c r="C403" s="32" t="s">
        <v>784</v>
      </c>
      <c r="D403" s="24">
        <v>0.28000000000000003</v>
      </c>
      <c r="E403" s="24">
        <v>9.89</v>
      </c>
      <c r="F403" s="26">
        <f t="shared" si="6"/>
        <v>2.77</v>
      </c>
      <c r="G403" s="27">
        <v>0</v>
      </c>
      <c r="H403" s="24">
        <v>0</v>
      </c>
      <c r="I403" s="24">
        <v>0</v>
      </c>
      <c r="J403" s="25">
        <v>2.77</v>
      </c>
      <c r="K403" s="22">
        <v>2.77</v>
      </c>
      <c r="L403" s="1">
        <v>2.77</v>
      </c>
    </row>
    <row r="404" spans="1:12" x14ac:dyDescent="0.3">
      <c r="A404" s="30" t="s">
        <v>837</v>
      </c>
      <c r="B404" s="31" t="s">
        <v>838</v>
      </c>
      <c r="C404" s="32" t="s">
        <v>784</v>
      </c>
      <c r="D404" s="24">
        <v>16.12</v>
      </c>
      <c r="E404" s="24">
        <v>15.51</v>
      </c>
      <c r="F404" s="26">
        <f t="shared" si="6"/>
        <v>250.02</v>
      </c>
      <c r="G404" s="27">
        <v>250.02</v>
      </c>
      <c r="H404" s="24">
        <v>0</v>
      </c>
      <c r="I404" s="24">
        <v>0</v>
      </c>
      <c r="J404" s="25">
        <v>0</v>
      </c>
      <c r="K404" s="22">
        <v>250.02</v>
      </c>
      <c r="L404" s="1">
        <v>250.02</v>
      </c>
    </row>
    <row r="405" spans="1:12" x14ac:dyDescent="0.3">
      <c r="A405" s="30" t="s">
        <v>839</v>
      </c>
      <c r="B405" s="31" t="s">
        <v>840</v>
      </c>
      <c r="C405" s="32" t="s">
        <v>806</v>
      </c>
      <c r="D405" s="24">
        <v>69.27</v>
      </c>
      <c r="E405" s="24">
        <v>6.93</v>
      </c>
      <c r="F405" s="26">
        <f t="shared" si="6"/>
        <v>480.04</v>
      </c>
      <c r="G405" s="27">
        <v>87.25</v>
      </c>
      <c r="H405" s="24">
        <v>209.41</v>
      </c>
      <c r="I405" s="24">
        <v>183.38</v>
      </c>
      <c r="J405" s="25">
        <v>0</v>
      </c>
      <c r="K405" s="22">
        <v>480.04</v>
      </c>
      <c r="L405" s="1">
        <v>480.04</v>
      </c>
    </row>
    <row r="406" spans="1:12" ht="13.2" customHeight="1" x14ac:dyDescent="0.3">
      <c r="A406" s="34"/>
      <c r="B406" s="35"/>
      <c r="C406" s="35"/>
      <c r="D406" s="35"/>
      <c r="E406" s="35"/>
      <c r="F406" s="26">
        <f t="shared" si="6"/>
        <v>0</v>
      </c>
      <c r="G406" s="37"/>
      <c r="H406" s="35"/>
      <c r="I406" s="35"/>
      <c r="J406" s="38"/>
      <c r="K406" s="39"/>
    </row>
    <row r="407" spans="1:12" x14ac:dyDescent="0.3">
      <c r="A407" s="17"/>
      <c r="B407" s="43" t="s">
        <v>841</v>
      </c>
      <c r="C407" s="18"/>
      <c r="D407" s="44" t="s">
        <v>842</v>
      </c>
      <c r="E407" s="18"/>
      <c r="F407" s="57">
        <f t="shared" ref="F407:K407" si="7">SUM(F12:F406)</f>
        <v>1253165.899999999</v>
      </c>
      <c r="G407" s="57">
        <f t="shared" si="7"/>
        <v>229253.22000000003</v>
      </c>
      <c r="H407" s="57">
        <f t="shared" si="7"/>
        <v>351716.18000000023</v>
      </c>
      <c r="I407" s="57">
        <f t="shared" si="7"/>
        <v>395368.38000000006</v>
      </c>
      <c r="J407" s="57">
        <f t="shared" si="7"/>
        <v>276828.12000000011</v>
      </c>
      <c r="K407" s="57">
        <f t="shared" si="7"/>
        <v>1253165.899999999</v>
      </c>
      <c r="L407" s="1">
        <f>SUM(L12:L405)</f>
        <v>1253165.899999999</v>
      </c>
    </row>
    <row r="408" spans="1:12" x14ac:dyDescent="0.3">
      <c r="A408" s="23"/>
      <c r="B408" s="28" t="s">
        <v>843</v>
      </c>
      <c r="C408" s="24"/>
      <c r="D408" s="46" t="s">
        <v>844</v>
      </c>
      <c r="E408" s="24"/>
      <c r="F408" s="55">
        <f t="shared" ref="F408:K408" si="8">+F407*$D$408</f>
        <v>125316.58999999991</v>
      </c>
      <c r="G408" s="55">
        <f t="shared" si="8"/>
        <v>22925.322000000004</v>
      </c>
      <c r="H408" s="55">
        <f t="shared" si="8"/>
        <v>35171.618000000024</v>
      </c>
      <c r="I408" s="55">
        <f t="shared" si="8"/>
        <v>39536.838000000011</v>
      </c>
      <c r="J408" s="55">
        <f t="shared" si="8"/>
        <v>27682.812000000013</v>
      </c>
      <c r="K408" s="55">
        <f t="shared" si="8"/>
        <v>125316.58999999991</v>
      </c>
    </row>
    <row r="409" spans="1:12" x14ac:dyDescent="0.3">
      <c r="A409" s="34"/>
      <c r="B409" s="48" t="s">
        <v>845</v>
      </c>
      <c r="C409" s="35"/>
      <c r="D409" s="49" t="s">
        <v>846</v>
      </c>
      <c r="E409" s="35"/>
      <c r="F409" s="56">
        <f t="shared" ref="F409:K409" si="9">+F407*$D$409</f>
        <v>87721.612999999939</v>
      </c>
      <c r="G409" s="56">
        <f t="shared" si="9"/>
        <v>16047.725400000003</v>
      </c>
      <c r="H409" s="56">
        <f t="shared" si="9"/>
        <v>24620.132600000019</v>
      </c>
      <c r="I409" s="56">
        <f t="shared" si="9"/>
        <v>27675.786600000007</v>
      </c>
      <c r="J409" s="56">
        <f t="shared" si="9"/>
        <v>19377.968400000009</v>
      </c>
      <c r="K409" s="56">
        <f t="shared" si="9"/>
        <v>87721.612999999939</v>
      </c>
    </row>
    <row r="410" spans="1:12" x14ac:dyDescent="0.3">
      <c r="A410" s="17"/>
      <c r="B410" s="43" t="s">
        <v>847</v>
      </c>
      <c r="C410" s="18"/>
      <c r="D410" s="44" t="s">
        <v>842</v>
      </c>
      <c r="E410" s="18"/>
      <c r="F410" s="54">
        <f t="shared" ref="F410:K410" si="10">SUM(F407:F409)</f>
        <v>1466204.1029999987</v>
      </c>
      <c r="G410" s="54">
        <f t="shared" si="10"/>
        <v>268226.26740000007</v>
      </c>
      <c r="H410" s="54">
        <f t="shared" si="10"/>
        <v>411507.93060000025</v>
      </c>
      <c r="I410" s="54">
        <f t="shared" si="10"/>
        <v>462581.00460000004</v>
      </c>
      <c r="J410" s="54">
        <f t="shared" si="10"/>
        <v>323888.90040000016</v>
      </c>
      <c r="K410" s="54">
        <f t="shared" si="10"/>
        <v>1466204.1029999987</v>
      </c>
    </row>
    <row r="411" spans="1:12" x14ac:dyDescent="0.3">
      <c r="A411" s="34"/>
      <c r="B411" s="48" t="s">
        <v>848</v>
      </c>
      <c r="C411" s="35"/>
      <c r="D411" s="49" t="s">
        <v>849</v>
      </c>
      <c r="E411" s="35"/>
      <c r="F411" s="56">
        <f t="shared" ref="F411:K411" si="11">+F410*$D$411</f>
        <v>263916.73853999976</v>
      </c>
      <c r="G411" s="56">
        <f t="shared" si="11"/>
        <v>48280.728132000011</v>
      </c>
      <c r="H411" s="56">
        <f t="shared" si="11"/>
        <v>74071.427508000037</v>
      </c>
      <c r="I411" s="56">
        <f t="shared" si="11"/>
        <v>83264.580828000006</v>
      </c>
      <c r="J411" s="56">
        <f t="shared" si="11"/>
        <v>58300.002072000025</v>
      </c>
      <c r="K411" s="56">
        <f t="shared" si="11"/>
        <v>263916.73853999976</v>
      </c>
    </row>
    <row r="412" spans="1:12" x14ac:dyDescent="0.3">
      <c r="A412" s="63"/>
      <c r="B412" s="64" t="s">
        <v>850</v>
      </c>
      <c r="C412" s="65"/>
      <c r="D412" s="66" t="s">
        <v>842</v>
      </c>
      <c r="E412" s="65"/>
      <c r="F412" s="80">
        <f t="shared" ref="F412:K412" si="12">SUM(F410:F411)</f>
        <v>1730120.8415399985</v>
      </c>
      <c r="G412" s="80">
        <f t="shared" si="12"/>
        <v>316506.99553200009</v>
      </c>
      <c r="H412" s="80">
        <f t="shared" si="12"/>
        <v>485579.35810800031</v>
      </c>
      <c r="I412" s="80">
        <f t="shared" si="12"/>
        <v>545845.58542800008</v>
      </c>
      <c r="J412" s="80">
        <f t="shared" si="12"/>
        <v>382188.90247200016</v>
      </c>
      <c r="K412" s="80">
        <f t="shared" si="12"/>
        <v>1730120.8415399985</v>
      </c>
    </row>
    <row r="413" spans="1:12" x14ac:dyDescent="0.3">
      <c r="A413" s="68"/>
      <c r="B413" s="69" t="s">
        <v>851</v>
      </c>
      <c r="C413" s="70"/>
      <c r="D413" s="70"/>
      <c r="E413" s="70"/>
      <c r="F413" s="81"/>
      <c r="G413" s="84">
        <f>+G412</f>
        <v>316506.99553200009</v>
      </c>
      <c r="H413" s="70">
        <f>+G413+H412</f>
        <v>802086.35364000034</v>
      </c>
      <c r="I413" s="70">
        <f>+H413+I412</f>
        <v>1347931.9390680003</v>
      </c>
      <c r="J413" s="77">
        <f>+I413+J412</f>
        <v>1730120.8415400004</v>
      </c>
      <c r="K413" s="61"/>
    </row>
    <row r="414" spans="1:12" x14ac:dyDescent="0.3">
      <c r="A414" s="71"/>
      <c r="B414" s="72" t="s">
        <v>852</v>
      </c>
      <c r="C414" s="73"/>
      <c r="D414" s="73"/>
      <c r="E414" s="73"/>
      <c r="F414" s="82"/>
      <c r="G414" s="85">
        <f>+G412/F412</f>
        <v>0.18293924212269122</v>
      </c>
      <c r="H414" s="74">
        <f>+H412/F412</f>
        <v>0.28066210547222881</v>
      </c>
      <c r="I414" s="74">
        <f>+I412/F412</f>
        <v>0.3154956418779033</v>
      </c>
      <c r="J414" s="78">
        <f>+J412/F412</f>
        <v>0.2209030105271779</v>
      </c>
      <c r="K414" s="62"/>
    </row>
    <row r="415" spans="1:12" ht="10.8" thickBot="1" x14ac:dyDescent="0.35">
      <c r="A415" s="68"/>
      <c r="B415" s="69" t="s">
        <v>853</v>
      </c>
      <c r="C415" s="70"/>
      <c r="D415" s="70"/>
      <c r="E415" s="70"/>
      <c r="F415" s="81"/>
      <c r="G415" s="86">
        <f>+G414</f>
        <v>0.18293924212269122</v>
      </c>
      <c r="H415" s="75">
        <f>+G415+H414</f>
        <v>0.46360134759492</v>
      </c>
      <c r="I415" s="75">
        <f>+H415+I414</f>
        <v>0.77909698947282324</v>
      </c>
      <c r="J415" s="79">
        <f>+I415+J414</f>
        <v>1.0000000000000011</v>
      </c>
      <c r="K415" s="61"/>
    </row>
  </sheetData>
  <mergeCells count="1">
    <mergeCell ref="B5:K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Calendario Valorizado</vt:lpstr>
      <vt:lpstr>materiales y equipos</vt:lpstr>
      <vt:lpstr>Hoja2</vt:lpstr>
      <vt:lpstr>'Calendario Valorizado'!Área_de_impresión</vt:lpstr>
      <vt:lpstr>'materiales y equipos'!Área_de_impresión</vt:lpstr>
      <vt:lpstr>'Calendario Valorizado'!Títulos_a_imprimir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user02</dc:creator>
  <cp:lastModifiedBy>Gabriel Samuel Calderón Chávez</cp:lastModifiedBy>
  <dcterms:created xsi:type="dcterms:W3CDTF">2025-09-22T21:01:02Z</dcterms:created>
  <dcterms:modified xsi:type="dcterms:W3CDTF">2026-05-08T03:34:41Z</dcterms:modified>
</cp:coreProperties>
</file>