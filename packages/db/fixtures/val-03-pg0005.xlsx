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SRAELUSB\OBRAS\12. OBRA CREMATORIO SURCO\2. VALORIZACIONES Y METRADOS\3. VALORIZACIÓN N°03 - DIC 25 SURCO\"/>
    </mc:Choice>
  </mc:AlternateContent>
  <xr:revisionPtr revIDLastSave="0" documentId="13_ncr:1_{4F59368C-8143-43D4-BC68-4F0A01BCB7F3}" xr6:coauthVersionLast="36" xr6:coauthVersionMax="36" xr10:uidLastSave="{00000000-0000-0000-0000-000000000000}"/>
  <bookViews>
    <workbookView xWindow="0" yWindow="0" windowWidth="23040" windowHeight="9060" tabRatio="830" activeTab="6" xr2:uid="{00000000-000D-0000-FFFF-FFFF00000000}"/>
  </bookViews>
  <sheets>
    <sheet name="RES. VALO" sheetId="21" r:id="rId1"/>
    <sheet name="FICHA" sheetId="26" r:id="rId2"/>
    <sheet name="C.G. AVANCE DE OBRA" sheetId="22" r:id="rId3"/>
    <sheet name="VALO" sheetId="23" r:id="rId4"/>
    <sheet name="SUSTENTO METRADOS" sheetId="41" r:id="rId5"/>
    <sheet name="RES. MET. EJEC." sheetId="25" r:id="rId6"/>
    <sheet name="CURVA S" sheetId="24" r:id="rId7"/>
    <sheet name="K" sheetId="34" r:id="rId8"/>
    <sheet name="Reajuste" sheetId="35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\A">[1]A!$D$9:$D$53</definedName>
    <definedName name="____MES1">'[2]DATOS  DE OBRA'!#REF!</definedName>
    <definedName name="___MES1">'[3]DATOS  DE OBRA'!#REF!</definedName>
    <definedName name="___PAG1">#REF!</definedName>
    <definedName name="__MES1">'[4]DATOS  DE OBRA'!#REF!</definedName>
    <definedName name="__PAG1">#REF!</definedName>
    <definedName name="_Dist_Bin" hidden="1">#REF!</definedName>
    <definedName name="_Dist_Values" hidden="1">#REF!</definedName>
    <definedName name="_Fill" hidden="1">#REF!</definedName>
    <definedName name="_xlnm._FilterDatabase" localSheetId="5" hidden="1">'RES. MET. EJEC.'!$B$13:$G$75</definedName>
    <definedName name="_xlnm._FilterDatabase" localSheetId="3" hidden="1">VALO!$A$14:$F$570</definedName>
    <definedName name="_MES1">'[3]DATOS  DE OBRA'!#REF!</definedName>
    <definedName name="_MET1">#REF!</definedName>
    <definedName name="_MET2">#REF!</definedName>
    <definedName name="_PAG1">#REF!</definedName>
    <definedName name="A">[5]AreaLaguna!#REF!</definedName>
    <definedName name="A_1">#REF!</definedName>
    <definedName name="A_10">#REF!</definedName>
    <definedName name="A_11">#REF!</definedName>
    <definedName name="A_12">#REF!</definedName>
    <definedName name="A_13">#REF!</definedName>
    <definedName name="A_14">#REF!</definedName>
    <definedName name="A_15">#REF!</definedName>
    <definedName name="A_16">#REF!</definedName>
    <definedName name="A_17">#REF!</definedName>
    <definedName name="A_18">#REF!</definedName>
    <definedName name="A_19">#REF!</definedName>
    <definedName name="A_2">#REF!</definedName>
    <definedName name="A_20">#REF!</definedName>
    <definedName name="A_21">#REF!</definedName>
    <definedName name="A_22">#REF!</definedName>
    <definedName name="A_3">#REF!</definedName>
    <definedName name="A_4">#REF!</definedName>
    <definedName name="A_5">#REF!</definedName>
    <definedName name="A_6">#REF!</definedName>
    <definedName name="A_7">#REF!</definedName>
    <definedName name="A_8">#REF!</definedName>
    <definedName name="A_9">#REF!</definedName>
    <definedName name="A_impresión_IM">[6]Lagsram2!#REF!</definedName>
    <definedName name="aA">#REF!</definedName>
    <definedName name="aAA">#REF!</definedName>
    <definedName name="aaaa" hidden="1">'[7]PLANILLA-MET'!#REF!</definedName>
    <definedName name="aaaaaaaaaaaaa" hidden="1">'[7]PLANILLA-MET'!#REF!</definedName>
    <definedName name="aB">#REF!</definedName>
    <definedName name="aC">#REF!</definedName>
    <definedName name="ACE">[1]A!$D$38</definedName>
    <definedName name="ACERO">[1]A!$D$70:$D$71</definedName>
    <definedName name="ACOM_CC">#REF!</definedName>
    <definedName name="ACOM_SC">#REF!</definedName>
    <definedName name="aD">#REF!</definedName>
    <definedName name="ADICIONAL">#REF!</definedName>
    <definedName name="_xlnm.Print_Area" localSheetId="2">'C.G. AVANCE DE OBRA'!$B$2:$O$20</definedName>
    <definedName name="_xlnm.Print_Area" localSheetId="6">'CURVA S'!$B$2:$L$34</definedName>
    <definedName name="_xlnm.Print_Area" localSheetId="1">FICHA!$B$2:$G$32</definedName>
    <definedName name="_xlnm.Print_Area" localSheetId="7">K!$A$1:$I$26</definedName>
    <definedName name="_xlnm.Print_Area" localSheetId="8">Reajuste!$A$1:$J$33</definedName>
    <definedName name="_xlnm.Print_Area" localSheetId="5">'RES. MET. EJEC.'!$B$2:$J$76</definedName>
    <definedName name="_xlnm.Print_Area" localSheetId="0">'RES. VALO'!$A$2:$D$29</definedName>
    <definedName name="_xlnm.Print_Area" localSheetId="4">'SUSTENTO METRADOS'!$A$1:$J$343</definedName>
    <definedName name="_xlnm.Print_Area" localSheetId="3">VALO!$A$15:$R$570</definedName>
    <definedName name="ARENA">[1]A!$D$55:$D$56</definedName>
    <definedName name="ARMADOS">#REF!</definedName>
    <definedName name="ASAS">#REF!</definedName>
    <definedName name="_xlnm.Database">#REF!</definedName>
    <definedName name="BO_ACERO">[1]A!$D$37</definedName>
    <definedName name="BO_ARENA">[1]A!$D$21</definedName>
    <definedName name="BO_CEMENTO">[1]A!$D$27</definedName>
    <definedName name="BO_FORMALETA">[1]A!$D$33</definedName>
    <definedName name="BO_GRAVA">[1]A!$D$24</definedName>
    <definedName name="BO_OTROS">[1]A!$D$30</definedName>
    <definedName name="BO_SUMINISTRO">[1]A!$D$41</definedName>
    <definedName name="Cambio">#REF!</definedName>
    <definedName name="CAP">#REF!</definedName>
    <definedName name="CEMENTO">[1]A!$D$61:$D$62</definedName>
    <definedName name="CONDUC">#REF!</definedName>
    <definedName name="CONTRATISTA">CONCATENATE(": ",[8]FICHA!$E$8)</definedName>
    <definedName name="Costos">#REF!</definedName>
    <definedName name="D">[5]AreaLaguna!#REF!</definedName>
    <definedName name="DC_1">#REF!</definedName>
    <definedName name="DC_1T">#REF!</definedName>
    <definedName name="DC_2">#REF!</definedName>
    <definedName name="DC_2T">#REF!</definedName>
    <definedName name="df">#REF!</definedName>
    <definedName name="DS_2">#REF!</definedName>
    <definedName name="DS_3">#REF!</definedName>
    <definedName name="DSD">#REF!</definedName>
    <definedName name="DT_0">#REF!</definedName>
    <definedName name="DT_2">#REF!</definedName>
    <definedName name="E_1">#REF!</definedName>
    <definedName name="E_1_1">#REF!</definedName>
    <definedName name="E_1_1S">#REF!</definedName>
    <definedName name="E_1S">#REF!</definedName>
    <definedName name="E_2">#REF!</definedName>
    <definedName name="E_2_1">#REF!</definedName>
    <definedName name="E_2_1S">#REF!</definedName>
    <definedName name="E_2S">#REF!</definedName>
    <definedName name="E_3">#REF!</definedName>
    <definedName name="E_3_1">#REF!</definedName>
    <definedName name="E_3_1S">#REF!</definedName>
    <definedName name="E_3S">#REF!</definedName>
    <definedName name="E_4">#REF!</definedName>
    <definedName name="E_4_1">#REF!</definedName>
    <definedName name="E_4_1S">#REF!</definedName>
    <definedName name="E_4S">#REF!</definedName>
    <definedName name="E_5">#REF!</definedName>
    <definedName name="E_5_1">#REF!</definedName>
    <definedName name="E_5_1S">#REF!</definedName>
    <definedName name="E_5S">#REF!</definedName>
    <definedName name="E_6">#REF!</definedName>
    <definedName name="E_6_1">#REF!</definedName>
    <definedName name="E_6_1S">#REF!</definedName>
    <definedName name="E_6S">#REF!</definedName>
    <definedName name="EJECUCION">#REF!</definedName>
    <definedName name="EJECUTA">#REF!</definedName>
    <definedName name="ENTIDAD">CONCATENATE(": ",[8]FICHA!$E$3)</definedName>
    <definedName name="Equipo">#REF!</definedName>
    <definedName name="Factor">#REF!</definedName>
    <definedName name="fecha">#REF!</definedName>
    <definedName name="FECHA_VAL">[9]DATOS!$B$15</definedName>
    <definedName name="FINANCIA">#REF!</definedName>
    <definedName name="FORM_01">[9]DATOS!$B$26</definedName>
    <definedName name="FORM_02">[9]DATOS!$B$27</definedName>
    <definedName name="FORM_03">[9]DATOS!$B$28</definedName>
    <definedName name="FORM_04">[9]DATOS!$B$29</definedName>
    <definedName name="FORM_05">[9]DATOS!$B$30</definedName>
    <definedName name="FORM_06">[9]DATOS!$B$31</definedName>
    <definedName name="FORMALETA">[1]A!$D$67:$D$68</definedName>
    <definedName name="FR">[8]FICHA!$E$16</definedName>
    <definedName name="GERENCIA">#REF!</definedName>
    <definedName name="GG">#REF!</definedName>
    <definedName name="GOBIERNO">#REF!</definedName>
    <definedName name="GRAVA">[1]A!$D$58:$D$59</definedName>
    <definedName name="HHC">#REF!</definedName>
    <definedName name="HHME">#REF!</definedName>
    <definedName name="HHT">#REF!</definedName>
    <definedName name="INI_CEMENTO">[1]A!$D$25</definedName>
    <definedName name="INI_CONCRETOS">[1]A!$D$34</definedName>
    <definedName name="INI_FORMALETA">[1]A!$D$31</definedName>
    <definedName name="INI_GRAVA">[1]A!$D$22</definedName>
    <definedName name="INI_OTROS">[1]A!$D$28</definedName>
    <definedName name="INICIO">'[3]DATOS  DE OBRA'!#REF!</definedName>
    <definedName name="kike1">'[10]4.01.- Planilla VAL. PRINC.'!$U$6:$GG$81</definedName>
    <definedName name="LICITACION">'[11]DATOS_NO SE IMPRIME'!$C$7</definedName>
    <definedName name="LISTADO">#REF!</definedName>
    <definedName name="LUGAR">#REF!</definedName>
    <definedName name="LUM_70">#REF!</definedName>
    <definedName name="MET">#REF!</definedName>
    <definedName name="METRADO">#REF!</definedName>
    <definedName name="Moneda">#REF!</definedName>
    <definedName name="MONTAJE">#REF!</definedName>
    <definedName name="MONTO">'[11]DATOS_NO SE IMPRIME'!$C$22</definedName>
    <definedName name="MONTO_ORIG_C_IGV">CONCATENATE(": ",[8]FICHA!$E$14)</definedName>
    <definedName name="MONTO_ORIG_S_IGV">CONCATENATE(": ",[8]FICHA!$E$15)</definedName>
    <definedName name="OBRA">CONCATENATE(":",[8]FICHA!$E$7)</definedName>
    <definedName name="OF">#REF!</definedName>
    <definedName name="OP">#REF!</definedName>
    <definedName name="OTROS">[1]A!$D$64:$D$65</definedName>
    <definedName name="P_EQUIP">[1]A!$D$91:$D$93</definedName>
    <definedName name="P_FORPU">[1]A!$D$87:$D$89</definedName>
    <definedName name="P_MACRO">[1]A!$D$83:$D$85</definedName>
    <definedName name="P_RESUMEN">[1]A!$D$78:$D$80</definedName>
    <definedName name="PA1_0">#REF!</definedName>
    <definedName name="PA1_0_M">#REF!</definedName>
    <definedName name="PA1_1N">#REF!</definedName>
    <definedName name="PA1_1N_M">#REF!</definedName>
    <definedName name="PA1_1NT">#REF!</definedName>
    <definedName name="PA1_1NT_M">#REF!</definedName>
    <definedName name="PA1_2">#REF!</definedName>
    <definedName name="PA1_2N">#REF!</definedName>
    <definedName name="PA1_3">#REF!</definedName>
    <definedName name="PA1_3N">#REF!</definedName>
    <definedName name="PA1_3NT">#REF!</definedName>
    <definedName name="PA2_0">#REF!</definedName>
    <definedName name="PA2_0_M">#REF!</definedName>
    <definedName name="PA2_1N">#REF!</definedName>
    <definedName name="PA2_1N_M">#REF!</definedName>
    <definedName name="PA2_1NT">#REF!</definedName>
    <definedName name="PA2_1NT_M">#REF!</definedName>
    <definedName name="PA2_2">#REF!</definedName>
    <definedName name="PA2_2N">#REF!</definedName>
    <definedName name="PA2_3">#REF!</definedName>
    <definedName name="PA2_3N">#REF!</definedName>
    <definedName name="PA2_3NT">#REF!</definedName>
    <definedName name="PA3_0">#REF!</definedName>
    <definedName name="PA3_0_M">#REF!</definedName>
    <definedName name="PA3_1N">#REF!</definedName>
    <definedName name="PA3_1N_M">#REF!</definedName>
    <definedName name="PA3_1NT">#REF!</definedName>
    <definedName name="PA3_1NT_M">#REF!</definedName>
    <definedName name="PA3_2">#REF!</definedName>
    <definedName name="PA3_2N">#REF!</definedName>
    <definedName name="PA3_3">#REF!</definedName>
    <definedName name="PA3_3N">#REF!</definedName>
    <definedName name="PA3_3NT">#REF!</definedName>
    <definedName name="paat_1">#REF!</definedName>
    <definedName name="PAAT_1_M">#REF!</definedName>
    <definedName name="PAG">#REF!</definedName>
    <definedName name="PARTIDA">#REF!</definedName>
    <definedName name="PAST_C">#REF!</definedName>
    <definedName name="PAST_C_BT">#REF!</definedName>
    <definedName name="PAST_C_MT">#REF!</definedName>
    <definedName name="PAST_M">#REF!</definedName>
    <definedName name="PAST_M_BT">#REF!</definedName>
    <definedName name="PAST_M_MT">#REF!</definedName>
    <definedName name="PAT">#REF!</definedName>
    <definedName name="PAT_1">#REF!</definedName>
    <definedName name="PAT_1_M">#REF!</definedName>
    <definedName name="PAT_2">#REF!</definedName>
    <definedName name="PAT_2_M">#REF!</definedName>
    <definedName name="PAT_2E">#REF!</definedName>
    <definedName name="PAT_2M">#REF!</definedName>
    <definedName name="pat_3">#REF!</definedName>
    <definedName name="PAT_3_M">#REF!</definedName>
    <definedName name="PAT_C">#REF!</definedName>
    <definedName name="PAT_M">#REF!</definedName>
    <definedName name="PE">#REF!</definedName>
    <definedName name="PEPE">#REF!</definedName>
    <definedName name="PEPE1">'[12]Valorizacion-01'!$V$8:$FI$120</definedName>
    <definedName name="Peso">#REF!</definedName>
    <definedName name="PLAZO">[9]DATOS!$B$12</definedName>
    <definedName name="PORTALINEA">#REF!</definedName>
    <definedName name="POSTES">#REF!</definedName>
    <definedName name="ppp">[13]AreaLaguna!#REF!</definedName>
    <definedName name="PR3_0">#REF!</definedName>
    <definedName name="PR3_0_M">#REF!</definedName>
    <definedName name="PR3_1N">#REF!</definedName>
    <definedName name="PR3_1N_M">#REF!</definedName>
    <definedName name="PR3_1NT">#REF!</definedName>
    <definedName name="PR3_1NT_M">#REF!</definedName>
    <definedName name="PR3_2">#REF!</definedName>
    <definedName name="PR3_2N">#REF!</definedName>
    <definedName name="PR3_3">#REF!</definedName>
    <definedName name="PR3_3N">#REF!</definedName>
    <definedName name="PR3_3NT">#REF!</definedName>
    <definedName name="PRECIOS_A">'[11]DATOS_NO SE IMPRIME'!$C$24</definedName>
    <definedName name="PRESUPBASE">#REF!</definedName>
    <definedName name="PRESUPUESTO">#REF!</definedName>
    <definedName name="Print_Area_MI">#REF!</definedName>
    <definedName name="PROPIETARIO">'[11]DATOS_NO SE IMPRIME'!$C$6</definedName>
    <definedName name="PROPIO">#REF!</definedName>
    <definedName name="PRV_3">#REF!</definedName>
    <definedName name="PS1_0">#REF!</definedName>
    <definedName name="PS1_0_M">#REF!</definedName>
    <definedName name="PS1_1N">#REF!</definedName>
    <definedName name="PS1_1N_M">#REF!</definedName>
    <definedName name="PS1_1N_T">#REF!</definedName>
    <definedName name="PS1_1NT">#REF!</definedName>
    <definedName name="PS1_1NT_M">#REF!</definedName>
    <definedName name="PS1_2">#REF!</definedName>
    <definedName name="PS1_2N">#REF!</definedName>
    <definedName name="PS1_3">#REF!</definedName>
    <definedName name="PS1_3N">#REF!</definedName>
    <definedName name="PS1_3NT">#REF!</definedName>
    <definedName name="PSEC_0">#REF!</definedName>
    <definedName name="PSEC_0_M">#REF!</definedName>
    <definedName name="PSEC_0P">#REF!</definedName>
    <definedName name="PSEC_0P_M">#REF!</definedName>
    <definedName name="PSEC_1N">#REF!</definedName>
    <definedName name="PSEC_1N_M">#REF!</definedName>
    <definedName name="PSEC_1NP">#REF!</definedName>
    <definedName name="PSEC_2">#REF!</definedName>
    <definedName name="PSEC_2N">#REF!</definedName>
    <definedName name="PSEC_2NP">#REF!</definedName>
    <definedName name="PSEC_2P">#REF!</definedName>
    <definedName name="PSEC_3">#REF!</definedName>
    <definedName name="PSEC_3N">#REF!</definedName>
    <definedName name="PSEC_3NP">#REF!</definedName>
    <definedName name="PSEC_3P">#REF!</definedName>
    <definedName name="PSER_0">#REF!</definedName>
    <definedName name="PSER_0_M">#REF!</definedName>
    <definedName name="PSER_0P">#REF!</definedName>
    <definedName name="PSER_0P_M">#REF!</definedName>
    <definedName name="PSV_2">#REF!</definedName>
    <definedName name="PSV_2N">#REF!</definedName>
    <definedName name="PSV_3">#REF!</definedName>
    <definedName name="PSV_3N">#REF!</definedName>
    <definedName name="PSVE_2">#REF!</definedName>
    <definedName name="PSVE_3">#REF!</definedName>
    <definedName name="PTH_2">#REF!</definedName>
    <definedName name="PTH_2N">#REF!</definedName>
    <definedName name="PTH_3">#REF!</definedName>
    <definedName name="PTH_3N">#REF!</definedName>
    <definedName name="PTH_3NT">#REF!</definedName>
    <definedName name="PTV_0">#REF!</definedName>
    <definedName name="PTV_0_M">#REF!</definedName>
    <definedName name="PTV_1N">#REF!</definedName>
    <definedName name="PTV_1N_M">#REF!</definedName>
    <definedName name="PTV_1NT">#REF!</definedName>
    <definedName name="PTV_1NT_M">#REF!</definedName>
    <definedName name="PTV_2">#REF!</definedName>
    <definedName name="PTV_2N">#REF!</definedName>
    <definedName name="PTV_3">#REF!</definedName>
    <definedName name="PTV_3N">#REF!</definedName>
    <definedName name="PTV_3NT">#REF!</definedName>
    <definedName name="PU">[1]A!$D$11:$D$53</definedName>
    <definedName name="REF_C_IGV">CONCATENATE(": ",[8]FICHA!$E$11)</definedName>
    <definedName name="REF_S_IGV">CONCATENATE(": ",[8]FICHA!$E$12)</definedName>
    <definedName name="REPORTE">[1]A!$D$9</definedName>
    <definedName name="RET">'[14]VALORIZACION 10'!$J$90</definedName>
    <definedName name="RETENC">'[14]VALORIZACION 10'!$J$90</definedName>
    <definedName name="RI">#REF!</definedName>
    <definedName name="RI_A">#REF!</definedName>
    <definedName name="RI_S">#REF!</definedName>
    <definedName name="RV">#REF!</definedName>
    <definedName name="RV_A">#REF!</definedName>
    <definedName name="RV_S">#REF!</definedName>
    <definedName name="SAL">[1]A!$D$52</definedName>
    <definedName name="SBM">#REF!</definedName>
    <definedName name="SBM_1">#REF!</definedName>
    <definedName name="SBM_1P">#REF!</definedName>
    <definedName name="SBM_2">#REF!</definedName>
    <definedName name="SBM_2P">#REF!</definedName>
    <definedName name="SDSDSD">#REF!</definedName>
    <definedName name="SMM_1">#REF!</definedName>
    <definedName name="SMM_1N">#REF!</definedName>
    <definedName name="SMM_1P">#REF!</definedName>
    <definedName name="SMM_2">#REF!</definedName>
    <definedName name="SMM_2N">#REF!</definedName>
    <definedName name="SMM_2P">#REF!</definedName>
    <definedName name="Sol">#REF!</definedName>
    <definedName name="STB">#REF!</definedName>
    <definedName name="SUBGERENCIA">#REF!</definedName>
    <definedName name="SUMINISTRO">[1]A!$D$73</definedName>
    <definedName name="SUPERVISOR">[9]DATOS!$B$13</definedName>
    <definedName name="TABLA">#REF!</definedName>
    <definedName name="TABLA1">#REF!</definedName>
    <definedName name="TABLA2">#REF!</definedName>
    <definedName name="tablametrado">[15]metrados!$A$14:$Z$114</definedName>
    <definedName name="TERMINO">'[3]DATOS  DE OBRA'!#REF!</definedName>
    <definedName name="TERRENO">#REF!</definedName>
    <definedName name="_xlnm.Print_Titles" localSheetId="5">'RES. MET. EJEC.'!$2:$13</definedName>
    <definedName name="_xlnm.Print_Titles" localSheetId="4">'SUSTENTO METRADOS'!$1:$9</definedName>
    <definedName name="_xlnm.Print_Titles" localSheetId="3">VALO!$1:$14</definedName>
    <definedName name="TO_MAT">[1]A!$D$42</definedName>
    <definedName name="TS_0">#REF!</definedName>
    <definedName name="TS_2">#REF!</definedName>
    <definedName name="TS_3">#REF!</definedName>
    <definedName name="UBICACIÓN">CONCATENATE(": ",[8]RESUMEN!$D$4)</definedName>
    <definedName name="UT">'[16]RES F1'!$D$42</definedName>
    <definedName name="UU">#REF!</definedName>
    <definedName name="VALORIZACION_MES">'[14]VALORIZACION 10'!$J$90</definedName>
    <definedName name="WILBER">#REF!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</definedNames>
  <calcPr calcId="179021"/>
</workbook>
</file>

<file path=xl/calcChain.xml><?xml version="1.0" encoding="utf-8"?>
<calcChain xmlns="http://schemas.openxmlformats.org/spreadsheetml/2006/main">
  <c r="I34" i="24" l="1"/>
  <c r="I31" i="24"/>
  <c r="H31" i="24"/>
  <c r="I66" i="24"/>
  <c r="I63" i="24"/>
  <c r="H63" i="24"/>
  <c r="J390" i="23" l="1"/>
  <c r="J364" i="23"/>
  <c r="E30" i="26"/>
  <c r="J459" i="23"/>
  <c r="J458" i="23"/>
  <c r="J457" i="23"/>
  <c r="J456" i="23"/>
  <c r="J455" i="23"/>
  <c r="J447" i="23"/>
  <c r="J469" i="23"/>
  <c r="J468" i="23"/>
  <c r="J467" i="23"/>
  <c r="J466" i="23"/>
  <c r="J465" i="23"/>
  <c r="J463" i="23"/>
  <c r="J461" i="23"/>
  <c r="J389" i="23"/>
  <c r="J388" i="23"/>
  <c r="E24" i="22" l="1"/>
  <c r="J128" i="23" l="1"/>
  <c r="M16" i="22"/>
  <c r="J541" i="23"/>
  <c r="J542" i="23"/>
  <c r="J543" i="23"/>
  <c r="J544" i="23"/>
  <c r="J545" i="23"/>
  <c r="J546" i="23"/>
  <c r="J547" i="23"/>
  <c r="J548" i="23"/>
  <c r="J549" i="23"/>
  <c r="J540" i="23"/>
  <c r="J500" i="23"/>
  <c r="J446" i="23"/>
  <c r="J445" i="23"/>
  <c r="J434" i="23"/>
  <c r="J428" i="23"/>
  <c r="J429" i="23"/>
  <c r="J430" i="23"/>
  <c r="J431" i="23"/>
  <c r="J432" i="23"/>
  <c r="J427" i="23"/>
  <c r="J424" i="23"/>
  <c r="J425" i="23"/>
  <c r="J423" i="23"/>
  <c r="J420" i="23"/>
  <c r="J421" i="23"/>
  <c r="J419" i="23"/>
  <c r="J409" i="23"/>
  <c r="J410" i="23"/>
  <c r="J411" i="23"/>
  <c r="J412" i="23"/>
  <c r="J413" i="23"/>
  <c r="J414" i="23"/>
  <c r="J408" i="23"/>
  <c r="J406" i="23"/>
  <c r="J402" i="23"/>
  <c r="J403" i="23"/>
  <c r="J401" i="23"/>
  <c r="J398" i="23"/>
  <c r="J399" i="23"/>
  <c r="J397" i="23"/>
  <c r="J357" i="23"/>
  <c r="J358" i="23"/>
  <c r="J359" i="23"/>
  <c r="J360" i="23"/>
  <c r="J361" i="23"/>
  <c r="J362" i="23"/>
  <c r="J356" i="23"/>
  <c r="J351" i="23"/>
  <c r="J350" i="23"/>
  <c r="J349" i="23"/>
  <c r="J354" i="23"/>
  <c r="J300" i="23"/>
  <c r="J299" i="23"/>
  <c r="J294" i="23"/>
  <c r="J295" i="23"/>
  <c r="J296" i="23"/>
  <c r="J297" i="23"/>
  <c r="J293" i="23"/>
  <c r="J291" i="23"/>
  <c r="J206" i="23"/>
  <c r="J194" i="23"/>
  <c r="J195" i="23"/>
  <c r="J196" i="23"/>
  <c r="J197" i="23"/>
  <c r="J198" i="23"/>
  <c r="J199" i="23"/>
  <c r="J193" i="23"/>
  <c r="J185" i="23"/>
  <c r="J184" i="23"/>
  <c r="J183" i="23"/>
  <c r="J146" i="23"/>
  <c r="J145" i="23"/>
  <c r="J144" i="23"/>
  <c r="J141" i="23"/>
  <c r="J140" i="23"/>
  <c r="J138" i="23"/>
  <c r="J80" i="23"/>
  <c r="J287" i="41" l="1"/>
  <c r="J277" i="41" l="1"/>
  <c r="I276" i="41"/>
  <c r="I275" i="41"/>
  <c r="I273" i="41"/>
  <c r="J267" i="41" s="1"/>
  <c r="I272" i="41"/>
  <c r="I270" i="41"/>
  <c r="I269" i="41"/>
  <c r="I263" i="41" l="1"/>
  <c r="I262" i="41"/>
  <c r="I261" i="41"/>
  <c r="J260" i="41" s="1"/>
  <c r="I257" i="41"/>
  <c r="I258" i="41"/>
  <c r="I256" i="41"/>
  <c r="I252" i="41"/>
  <c r="J252" i="41" s="1"/>
  <c r="I249" i="41"/>
  <c r="I248" i="41"/>
  <c r="I247" i="41"/>
  <c r="I243" i="41"/>
  <c r="I244" i="41"/>
  <c r="I241" i="41"/>
  <c r="J241" i="41" s="1"/>
  <c r="I240" i="41"/>
  <c r="J240" i="41" s="1"/>
  <c r="I229" i="41"/>
  <c r="I228" i="41"/>
  <c r="I233" i="41"/>
  <c r="J232" i="41" s="1"/>
  <c r="I219" i="41"/>
  <c r="I220" i="41"/>
  <c r="I218" i="41"/>
  <c r="I216" i="41"/>
  <c r="I215" i="41"/>
  <c r="I207" i="41"/>
  <c r="I209" i="41"/>
  <c r="I211" i="41"/>
  <c r="I212" i="41"/>
  <c r="I206" i="41"/>
  <c r="I197" i="41"/>
  <c r="I198" i="41"/>
  <c r="I199" i="41"/>
  <c r="I200" i="41"/>
  <c r="I196" i="41"/>
  <c r="I190" i="41"/>
  <c r="I191" i="41"/>
  <c r="I192" i="41"/>
  <c r="I188" i="41"/>
  <c r="I182" i="41"/>
  <c r="J181" i="41" s="1"/>
  <c r="I179" i="41"/>
  <c r="J178" i="41" s="1"/>
  <c r="I168" i="41"/>
  <c r="I169" i="41"/>
  <c r="I170" i="41"/>
  <c r="I171" i="41"/>
  <c r="I172" i="41"/>
  <c r="I167" i="41"/>
  <c r="I160" i="41"/>
  <c r="I161" i="41"/>
  <c r="I162" i="41"/>
  <c r="I163" i="41"/>
  <c r="I164" i="41"/>
  <c r="I159" i="41"/>
  <c r="I154" i="41"/>
  <c r="I153" i="41"/>
  <c r="I152" i="41"/>
  <c r="I151" i="41"/>
  <c r="I150" i="41"/>
  <c r="I149" i="41"/>
  <c r="I148" i="41"/>
  <c r="I147" i="41"/>
  <c r="I146" i="41"/>
  <c r="I145" i="41"/>
  <c r="I144" i="41"/>
  <c r="I143" i="41"/>
  <c r="I142" i="41"/>
  <c r="I141" i="41"/>
  <c r="I140" i="41"/>
  <c r="I139" i="41"/>
  <c r="I138" i="41"/>
  <c r="I137" i="41"/>
  <c r="I136" i="41"/>
  <c r="I135" i="41"/>
  <c r="I133" i="41"/>
  <c r="I132" i="41"/>
  <c r="I131" i="41"/>
  <c r="I130" i="41"/>
  <c r="I129" i="41"/>
  <c r="I128" i="41"/>
  <c r="I127" i="41"/>
  <c r="I126" i="41"/>
  <c r="I125" i="41"/>
  <c r="I124" i="41"/>
  <c r="I123" i="41"/>
  <c r="I122" i="41"/>
  <c r="I121" i="41"/>
  <c r="I120" i="41"/>
  <c r="I119" i="41"/>
  <c r="I118" i="41"/>
  <c r="I117" i="41"/>
  <c r="I116" i="41"/>
  <c r="I115" i="41"/>
  <c r="I114" i="41"/>
  <c r="I109" i="41"/>
  <c r="I108" i="41"/>
  <c r="I107" i="41"/>
  <c r="I106" i="41"/>
  <c r="I105" i="41"/>
  <c r="I104" i="41"/>
  <c r="I103" i="41"/>
  <c r="I102" i="41"/>
  <c r="I101" i="41"/>
  <c r="I100" i="41"/>
  <c r="I99" i="41"/>
  <c r="I98" i="41"/>
  <c r="I97" i="41"/>
  <c r="I96" i="41"/>
  <c r="I95" i="41"/>
  <c r="I94" i="41"/>
  <c r="I93" i="41"/>
  <c r="I92" i="41"/>
  <c r="I91" i="41"/>
  <c r="I89" i="41"/>
  <c r="I88" i="41"/>
  <c r="I87" i="41"/>
  <c r="I86" i="41"/>
  <c r="I85" i="41"/>
  <c r="I84" i="41"/>
  <c r="I83" i="41"/>
  <c r="I82" i="41"/>
  <c r="I81" i="41"/>
  <c r="I80" i="41"/>
  <c r="I79" i="41"/>
  <c r="I78" i="41"/>
  <c r="I77" i="41"/>
  <c r="I76" i="41"/>
  <c r="I75" i="41"/>
  <c r="I74" i="41"/>
  <c r="I73" i="41"/>
  <c r="I72" i="41"/>
  <c r="I71" i="41"/>
  <c r="I70" i="41"/>
  <c r="I69" i="41"/>
  <c r="I68" i="41"/>
  <c r="I59" i="41"/>
  <c r="I58" i="41"/>
  <c r="I57" i="41"/>
  <c r="I56" i="41"/>
  <c r="I55" i="41"/>
  <c r="I54" i="41"/>
  <c r="I53" i="41"/>
  <c r="I52" i="41"/>
  <c r="I51" i="41"/>
  <c r="I49" i="41"/>
  <c r="I48" i="41"/>
  <c r="I47" i="41"/>
  <c r="I46" i="41"/>
  <c r="I45" i="41"/>
  <c r="I60" i="41"/>
  <c r="I50" i="41"/>
  <c r="I44" i="41"/>
  <c r="I42" i="41"/>
  <c r="I41" i="41"/>
  <c r="I40" i="41"/>
  <c r="I38" i="41"/>
  <c r="I34" i="41"/>
  <c r="I21" i="41"/>
  <c r="I18" i="41"/>
  <c r="I17" i="41"/>
  <c r="J246" i="41" l="1"/>
  <c r="J255" i="41"/>
  <c r="J242" i="41"/>
  <c r="J227" i="41"/>
  <c r="J214" i="41"/>
  <c r="J205" i="41"/>
  <c r="J194" i="41"/>
  <c r="J187" i="41"/>
  <c r="J166" i="41"/>
  <c r="J158" i="41"/>
  <c r="H61" i="24" l="1"/>
  <c r="J63" i="23"/>
  <c r="C16" i="22"/>
  <c r="C17" i="22"/>
  <c r="C18" i="22"/>
  <c r="I14" i="22" l="1"/>
  <c r="C15" i="22"/>
  <c r="K14" i="22"/>
  <c r="N14" i="22" s="1"/>
  <c r="M19" i="23"/>
  <c r="M20" i="23"/>
  <c r="M21" i="23"/>
  <c r="M22" i="23"/>
  <c r="M23" i="23"/>
  <c r="M25" i="23"/>
  <c r="M26" i="23"/>
  <c r="M27" i="23"/>
  <c r="M28" i="23"/>
  <c r="M29" i="23"/>
  <c r="M32" i="23"/>
  <c r="M33" i="23"/>
  <c r="M35" i="23"/>
  <c r="M36" i="23"/>
  <c r="M37" i="23"/>
  <c r="M38" i="23"/>
  <c r="M39" i="23"/>
  <c r="M40" i="23"/>
  <c r="M41" i="23"/>
  <c r="M43" i="23"/>
  <c r="M45" i="23"/>
  <c r="M46" i="23"/>
  <c r="M47" i="23"/>
  <c r="M48" i="23"/>
  <c r="M49" i="23"/>
  <c r="M50" i="23"/>
  <c r="M52" i="23"/>
  <c r="M53" i="23"/>
  <c r="M54" i="23"/>
  <c r="M55" i="23"/>
  <c r="M56" i="23"/>
  <c r="M57" i="23"/>
  <c r="M58" i="23"/>
  <c r="M59" i="23"/>
  <c r="M60" i="23"/>
  <c r="M62" i="23"/>
  <c r="M63" i="23"/>
  <c r="M67" i="23"/>
  <c r="M68" i="23"/>
  <c r="M69" i="23"/>
  <c r="M70" i="23"/>
  <c r="M71" i="23"/>
  <c r="M72" i="23"/>
  <c r="M73" i="23"/>
  <c r="M74" i="23"/>
  <c r="M76" i="23"/>
  <c r="M77" i="23"/>
  <c r="M78" i="23"/>
  <c r="M79" i="23"/>
  <c r="M80" i="23"/>
  <c r="M83" i="23"/>
  <c r="M84" i="23"/>
  <c r="M85" i="23"/>
  <c r="M87" i="23"/>
  <c r="M88" i="23"/>
  <c r="M89" i="23"/>
  <c r="M90" i="23"/>
  <c r="M92" i="23"/>
  <c r="M93" i="23"/>
  <c r="M94" i="23"/>
  <c r="M95" i="23"/>
  <c r="M97" i="23"/>
  <c r="M98" i="23"/>
  <c r="M99" i="23"/>
  <c r="M100" i="23"/>
  <c r="M102" i="23"/>
  <c r="M103" i="23"/>
  <c r="M104" i="23"/>
  <c r="M105" i="23"/>
  <c r="M107" i="23"/>
  <c r="M108" i="23"/>
  <c r="M109" i="23"/>
  <c r="M110" i="23"/>
  <c r="M111" i="23"/>
  <c r="M113" i="23"/>
  <c r="M114" i="23"/>
  <c r="M115" i="23"/>
  <c r="M116" i="23"/>
  <c r="M118" i="23"/>
  <c r="M119" i="23"/>
  <c r="M120" i="23"/>
  <c r="M121" i="23"/>
  <c r="M123" i="23"/>
  <c r="M124" i="23"/>
  <c r="M125" i="23"/>
  <c r="M126" i="23"/>
  <c r="M128" i="23"/>
  <c r="M131" i="23"/>
  <c r="M132" i="23"/>
  <c r="M133" i="23"/>
  <c r="M135" i="23"/>
  <c r="M138" i="23"/>
  <c r="M140" i="23"/>
  <c r="M141" i="23"/>
  <c r="M144" i="23"/>
  <c r="M145" i="23"/>
  <c r="M146" i="23"/>
  <c r="M148" i="23"/>
  <c r="M150" i="23"/>
  <c r="M151" i="23"/>
  <c r="M155" i="23"/>
  <c r="M157" i="23"/>
  <c r="M159" i="23"/>
  <c r="M161" i="23"/>
  <c r="M162" i="23"/>
  <c r="M163" i="23"/>
  <c r="M166" i="23"/>
  <c r="M167" i="23"/>
  <c r="M169" i="23"/>
  <c r="M170" i="23"/>
  <c r="M171" i="23"/>
  <c r="M173" i="23"/>
  <c r="M174" i="23"/>
  <c r="M175" i="23"/>
  <c r="M177" i="23"/>
  <c r="M183" i="23"/>
  <c r="M184" i="23"/>
  <c r="M185" i="23"/>
  <c r="M187" i="23"/>
  <c r="M188" i="23"/>
  <c r="M189" i="23"/>
  <c r="M190" i="23"/>
  <c r="M191" i="23"/>
  <c r="M193" i="23"/>
  <c r="M194" i="23"/>
  <c r="M195" i="23"/>
  <c r="M196" i="23"/>
  <c r="M197" i="23"/>
  <c r="M198" i="23"/>
  <c r="M199" i="23"/>
  <c r="M200" i="23"/>
  <c r="M201" i="23"/>
  <c r="M202" i="23"/>
  <c r="M203" i="23"/>
  <c r="M204" i="23"/>
  <c r="M206" i="23"/>
  <c r="M207" i="23"/>
  <c r="M208" i="23"/>
  <c r="M210" i="23"/>
  <c r="M211" i="23"/>
  <c r="M212" i="23"/>
  <c r="M213" i="23"/>
  <c r="M214" i="23"/>
  <c r="M216" i="23"/>
  <c r="M217" i="23"/>
  <c r="M218" i="23"/>
  <c r="M219" i="23"/>
  <c r="M221" i="23"/>
  <c r="M222" i="23"/>
  <c r="M223" i="23"/>
  <c r="M225" i="23"/>
  <c r="M226" i="23"/>
  <c r="M227" i="23"/>
  <c r="M228" i="23"/>
  <c r="M229" i="23"/>
  <c r="M230" i="23"/>
  <c r="M231" i="23"/>
  <c r="M232" i="23"/>
  <c r="M233" i="23"/>
  <c r="M234" i="23"/>
  <c r="M236" i="23"/>
  <c r="M237" i="23"/>
  <c r="M238" i="23"/>
  <c r="M239" i="23"/>
  <c r="M240" i="23"/>
  <c r="M241" i="23"/>
  <c r="M242" i="23"/>
  <c r="M243" i="23"/>
  <c r="M244" i="23"/>
  <c r="M245" i="23"/>
  <c r="M246" i="23"/>
  <c r="M248" i="23"/>
  <c r="M249" i="23"/>
  <c r="M251" i="23"/>
  <c r="M252" i="23"/>
  <c r="M253" i="23"/>
  <c r="M254" i="23"/>
  <c r="M255" i="23"/>
  <c r="M256" i="23"/>
  <c r="M259" i="23"/>
  <c r="M261" i="23"/>
  <c r="M262" i="23"/>
  <c r="M265" i="23"/>
  <c r="M267" i="23"/>
  <c r="M268" i="23"/>
  <c r="M269" i="23"/>
  <c r="M271" i="23"/>
  <c r="M272" i="23"/>
  <c r="M273" i="23"/>
  <c r="M274" i="23"/>
  <c r="M275" i="23"/>
  <c r="M276" i="23"/>
  <c r="M277" i="23"/>
  <c r="M278" i="23"/>
  <c r="M279" i="23"/>
  <c r="M280" i="23"/>
  <c r="M281" i="23"/>
  <c r="M282" i="23"/>
  <c r="M283" i="23"/>
  <c r="M284" i="23"/>
  <c r="M285" i="23"/>
  <c r="M286" i="23"/>
  <c r="M287" i="23"/>
  <c r="M288" i="23"/>
  <c r="M291" i="23"/>
  <c r="M293" i="23"/>
  <c r="M294" i="23"/>
  <c r="M295" i="23"/>
  <c r="M296" i="23"/>
  <c r="M297" i="23"/>
  <c r="M299" i="23"/>
  <c r="M300" i="23"/>
  <c r="M303" i="23"/>
  <c r="M305" i="23"/>
  <c r="M306" i="23"/>
  <c r="M307" i="23"/>
  <c r="M310" i="23"/>
  <c r="M312" i="23"/>
  <c r="M313" i="23"/>
  <c r="M316" i="23"/>
  <c r="M317" i="23"/>
  <c r="M318" i="23"/>
  <c r="M319" i="23"/>
  <c r="M321" i="23"/>
  <c r="M322" i="23"/>
  <c r="M324" i="23"/>
  <c r="M326" i="23"/>
  <c r="M327" i="23"/>
  <c r="M328" i="23"/>
  <c r="M329" i="23"/>
  <c r="M330" i="23"/>
  <c r="M332" i="23"/>
  <c r="M333" i="23"/>
  <c r="M334" i="23"/>
  <c r="M335" i="23"/>
  <c r="M336" i="23"/>
  <c r="M338" i="23"/>
  <c r="M339" i="23"/>
  <c r="M340" i="23"/>
  <c r="M341" i="23"/>
  <c r="M343" i="23"/>
  <c r="M344" i="23"/>
  <c r="M345" i="23"/>
  <c r="M349" i="23"/>
  <c r="M350" i="23"/>
  <c r="M351" i="23"/>
  <c r="M352" i="23"/>
  <c r="M353" i="23"/>
  <c r="M354" i="23"/>
  <c r="M356" i="23"/>
  <c r="M357" i="23"/>
  <c r="M358" i="23"/>
  <c r="M359" i="23"/>
  <c r="M360" i="23"/>
  <c r="M361" i="23"/>
  <c r="M362" i="23"/>
  <c r="M364" i="23"/>
  <c r="M367" i="23"/>
  <c r="M369" i="23"/>
  <c r="M371" i="23"/>
  <c r="M374" i="23"/>
  <c r="M375" i="23"/>
  <c r="M376" i="23"/>
  <c r="M378" i="23"/>
  <c r="M379" i="23"/>
  <c r="M380" i="23"/>
  <c r="M381" i="23"/>
  <c r="M383" i="23"/>
  <c r="M385" i="23"/>
  <c r="M386" i="23"/>
  <c r="M388" i="23"/>
  <c r="M389" i="23"/>
  <c r="M390" i="23"/>
  <c r="M392" i="23"/>
  <c r="M397" i="23"/>
  <c r="M398" i="23"/>
  <c r="M399" i="23"/>
  <c r="M401" i="23"/>
  <c r="M402" i="23"/>
  <c r="M403" i="23"/>
  <c r="M404" i="23"/>
  <c r="M406" i="23"/>
  <c r="M408" i="23"/>
  <c r="M409" i="23"/>
  <c r="M410" i="23"/>
  <c r="M411" i="23"/>
  <c r="M412" i="23"/>
  <c r="M413" i="23"/>
  <c r="M414" i="23"/>
  <c r="M416" i="23"/>
  <c r="M419" i="23"/>
  <c r="M420" i="23"/>
  <c r="M421" i="23"/>
  <c r="M423" i="23"/>
  <c r="M424" i="23"/>
  <c r="M425" i="23"/>
  <c r="M427" i="23"/>
  <c r="M428" i="23"/>
  <c r="M429" i="23"/>
  <c r="M430" i="23"/>
  <c r="M431" i="23"/>
  <c r="M432" i="23"/>
  <c r="M434" i="23"/>
  <c r="M437" i="23"/>
  <c r="M438" i="23"/>
  <c r="M439" i="23"/>
  <c r="M440" i="23"/>
  <c r="M441" i="23"/>
  <c r="M442" i="23"/>
  <c r="M443" i="23"/>
  <c r="M445" i="23"/>
  <c r="M446" i="23"/>
  <c r="M447" i="23"/>
  <c r="M450" i="23"/>
  <c r="M451" i="23"/>
  <c r="M452" i="23"/>
  <c r="M453" i="23"/>
  <c r="M455" i="23"/>
  <c r="M456" i="23"/>
  <c r="M457" i="23"/>
  <c r="M458" i="23"/>
  <c r="M459" i="23"/>
  <c r="M461" i="23"/>
  <c r="M462" i="23"/>
  <c r="M463" i="23"/>
  <c r="M464" i="23"/>
  <c r="M465" i="23"/>
  <c r="M466" i="23"/>
  <c r="M467" i="23"/>
  <c r="M468" i="23"/>
  <c r="M469" i="23"/>
  <c r="M473" i="23"/>
  <c r="M474" i="23"/>
  <c r="M475" i="23"/>
  <c r="M478" i="23"/>
  <c r="M480" i="23"/>
  <c r="M481" i="23"/>
  <c r="M482" i="23"/>
  <c r="M484" i="23"/>
  <c r="M485" i="23"/>
  <c r="M487" i="23"/>
  <c r="M488" i="23"/>
  <c r="M490" i="23"/>
  <c r="M491" i="23"/>
  <c r="M492" i="23"/>
  <c r="M493" i="23"/>
  <c r="M494" i="23"/>
  <c r="M495" i="23"/>
  <c r="M498" i="23"/>
  <c r="M499" i="23"/>
  <c r="M500" i="23"/>
  <c r="M502" i="23"/>
  <c r="M503" i="23"/>
  <c r="M504" i="23"/>
  <c r="M505" i="23"/>
  <c r="M506" i="23"/>
  <c r="M507" i="23"/>
  <c r="M508" i="23"/>
  <c r="M509" i="23"/>
  <c r="M510" i="23"/>
  <c r="M513" i="23"/>
  <c r="M514" i="23"/>
  <c r="M516" i="23"/>
  <c r="M517" i="23"/>
  <c r="M518" i="23"/>
  <c r="M519" i="23"/>
  <c r="M520" i="23"/>
  <c r="M521" i="23"/>
  <c r="M523" i="23"/>
  <c r="M524" i="23"/>
  <c r="M525" i="23"/>
  <c r="M526" i="23"/>
  <c r="M528" i="23"/>
  <c r="M530" i="23"/>
  <c r="M532" i="23"/>
  <c r="M533" i="23"/>
  <c r="M534" i="23"/>
  <c r="M536" i="23"/>
  <c r="M540" i="23"/>
  <c r="M541" i="23"/>
  <c r="M542" i="23"/>
  <c r="M543" i="23"/>
  <c r="M544" i="23"/>
  <c r="M545" i="23"/>
  <c r="M546" i="23"/>
  <c r="M547" i="23"/>
  <c r="M548" i="23"/>
  <c r="M549" i="23"/>
  <c r="M551" i="23"/>
  <c r="M553" i="23"/>
  <c r="M555" i="23"/>
  <c r="M557" i="23"/>
  <c r="M559" i="23"/>
  <c r="M560" i="23"/>
  <c r="M561" i="23"/>
  <c r="M18" i="23"/>
  <c r="C7" i="41" l="1"/>
  <c r="C6" i="41"/>
  <c r="C4" i="41"/>
  <c r="C3" i="41"/>
  <c r="K43" i="23" l="1"/>
  <c r="L43" i="23"/>
  <c r="G61" i="24" l="1"/>
  <c r="G62" i="24" s="1"/>
  <c r="G63" i="24" s="1"/>
  <c r="G64" i="24" s="1"/>
  <c r="G65" i="24" s="1"/>
  <c r="G66" i="24" s="1"/>
  <c r="F561" i="23" l="1"/>
  <c r="F560" i="23"/>
  <c r="F559" i="23"/>
  <c r="F557" i="23"/>
  <c r="F556" i="23" s="1"/>
  <c r="F555" i="23"/>
  <c r="F554" i="23" s="1"/>
  <c r="F553" i="23"/>
  <c r="F552" i="23" s="1"/>
  <c r="F551" i="23"/>
  <c r="F550" i="23" s="1"/>
  <c r="F549" i="23"/>
  <c r="F548" i="23"/>
  <c r="F547" i="23"/>
  <c r="F546" i="23"/>
  <c r="F545" i="23"/>
  <c r="F544" i="23"/>
  <c r="F543" i="23"/>
  <c r="F542" i="23"/>
  <c r="F541" i="23"/>
  <c r="F540" i="23"/>
  <c r="F536" i="23"/>
  <c r="F535" i="23" s="1"/>
  <c r="F534" i="23"/>
  <c r="F533" i="23"/>
  <c r="F532" i="23"/>
  <c r="F530" i="23"/>
  <c r="F529" i="23" s="1"/>
  <c r="F528" i="23"/>
  <c r="F527" i="23" s="1"/>
  <c r="F526" i="23"/>
  <c r="F525" i="23"/>
  <c r="F524" i="23"/>
  <c r="F523" i="23"/>
  <c r="F521" i="23"/>
  <c r="F520" i="23"/>
  <c r="F518" i="23"/>
  <c r="F517" i="23"/>
  <c r="F516" i="23"/>
  <c r="F514" i="23"/>
  <c r="F513" i="23"/>
  <c r="F510" i="23"/>
  <c r="F509" i="23"/>
  <c r="F508" i="23"/>
  <c r="F507" i="23"/>
  <c r="F506" i="23"/>
  <c r="F505" i="23"/>
  <c r="F504" i="23"/>
  <c r="F503" i="23"/>
  <c r="F502" i="23"/>
  <c r="F500" i="23"/>
  <c r="F499" i="23"/>
  <c r="F498" i="23"/>
  <c r="F495" i="23"/>
  <c r="F494" i="23"/>
  <c r="F493" i="23"/>
  <c r="F492" i="23"/>
  <c r="F491" i="23"/>
  <c r="F490" i="23"/>
  <c r="F488" i="23"/>
  <c r="F487" i="23"/>
  <c r="F485" i="23"/>
  <c r="F484" i="23"/>
  <c r="F482" i="23"/>
  <c r="F481" i="23"/>
  <c r="F480" i="23"/>
  <c r="F478" i="23"/>
  <c r="F477" i="23" s="1"/>
  <c r="F475" i="23"/>
  <c r="F474" i="23"/>
  <c r="F473" i="23"/>
  <c r="F469" i="23"/>
  <c r="F468" i="23"/>
  <c r="F467" i="23"/>
  <c r="F466" i="23"/>
  <c r="F465" i="23"/>
  <c r="F464" i="23"/>
  <c r="F463" i="23"/>
  <c r="F462" i="23"/>
  <c r="F461" i="23"/>
  <c r="F459" i="23"/>
  <c r="F458" i="23"/>
  <c r="F457" i="23"/>
  <c r="F456" i="23"/>
  <c r="F455" i="23"/>
  <c r="F453" i="23"/>
  <c r="F452" i="23"/>
  <c r="F451" i="23"/>
  <c r="F450" i="23"/>
  <c r="F447" i="23"/>
  <c r="F446" i="23"/>
  <c r="F445" i="23"/>
  <c r="F443" i="23"/>
  <c r="F442" i="23"/>
  <c r="F441" i="23"/>
  <c r="F440" i="23"/>
  <c r="F439" i="23"/>
  <c r="F438" i="23"/>
  <c r="F437" i="23"/>
  <c r="F434" i="23"/>
  <c r="F433" i="23" s="1"/>
  <c r="F432" i="23"/>
  <c r="F431" i="23"/>
  <c r="F430" i="23"/>
  <c r="F429" i="23"/>
  <c r="F428" i="23"/>
  <c r="F427" i="23"/>
  <c r="F425" i="23"/>
  <c r="F424" i="23"/>
  <c r="F423" i="23"/>
  <c r="F421" i="23"/>
  <c r="F420" i="23"/>
  <c r="F419" i="23"/>
  <c r="F416" i="23"/>
  <c r="F415" i="23" s="1"/>
  <c r="F414" i="23"/>
  <c r="F413" i="23"/>
  <c r="F412" i="23"/>
  <c r="F411" i="23"/>
  <c r="F410" i="23"/>
  <c r="F409" i="23"/>
  <c r="F408" i="23"/>
  <c r="F406" i="23"/>
  <c r="F405" i="23" s="1"/>
  <c r="F404" i="23"/>
  <c r="F403" i="23"/>
  <c r="F402" i="23"/>
  <c r="F401" i="23"/>
  <c r="F399" i="23"/>
  <c r="F398" i="23"/>
  <c r="F397" i="23"/>
  <c r="F392" i="23"/>
  <c r="F391" i="23" s="1"/>
  <c r="F390" i="23"/>
  <c r="F389" i="23"/>
  <c r="F388" i="23"/>
  <c r="F385" i="23"/>
  <c r="F384" i="23" s="1"/>
  <c r="F383" i="23"/>
  <c r="F382" i="23" s="1"/>
  <c r="F381" i="23"/>
  <c r="F380" i="23"/>
  <c r="F379" i="23"/>
  <c r="F378" i="23"/>
  <c r="F376" i="23"/>
  <c r="F375" i="23"/>
  <c r="F374" i="23"/>
  <c r="F371" i="23"/>
  <c r="F370" i="23" s="1"/>
  <c r="F369" i="23"/>
  <c r="F368" i="23" s="1"/>
  <c r="F367" i="23"/>
  <c r="F366" i="23" s="1"/>
  <c r="F364" i="23"/>
  <c r="F363" i="23" s="1"/>
  <c r="F362" i="23"/>
  <c r="F361" i="23"/>
  <c r="F360" i="23"/>
  <c r="F359" i="23"/>
  <c r="F358" i="23"/>
  <c r="F357" i="23"/>
  <c r="F356" i="23"/>
  <c r="F354" i="23"/>
  <c r="F353" i="23"/>
  <c r="F352" i="23"/>
  <c r="F351" i="23"/>
  <c r="F350" i="23"/>
  <c r="F349" i="23"/>
  <c r="F345" i="23"/>
  <c r="F344" i="23"/>
  <c r="F343" i="23"/>
  <c r="F341" i="23"/>
  <c r="F340" i="23"/>
  <c r="F339" i="23"/>
  <c r="F338" i="23"/>
  <c r="F336" i="23"/>
  <c r="F335" i="23"/>
  <c r="F334" i="23"/>
  <c r="F333" i="23"/>
  <c r="F332" i="23"/>
  <c r="F330" i="23"/>
  <c r="F329" i="23"/>
  <c r="F328" i="23"/>
  <c r="F327" i="23"/>
  <c r="F326" i="23"/>
  <c r="F324" i="23"/>
  <c r="F323" i="23" s="1"/>
  <c r="F322" i="23"/>
  <c r="F321" i="23"/>
  <c r="F319" i="23"/>
  <c r="F318" i="23"/>
  <c r="F317" i="23"/>
  <c r="F316" i="23"/>
  <c r="F313" i="23"/>
  <c r="F312" i="23"/>
  <c r="F310" i="23"/>
  <c r="F309" i="23" s="1"/>
  <c r="F307" i="23"/>
  <c r="F306" i="23"/>
  <c r="F305" i="23"/>
  <c r="F303" i="23"/>
  <c r="F302" i="23" s="1"/>
  <c r="F300" i="23"/>
  <c r="F299" i="23"/>
  <c r="F297" i="23"/>
  <c r="F296" i="23"/>
  <c r="F295" i="23"/>
  <c r="F294" i="23"/>
  <c r="F293" i="23"/>
  <c r="F291" i="23"/>
  <c r="F290" i="23" s="1"/>
  <c r="F288" i="23"/>
  <c r="F287" i="23"/>
  <c r="F286" i="23"/>
  <c r="F285" i="23"/>
  <c r="F284" i="23"/>
  <c r="F283" i="23"/>
  <c r="F282" i="23"/>
  <c r="F281" i="23"/>
  <c r="F280" i="23"/>
  <c r="F279" i="23"/>
  <c r="F278" i="23"/>
  <c r="F277" i="23"/>
  <c r="F276" i="23"/>
  <c r="F275" i="23"/>
  <c r="F274" i="23"/>
  <c r="F273" i="23"/>
  <c r="F272" i="23"/>
  <c r="F271" i="23"/>
  <c r="F269" i="23"/>
  <c r="F268" i="23"/>
  <c r="F267" i="23"/>
  <c r="F265" i="23"/>
  <c r="F264" i="23" s="1"/>
  <c r="F262" i="23"/>
  <c r="F261" i="23"/>
  <c r="F259" i="23"/>
  <c r="F258" i="23" s="1"/>
  <c r="F256" i="23"/>
  <c r="F255" i="23"/>
  <c r="F254" i="23"/>
  <c r="F253" i="23"/>
  <c r="F252" i="23"/>
  <c r="F251" i="23"/>
  <c r="F249" i="23"/>
  <c r="F248" i="23"/>
  <c r="F246" i="23"/>
  <c r="F245" i="23"/>
  <c r="F244" i="23"/>
  <c r="F243" i="23"/>
  <c r="F242" i="23"/>
  <c r="F241" i="23"/>
  <c r="F240" i="23"/>
  <c r="F239" i="23"/>
  <c r="F238" i="23"/>
  <c r="F237" i="23"/>
  <c r="F236" i="23"/>
  <c r="F234" i="23"/>
  <c r="F233" i="23"/>
  <c r="F232" i="23"/>
  <c r="F231" i="23"/>
  <c r="F230" i="23"/>
  <c r="F229" i="23"/>
  <c r="F228" i="23"/>
  <c r="F227" i="23"/>
  <c r="F226" i="23"/>
  <c r="F225" i="23"/>
  <c r="F223" i="23"/>
  <c r="F222" i="23"/>
  <c r="F221" i="23"/>
  <c r="F219" i="23"/>
  <c r="F218" i="23"/>
  <c r="F217" i="23"/>
  <c r="F216" i="23"/>
  <c r="F214" i="23"/>
  <c r="F213" i="23"/>
  <c r="F212" i="23"/>
  <c r="F211" i="23"/>
  <c r="F210" i="23"/>
  <c r="F208" i="23"/>
  <c r="F207" i="23"/>
  <c r="F206" i="23"/>
  <c r="F204" i="23"/>
  <c r="F203" i="23"/>
  <c r="F202" i="23"/>
  <c r="F201" i="23"/>
  <c r="F200" i="23"/>
  <c r="F199" i="23"/>
  <c r="F198" i="23"/>
  <c r="F197" i="23"/>
  <c r="F196" i="23"/>
  <c r="F195" i="23"/>
  <c r="F194" i="23"/>
  <c r="F193" i="23"/>
  <c r="F191" i="23"/>
  <c r="F190" i="23"/>
  <c r="F189" i="23"/>
  <c r="F188" i="23"/>
  <c r="F187" i="23"/>
  <c r="F185" i="23"/>
  <c r="F184" i="23"/>
  <c r="F183" i="23"/>
  <c r="F177" i="23"/>
  <c r="F176" i="23" s="1"/>
  <c r="F175" i="23"/>
  <c r="F174" i="23"/>
  <c r="F173" i="23"/>
  <c r="F171" i="23"/>
  <c r="F170" i="23"/>
  <c r="F169" i="23"/>
  <c r="F167" i="23"/>
  <c r="F166" i="23"/>
  <c r="F163" i="23"/>
  <c r="F162" i="23"/>
  <c r="F161" i="23"/>
  <c r="F159" i="23"/>
  <c r="F158" i="23" s="1"/>
  <c r="F157" i="23"/>
  <c r="F156" i="23" s="1"/>
  <c r="F155" i="23"/>
  <c r="F154" i="23" s="1"/>
  <c r="F151" i="23"/>
  <c r="F150" i="23"/>
  <c r="F148" i="23"/>
  <c r="F147" i="23" s="1"/>
  <c r="F146" i="23"/>
  <c r="F145" i="23"/>
  <c r="F144" i="23"/>
  <c r="F141" i="23"/>
  <c r="F140" i="23"/>
  <c r="F138" i="23"/>
  <c r="F137" i="23" s="1"/>
  <c r="F135" i="23"/>
  <c r="F134" i="23" s="1"/>
  <c r="F133" i="23"/>
  <c r="F132" i="23" s="1"/>
  <c r="F131" i="23"/>
  <c r="F130" i="23" s="1"/>
  <c r="F128" i="23"/>
  <c r="F127" i="23" s="1"/>
  <c r="F126" i="23"/>
  <c r="F125" i="23"/>
  <c r="F124" i="23"/>
  <c r="F123" i="23"/>
  <c r="F121" i="23"/>
  <c r="F120" i="23"/>
  <c r="F119" i="23"/>
  <c r="F118" i="23"/>
  <c r="F116" i="23"/>
  <c r="F115" i="23"/>
  <c r="F114" i="23"/>
  <c r="F113" i="23"/>
  <c r="F111" i="23"/>
  <c r="F110" i="23"/>
  <c r="F109" i="23"/>
  <c r="F108" i="23"/>
  <c r="F107" i="23"/>
  <c r="F105" i="23"/>
  <c r="F104" i="23"/>
  <c r="F103" i="23"/>
  <c r="F102" i="23"/>
  <c r="F100" i="23"/>
  <c r="F99" i="23"/>
  <c r="F98" i="23"/>
  <c r="F97" i="23"/>
  <c r="F95" i="23"/>
  <c r="F94" i="23"/>
  <c r="F93" i="23"/>
  <c r="F92" i="23"/>
  <c r="F90" i="23"/>
  <c r="F89" i="23"/>
  <c r="F88" i="23"/>
  <c r="F87" i="23"/>
  <c r="F85" i="23"/>
  <c r="F84" i="23"/>
  <c r="F83" i="23"/>
  <c r="F80" i="23"/>
  <c r="F79" i="23"/>
  <c r="F78" i="23"/>
  <c r="F77" i="23"/>
  <c r="F76" i="23"/>
  <c r="F74" i="23"/>
  <c r="F73" i="23"/>
  <c r="F72" i="23"/>
  <c r="F71" i="23"/>
  <c r="F70" i="23"/>
  <c r="F69" i="23"/>
  <c r="F68" i="23"/>
  <c r="F67" i="23"/>
  <c r="F63" i="23"/>
  <c r="F62" i="23"/>
  <c r="F60" i="23"/>
  <c r="F59" i="23"/>
  <c r="F58" i="23"/>
  <c r="F57" i="23"/>
  <c r="F56" i="23"/>
  <c r="F55" i="23"/>
  <c r="F54" i="23"/>
  <c r="F53" i="23"/>
  <c r="F52" i="23"/>
  <c r="F50" i="23"/>
  <c r="F49" i="23"/>
  <c r="F48" i="23"/>
  <c r="F47" i="23"/>
  <c r="F46" i="23"/>
  <c r="F45" i="23"/>
  <c r="F43" i="23"/>
  <c r="F42" i="23" s="1"/>
  <c r="F41" i="23"/>
  <c r="F40" i="23"/>
  <c r="F39" i="23"/>
  <c r="F38" i="23"/>
  <c r="F37" i="23"/>
  <c r="F36" i="23"/>
  <c r="F35" i="23"/>
  <c r="F33" i="23"/>
  <c r="F32" i="23"/>
  <c r="F29" i="23"/>
  <c r="F28" i="23"/>
  <c r="F27" i="23"/>
  <c r="F26" i="23"/>
  <c r="F25" i="23"/>
  <c r="F23" i="23"/>
  <c r="F22" i="23"/>
  <c r="F21" i="23"/>
  <c r="F20" i="23"/>
  <c r="F19" i="23"/>
  <c r="F18" i="23"/>
  <c r="P63" i="23"/>
  <c r="I59" i="23"/>
  <c r="I57" i="23"/>
  <c r="I55" i="23"/>
  <c r="I53" i="23"/>
  <c r="P49" i="23"/>
  <c r="P47" i="23"/>
  <c r="P41" i="23"/>
  <c r="P39" i="23"/>
  <c r="P37" i="23"/>
  <c r="I33" i="23"/>
  <c r="I29" i="23"/>
  <c r="P488" i="23"/>
  <c r="L488" i="23"/>
  <c r="K488" i="23"/>
  <c r="I488" i="23"/>
  <c r="H488" i="23"/>
  <c r="P561" i="23"/>
  <c r="L561" i="23"/>
  <c r="K561" i="23"/>
  <c r="I561" i="23"/>
  <c r="H561" i="23"/>
  <c r="P560" i="23"/>
  <c r="L560" i="23"/>
  <c r="K560" i="23"/>
  <c r="I560" i="23"/>
  <c r="H560" i="23"/>
  <c r="P559" i="23"/>
  <c r="L559" i="23"/>
  <c r="K559" i="23"/>
  <c r="I559" i="23"/>
  <c r="H559" i="23"/>
  <c r="P557" i="23"/>
  <c r="L557" i="23"/>
  <c r="K557" i="23"/>
  <c r="I557" i="23"/>
  <c r="H557" i="23"/>
  <c r="P555" i="23"/>
  <c r="L555" i="23"/>
  <c r="K555" i="23"/>
  <c r="I555" i="23"/>
  <c r="H555" i="23"/>
  <c r="P553" i="23"/>
  <c r="L553" i="23"/>
  <c r="K553" i="23"/>
  <c r="I553" i="23"/>
  <c r="H553" i="23"/>
  <c r="P551" i="23"/>
  <c r="L551" i="23"/>
  <c r="K551" i="23"/>
  <c r="I551" i="23"/>
  <c r="H551" i="23"/>
  <c r="P549" i="23"/>
  <c r="L549" i="23"/>
  <c r="K549" i="23"/>
  <c r="I549" i="23"/>
  <c r="H549" i="23"/>
  <c r="P548" i="23"/>
  <c r="L548" i="23"/>
  <c r="K548" i="23"/>
  <c r="I548" i="23"/>
  <c r="H548" i="23"/>
  <c r="P547" i="23"/>
  <c r="L547" i="23"/>
  <c r="K547" i="23"/>
  <c r="I547" i="23"/>
  <c r="H547" i="23"/>
  <c r="P546" i="23"/>
  <c r="L546" i="23"/>
  <c r="K546" i="23"/>
  <c r="I546" i="23"/>
  <c r="H546" i="23"/>
  <c r="P545" i="23"/>
  <c r="L545" i="23"/>
  <c r="K545" i="23"/>
  <c r="I545" i="23"/>
  <c r="H545" i="23"/>
  <c r="P544" i="23"/>
  <c r="L544" i="23"/>
  <c r="K544" i="23"/>
  <c r="I544" i="23"/>
  <c r="H544" i="23"/>
  <c r="P543" i="23"/>
  <c r="L543" i="23"/>
  <c r="K543" i="23"/>
  <c r="I543" i="23"/>
  <c r="H543" i="23"/>
  <c r="P542" i="23"/>
  <c r="L542" i="23"/>
  <c r="K542" i="23"/>
  <c r="I542" i="23"/>
  <c r="H542" i="23"/>
  <c r="P541" i="23"/>
  <c r="L541" i="23"/>
  <c r="K541" i="23"/>
  <c r="I541" i="23"/>
  <c r="H541" i="23"/>
  <c r="P540" i="23"/>
  <c r="L540" i="23"/>
  <c r="K540" i="23"/>
  <c r="I540" i="23"/>
  <c r="H540" i="23"/>
  <c r="P536" i="23"/>
  <c r="L536" i="23"/>
  <c r="K536" i="23"/>
  <c r="I536" i="23"/>
  <c r="H536" i="23"/>
  <c r="P534" i="23"/>
  <c r="L534" i="23"/>
  <c r="K534" i="23"/>
  <c r="I534" i="23"/>
  <c r="H534" i="23"/>
  <c r="P533" i="23"/>
  <c r="L533" i="23"/>
  <c r="K533" i="23"/>
  <c r="I533" i="23"/>
  <c r="H533" i="23"/>
  <c r="P532" i="23"/>
  <c r="L532" i="23"/>
  <c r="K532" i="23"/>
  <c r="I532" i="23"/>
  <c r="H532" i="23"/>
  <c r="P530" i="23"/>
  <c r="L530" i="23"/>
  <c r="K530" i="23"/>
  <c r="I530" i="23"/>
  <c r="H530" i="23"/>
  <c r="P528" i="23"/>
  <c r="L528" i="23"/>
  <c r="K528" i="23"/>
  <c r="I528" i="23"/>
  <c r="H528" i="23"/>
  <c r="P526" i="23"/>
  <c r="L526" i="23"/>
  <c r="K526" i="23"/>
  <c r="I526" i="23"/>
  <c r="H526" i="23"/>
  <c r="P525" i="23"/>
  <c r="L525" i="23"/>
  <c r="K525" i="23"/>
  <c r="I525" i="23"/>
  <c r="H525" i="23"/>
  <c r="P524" i="23"/>
  <c r="L524" i="23"/>
  <c r="K524" i="23"/>
  <c r="I524" i="23"/>
  <c r="H524" i="23"/>
  <c r="P523" i="23"/>
  <c r="L523" i="23"/>
  <c r="K523" i="23"/>
  <c r="I523" i="23"/>
  <c r="H523" i="23"/>
  <c r="P521" i="23"/>
  <c r="L521" i="23"/>
  <c r="K521" i="23"/>
  <c r="I521" i="23"/>
  <c r="H521" i="23"/>
  <c r="P520" i="23"/>
  <c r="L520" i="23"/>
  <c r="K520" i="23"/>
  <c r="I520" i="23"/>
  <c r="H520" i="23"/>
  <c r="P518" i="23"/>
  <c r="L518" i="23"/>
  <c r="K518" i="23"/>
  <c r="I518" i="23"/>
  <c r="H518" i="23"/>
  <c r="P517" i="23"/>
  <c r="L517" i="23"/>
  <c r="K517" i="23"/>
  <c r="I517" i="23"/>
  <c r="H517" i="23"/>
  <c r="P516" i="23"/>
  <c r="L516" i="23"/>
  <c r="K516" i="23"/>
  <c r="I516" i="23"/>
  <c r="H516" i="23"/>
  <c r="P514" i="23"/>
  <c r="L514" i="23"/>
  <c r="K514" i="23"/>
  <c r="I514" i="23"/>
  <c r="H514" i="23"/>
  <c r="P513" i="23"/>
  <c r="L513" i="23"/>
  <c r="K513" i="23"/>
  <c r="I513" i="23"/>
  <c r="H513" i="23"/>
  <c r="P510" i="23"/>
  <c r="L510" i="23"/>
  <c r="K510" i="23"/>
  <c r="I510" i="23"/>
  <c r="H510" i="23"/>
  <c r="P509" i="23"/>
  <c r="L509" i="23"/>
  <c r="K509" i="23"/>
  <c r="I509" i="23"/>
  <c r="H509" i="23"/>
  <c r="P508" i="23"/>
  <c r="L508" i="23"/>
  <c r="K508" i="23"/>
  <c r="I508" i="23"/>
  <c r="H508" i="23"/>
  <c r="P507" i="23"/>
  <c r="L507" i="23"/>
  <c r="K507" i="23"/>
  <c r="I507" i="23"/>
  <c r="H507" i="23"/>
  <c r="P506" i="23"/>
  <c r="L506" i="23"/>
  <c r="K506" i="23"/>
  <c r="I506" i="23"/>
  <c r="H506" i="23"/>
  <c r="P505" i="23"/>
  <c r="L505" i="23"/>
  <c r="K505" i="23"/>
  <c r="I505" i="23"/>
  <c r="H505" i="23"/>
  <c r="P504" i="23"/>
  <c r="L504" i="23"/>
  <c r="K504" i="23"/>
  <c r="I504" i="23"/>
  <c r="H504" i="23"/>
  <c r="P503" i="23"/>
  <c r="L503" i="23"/>
  <c r="K503" i="23"/>
  <c r="I503" i="23"/>
  <c r="H503" i="23"/>
  <c r="P502" i="23"/>
  <c r="L502" i="23"/>
  <c r="K502" i="23"/>
  <c r="I502" i="23"/>
  <c r="H502" i="23"/>
  <c r="P500" i="23"/>
  <c r="L500" i="23"/>
  <c r="K500" i="23"/>
  <c r="I500" i="23"/>
  <c r="H500" i="23"/>
  <c r="P499" i="23"/>
  <c r="L499" i="23"/>
  <c r="K499" i="23"/>
  <c r="I499" i="23"/>
  <c r="H499" i="23"/>
  <c r="P498" i="23"/>
  <c r="L498" i="23"/>
  <c r="K498" i="23"/>
  <c r="I498" i="23"/>
  <c r="H498" i="23"/>
  <c r="P495" i="23"/>
  <c r="L495" i="23"/>
  <c r="K495" i="23"/>
  <c r="I495" i="23"/>
  <c r="H495" i="23"/>
  <c r="P494" i="23"/>
  <c r="L494" i="23"/>
  <c r="K494" i="23"/>
  <c r="I494" i="23"/>
  <c r="H494" i="23"/>
  <c r="P493" i="23"/>
  <c r="L493" i="23"/>
  <c r="K493" i="23"/>
  <c r="I493" i="23"/>
  <c r="H493" i="23"/>
  <c r="P492" i="23"/>
  <c r="L492" i="23"/>
  <c r="K492" i="23"/>
  <c r="I492" i="23"/>
  <c r="H492" i="23"/>
  <c r="P491" i="23"/>
  <c r="L491" i="23"/>
  <c r="K491" i="23"/>
  <c r="I491" i="23"/>
  <c r="H491" i="23"/>
  <c r="P490" i="23"/>
  <c r="L490" i="23"/>
  <c r="K490" i="23"/>
  <c r="I490" i="23"/>
  <c r="H490" i="23"/>
  <c r="P487" i="23"/>
  <c r="L487" i="23"/>
  <c r="K487" i="23"/>
  <c r="I487" i="23"/>
  <c r="H487" i="23"/>
  <c r="P485" i="23"/>
  <c r="L485" i="23"/>
  <c r="K485" i="23"/>
  <c r="I485" i="23"/>
  <c r="H485" i="23"/>
  <c r="P484" i="23"/>
  <c r="L484" i="23"/>
  <c r="K484" i="23"/>
  <c r="I484" i="23"/>
  <c r="H484" i="23"/>
  <c r="P482" i="23"/>
  <c r="L482" i="23"/>
  <c r="K482" i="23"/>
  <c r="I482" i="23"/>
  <c r="H482" i="23"/>
  <c r="P481" i="23"/>
  <c r="L481" i="23"/>
  <c r="K481" i="23"/>
  <c r="I481" i="23"/>
  <c r="H481" i="23"/>
  <c r="P480" i="23"/>
  <c r="L480" i="23"/>
  <c r="K480" i="23"/>
  <c r="I480" i="23"/>
  <c r="H480" i="23"/>
  <c r="P478" i="23"/>
  <c r="L478" i="23"/>
  <c r="K478" i="23"/>
  <c r="I478" i="23"/>
  <c r="H478" i="23"/>
  <c r="P473" i="23"/>
  <c r="L473" i="23"/>
  <c r="K473" i="23"/>
  <c r="I473" i="23"/>
  <c r="H473" i="23"/>
  <c r="P469" i="23"/>
  <c r="L469" i="23"/>
  <c r="K469" i="23"/>
  <c r="I469" i="23"/>
  <c r="H469" i="23"/>
  <c r="P468" i="23"/>
  <c r="L468" i="23"/>
  <c r="K468" i="23"/>
  <c r="I468" i="23"/>
  <c r="H468" i="23"/>
  <c r="P467" i="23"/>
  <c r="L467" i="23"/>
  <c r="K467" i="23"/>
  <c r="I467" i="23"/>
  <c r="H467" i="23"/>
  <c r="P466" i="23"/>
  <c r="L466" i="23"/>
  <c r="K466" i="23"/>
  <c r="I466" i="23"/>
  <c r="H466" i="23"/>
  <c r="P465" i="23"/>
  <c r="L465" i="23"/>
  <c r="K465" i="23"/>
  <c r="I465" i="23"/>
  <c r="H465" i="23"/>
  <c r="P464" i="23"/>
  <c r="L464" i="23"/>
  <c r="K464" i="23"/>
  <c r="I464" i="23"/>
  <c r="H464" i="23"/>
  <c r="P463" i="23"/>
  <c r="L463" i="23"/>
  <c r="K463" i="23"/>
  <c r="I463" i="23"/>
  <c r="H463" i="23"/>
  <c r="P462" i="23"/>
  <c r="L462" i="23"/>
  <c r="K462" i="23"/>
  <c r="I462" i="23"/>
  <c r="H462" i="23"/>
  <c r="P461" i="23"/>
  <c r="L461" i="23"/>
  <c r="K461" i="23"/>
  <c r="I461" i="23"/>
  <c r="H461" i="23"/>
  <c r="P459" i="23"/>
  <c r="L459" i="23"/>
  <c r="K459" i="23"/>
  <c r="I459" i="23"/>
  <c r="H459" i="23"/>
  <c r="P458" i="23"/>
  <c r="L458" i="23"/>
  <c r="K458" i="23"/>
  <c r="I458" i="23"/>
  <c r="H458" i="23"/>
  <c r="P457" i="23"/>
  <c r="L457" i="23"/>
  <c r="K457" i="23"/>
  <c r="I457" i="23"/>
  <c r="H457" i="23"/>
  <c r="P456" i="23"/>
  <c r="L456" i="23"/>
  <c r="K456" i="23"/>
  <c r="I456" i="23"/>
  <c r="H456" i="23"/>
  <c r="P455" i="23"/>
  <c r="L455" i="23"/>
  <c r="K455" i="23"/>
  <c r="I455" i="23"/>
  <c r="H455" i="23"/>
  <c r="P453" i="23"/>
  <c r="L453" i="23"/>
  <c r="K453" i="23"/>
  <c r="I453" i="23"/>
  <c r="H453" i="23"/>
  <c r="P452" i="23"/>
  <c r="L452" i="23"/>
  <c r="K452" i="23"/>
  <c r="I452" i="23"/>
  <c r="H452" i="23"/>
  <c r="P451" i="23"/>
  <c r="L451" i="23"/>
  <c r="K451" i="23"/>
  <c r="I451" i="23"/>
  <c r="H451" i="23"/>
  <c r="P450" i="23"/>
  <c r="L450" i="23"/>
  <c r="K450" i="23"/>
  <c r="I450" i="23"/>
  <c r="H450" i="23"/>
  <c r="P447" i="23"/>
  <c r="L447" i="23"/>
  <c r="K447" i="23"/>
  <c r="I447" i="23"/>
  <c r="H447" i="23"/>
  <c r="P446" i="23"/>
  <c r="L446" i="23"/>
  <c r="K446" i="23"/>
  <c r="I446" i="23"/>
  <c r="H446" i="23"/>
  <c r="P445" i="23"/>
  <c r="L445" i="23"/>
  <c r="K445" i="23"/>
  <c r="I445" i="23"/>
  <c r="H445" i="23"/>
  <c r="P443" i="23"/>
  <c r="L443" i="23"/>
  <c r="K443" i="23"/>
  <c r="I443" i="23"/>
  <c r="H443" i="23"/>
  <c r="P442" i="23"/>
  <c r="L442" i="23"/>
  <c r="K442" i="23"/>
  <c r="I442" i="23"/>
  <c r="H442" i="23"/>
  <c r="P441" i="23"/>
  <c r="L441" i="23"/>
  <c r="K441" i="23"/>
  <c r="I441" i="23"/>
  <c r="H441" i="23"/>
  <c r="P440" i="23"/>
  <c r="L440" i="23"/>
  <c r="K440" i="23"/>
  <c r="I440" i="23"/>
  <c r="H440" i="23"/>
  <c r="P439" i="23"/>
  <c r="L439" i="23"/>
  <c r="K439" i="23"/>
  <c r="I439" i="23"/>
  <c r="H439" i="23"/>
  <c r="P438" i="23"/>
  <c r="L438" i="23"/>
  <c r="K438" i="23"/>
  <c r="I438" i="23"/>
  <c r="H438" i="23"/>
  <c r="P437" i="23"/>
  <c r="L437" i="23"/>
  <c r="K437" i="23"/>
  <c r="I437" i="23"/>
  <c r="H437" i="23"/>
  <c r="P434" i="23"/>
  <c r="L434" i="23"/>
  <c r="K434" i="23"/>
  <c r="I434" i="23"/>
  <c r="H434" i="23"/>
  <c r="P432" i="23"/>
  <c r="L432" i="23"/>
  <c r="K432" i="23"/>
  <c r="I432" i="23"/>
  <c r="H432" i="23"/>
  <c r="P431" i="23"/>
  <c r="L431" i="23"/>
  <c r="K431" i="23"/>
  <c r="I431" i="23"/>
  <c r="H431" i="23"/>
  <c r="P430" i="23"/>
  <c r="L430" i="23"/>
  <c r="K430" i="23"/>
  <c r="I430" i="23"/>
  <c r="H430" i="23"/>
  <c r="P429" i="23"/>
  <c r="L429" i="23"/>
  <c r="K429" i="23"/>
  <c r="I429" i="23"/>
  <c r="H429" i="23"/>
  <c r="P428" i="23"/>
  <c r="L428" i="23"/>
  <c r="K428" i="23"/>
  <c r="I428" i="23"/>
  <c r="H428" i="23"/>
  <c r="P427" i="23"/>
  <c r="L427" i="23"/>
  <c r="K427" i="23"/>
  <c r="I427" i="23"/>
  <c r="H427" i="23"/>
  <c r="P425" i="23"/>
  <c r="L425" i="23"/>
  <c r="K425" i="23"/>
  <c r="I425" i="23"/>
  <c r="H425" i="23"/>
  <c r="P424" i="23"/>
  <c r="L424" i="23"/>
  <c r="K424" i="23"/>
  <c r="I424" i="23"/>
  <c r="H424" i="23"/>
  <c r="P423" i="23"/>
  <c r="L423" i="23"/>
  <c r="K423" i="23"/>
  <c r="I423" i="23"/>
  <c r="H423" i="23"/>
  <c r="P421" i="23"/>
  <c r="L421" i="23"/>
  <c r="K421" i="23"/>
  <c r="I421" i="23"/>
  <c r="H421" i="23"/>
  <c r="P420" i="23"/>
  <c r="L420" i="23"/>
  <c r="K420" i="23"/>
  <c r="I420" i="23"/>
  <c r="H420" i="23"/>
  <c r="P419" i="23"/>
  <c r="L419" i="23"/>
  <c r="K419" i="23"/>
  <c r="I419" i="23"/>
  <c r="H419" i="23"/>
  <c r="P416" i="23"/>
  <c r="L416" i="23"/>
  <c r="K416" i="23"/>
  <c r="I416" i="23"/>
  <c r="H416" i="23"/>
  <c r="P414" i="23"/>
  <c r="L414" i="23"/>
  <c r="K414" i="23"/>
  <c r="I414" i="23"/>
  <c r="H414" i="23"/>
  <c r="P413" i="23"/>
  <c r="L413" i="23"/>
  <c r="K413" i="23"/>
  <c r="I413" i="23"/>
  <c r="H413" i="23"/>
  <c r="P412" i="23"/>
  <c r="L412" i="23"/>
  <c r="K412" i="23"/>
  <c r="I412" i="23"/>
  <c r="H412" i="23"/>
  <c r="P411" i="23"/>
  <c r="L411" i="23"/>
  <c r="K411" i="23"/>
  <c r="I411" i="23"/>
  <c r="H411" i="23"/>
  <c r="P410" i="23"/>
  <c r="L410" i="23"/>
  <c r="K410" i="23"/>
  <c r="I410" i="23"/>
  <c r="H410" i="23"/>
  <c r="P409" i="23"/>
  <c r="L409" i="23"/>
  <c r="K409" i="23"/>
  <c r="I409" i="23"/>
  <c r="H409" i="23"/>
  <c r="P408" i="23"/>
  <c r="L408" i="23"/>
  <c r="K408" i="23"/>
  <c r="I408" i="23"/>
  <c r="H408" i="23"/>
  <c r="P406" i="23"/>
  <c r="L406" i="23"/>
  <c r="K406" i="23"/>
  <c r="I406" i="23"/>
  <c r="H406" i="23"/>
  <c r="P404" i="23"/>
  <c r="L404" i="23"/>
  <c r="K404" i="23"/>
  <c r="I404" i="23"/>
  <c r="H404" i="23"/>
  <c r="P403" i="23"/>
  <c r="L403" i="23"/>
  <c r="K403" i="23"/>
  <c r="I403" i="23"/>
  <c r="H403" i="23"/>
  <c r="P402" i="23"/>
  <c r="L402" i="23"/>
  <c r="K402" i="23"/>
  <c r="I402" i="23"/>
  <c r="H402" i="23"/>
  <c r="P401" i="23"/>
  <c r="L401" i="23"/>
  <c r="K401" i="23"/>
  <c r="I401" i="23"/>
  <c r="H401" i="23"/>
  <c r="P399" i="23"/>
  <c r="L399" i="23"/>
  <c r="K399" i="23"/>
  <c r="I399" i="23"/>
  <c r="H399" i="23"/>
  <c r="P398" i="23"/>
  <c r="L398" i="23"/>
  <c r="K398" i="23"/>
  <c r="I398" i="23"/>
  <c r="H398" i="23"/>
  <c r="P397" i="23"/>
  <c r="L397" i="23"/>
  <c r="K397" i="23"/>
  <c r="I397" i="23"/>
  <c r="H397" i="23"/>
  <c r="P392" i="23"/>
  <c r="L392" i="23"/>
  <c r="K392" i="23"/>
  <c r="I392" i="23"/>
  <c r="H392" i="23"/>
  <c r="P390" i="23"/>
  <c r="L390" i="23"/>
  <c r="K390" i="23"/>
  <c r="I390" i="23"/>
  <c r="H390" i="23"/>
  <c r="P389" i="23"/>
  <c r="L389" i="23"/>
  <c r="K389" i="23"/>
  <c r="I389" i="23"/>
  <c r="H389" i="23"/>
  <c r="P388" i="23"/>
  <c r="L388" i="23"/>
  <c r="K388" i="23"/>
  <c r="I388" i="23"/>
  <c r="H388" i="23"/>
  <c r="P385" i="23"/>
  <c r="L385" i="23"/>
  <c r="K385" i="23"/>
  <c r="I385" i="23"/>
  <c r="H385" i="23"/>
  <c r="P383" i="23"/>
  <c r="L383" i="23"/>
  <c r="K383" i="23"/>
  <c r="I383" i="23"/>
  <c r="H383" i="23"/>
  <c r="P381" i="23"/>
  <c r="L381" i="23"/>
  <c r="K381" i="23"/>
  <c r="I381" i="23"/>
  <c r="H381" i="23"/>
  <c r="P380" i="23"/>
  <c r="L380" i="23"/>
  <c r="K380" i="23"/>
  <c r="I380" i="23"/>
  <c r="H380" i="23"/>
  <c r="P379" i="23"/>
  <c r="L379" i="23"/>
  <c r="K379" i="23"/>
  <c r="I379" i="23"/>
  <c r="H379" i="23"/>
  <c r="P378" i="23"/>
  <c r="L378" i="23"/>
  <c r="K378" i="23"/>
  <c r="I378" i="23"/>
  <c r="H378" i="23"/>
  <c r="P376" i="23"/>
  <c r="L376" i="23"/>
  <c r="K376" i="23"/>
  <c r="I376" i="23"/>
  <c r="H376" i="23"/>
  <c r="P375" i="23"/>
  <c r="L375" i="23"/>
  <c r="K375" i="23"/>
  <c r="I375" i="23"/>
  <c r="H375" i="23"/>
  <c r="P374" i="23"/>
  <c r="L374" i="23"/>
  <c r="K374" i="23"/>
  <c r="I374" i="23"/>
  <c r="H374" i="23"/>
  <c r="P371" i="23"/>
  <c r="L371" i="23"/>
  <c r="K371" i="23"/>
  <c r="I371" i="23"/>
  <c r="H371" i="23"/>
  <c r="P369" i="23"/>
  <c r="L369" i="23"/>
  <c r="K369" i="23"/>
  <c r="I369" i="23"/>
  <c r="H369" i="23"/>
  <c r="P367" i="23"/>
  <c r="L367" i="23"/>
  <c r="K367" i="23"/>
  <c r="I367" i="23"/>
  <c r="H367" i="23"/>
  <c r="P364" i="23"/>
  <c r="L364" i="23"/>
  <c r="K364" i="23"/>
  <c r="I364" i="23"/>
  <c r="H364" i="23"/>
  <c r="P362" i="23"/>
  <c r="L362" i="23"/>
  <c r="K362" i="23"/>
  <c r="I362" i="23"/>
  <c r="H362" i="23"/>
  <c r="P361" i="23"/>
  <c r="L361" i="23"/>
  <c r="K361" i="23"/>
  <c r="I361" i="23"/>
  <c r="H361" i="23"/>
  <c r="P360" i="23"/>
  <c r="L360" i="23"/>
  <c r="K360" i="23"/>
  <c r="I360" i="23"/>
  <c r="H360" i="23"/>
  <c r="P359" i="23"/>
  <c r="L359" i="23"/>
  <c r="K359" i="23"/>
  <c r="I359" i="23"/>
  <c r="H359" i="23"/>
  <c r="P358" i="23"/>
  <c r="L358" i="23"/>
  <c r="K358" i="23"/>
  <c r="I358" i="23"/>
  <c r="H358" i="23"/>
  <c r="P357" i="23"/>
  <c r="L357" i="23"/>
  <c r="K357" i="23"/>
  <c r="I357" i="23"/>
  <c r="H357" i="23"/>
  <c r="P356" i="23"/>
  <c r="L356" i="23"/>
  <c r="K356" i="23"/>
  <c r="I356" i="23"/>
  <c r="H356" i="23"/>
  <c r="P354" i="23"/>
  <c r="L354" i="23"/>
  <c r="K354" i="23"/>
  <c r="I354" i="23"/>
  <c r="H354" i="23"/>
  <c r="P353" i="23"/>
  <c r="L353" i="23"/>
  <c r="K353" i="23"/>
  <c r="I353" i="23"/>
  <c r="H353" i="23"/>
  <c r="P352" i="23"/>
  <c r="L352" i="23"/>
  <c r="K352" i="23"/>
  <c r="I352" i="23"/>
  <c r="H352" i="23"/>
  <c r="P351" i="23"/>
  <c r="L351" i="23"/>
  <c r="K351" i="23"/>
  <c r="I351" i="23"/>
  <c r="H351" i="23"/>
  <c r="P350" i="23"/>
  <c r="L350" i="23"/>
  <c r="K350" i="23"/>
  <c r="I350" i="23"/>
  <c r="H350" i="23"/>
  <c r="P349" i="23"/>
  <c r="L349" i="23"/>
  <c r="K349" i="23"/>
  <c r="I349" i="23"/>
  <c r="H349" i="23"/>
  <c r="P345" i="23"/>
  <c r="L345" i="23"/>
  <c r="K345" i="23"/>
  <c r="I345" i="23"/>
  <c r="H345" i="23"/>
  <c r="P344" i="23"/>
  <c r="L344" i="23"/>
  <c r="K344" i="23"/>
  <c r="I344" i="23"/>
  <c r="H344" i="23"/>
  <c r="P343" i="23"/>
  <c r="L343" i="23"/>
  <c r="K343" i="23"/>
  <c r="I343" i="23"/>
  <c r="H343" i="23"/>
  <c r="P341" i="23"/>
  <c r="L341" i="23"/>
  <c r="K341" i="23"/>
  <c r="I341" i="23"/>
  <c r="H341" i="23"/>
  <c r="P340" i="23"/>
  <c r="L340" i="23"/>
  <c r="K340" i="23"/>
  <c r="I340" i="23"/>
  <c r="H340" i="23"/>
  <c r="P339" i="23"/>
  <c r="L339" i="23"/>
  <c r="K339" i="23"/>
  <c r="I339" i="23"/>
  <c r="H339" i="23"/>
  <c r="P338" i="23"/>
  <c r="L338" i="23"/>
  <c r="K338" i="23"/>
  <c r="I338" i="23"/>
  <c r="H338" i="23"/>
  <c r="P336" i="23"/>
  <c r="L336" i="23"/>
  <c r="K336" i="23"/>
  <c r="I336" i="23"/>
  <c r="H336" i="23"/>
  <c r="P335" i="23"/>
  <c r="L335" i="23"/>
  <c r="K335" i="23"/>
  <c r="I335" i="23"/>
  <c r="H335" i="23"/>
  <c r="P334" i="23"/>
  <c r="L334" i="23"/>
  <c r="K334" i="23"/>
  <c r="I334" i="23"/>
  <c r="H334" i="23"/>
  <c r="P333" i="23"/>
  <c r="L333" i="23"/>
  <c r="K333" i="23"/>
  <c r="I333" i="23"/>
  <c r="H333" i="23"/>
  <c r="P332" i="23"/>
  <c r="L332" i="23"/>
  <c r="K332" i="23"/>
  <c r="I332" i="23"/>
  <c r="H332" i="23"/>
  <c r="P330" i="23"/>
  <c r="L330" i="23"/>
  <c r="K330" i="23"/>
  <c r="I330" i="23"/>
  <c r="H330" i="23"/>
  <c r="P329" i="23"/>
  <c r="L329" i="23"/>
  <c r="K329" i="23"/>
  <c r="I329" i="23"/>
  <c r="H329" i="23"/>
  <c r="P328" i="23"/>
  <c r="L328" i="23"/>
  <c r="K328" i="23"/>
  <c r="I328" i="23"/>
  <c r="H328" i="23"/>
  <c r="P327" i="23"/>
  <c r="L327" i="23"/>
  <c r="K327" i="23"/>
  <c r="I327" i="23"/>
  <c r="H327" i="23"/>
  <c r="P326" i="23"/>
  <c r="L326" i="23"/>
  <c r="K326" i="23"/>
  <c r="I326" i="23"/>
  <c r="H326" i="23"/>
  <c r="P324" i="23"/>
  <c r="L324" i="23"/>
  <c r="K324" i="23"/>
  <c r="I324" i="23"/>
  <c r="H324" i="23"/>
  <c r="P322" i="23"/>
  <c r="L322" i="23"/>
  <c r="K322" i="23"/>
  <c r="I322" i="23"/>
  <c r="H322" i="23"/>
  <c r="P321" i="23"/>
  <c r="L321" i="23"/>
  <c r="K321" i="23"/>
  <c r="I321" i="23"/>
  <c r="H321" i="23"/>
  <c r="P319" i="23"/>
  <c r="L319" i="23"/>
  <c r="K319" i="23"/>
  <c r="I319" i="23"/>
  <c r="H319" i="23"/>
  <c r="P318" i="23"/>
  <c r="L318" i="23"/>
  <c r="K318" i="23"/>
  <c r="I318" i="23"/>
  <c r="H318" i="23"/>
  <c r="P317" i="23"/>
  <c r="L317" i="23"/>
  <c r="K317" i="23"/>
  <c r="I317" i="23"/>
  <c r="H317" i="23"/>
  <c r="P316" i="23"/>
  <c r="L316" i="23"/>
  <c r="K316" i="23"/>
  <c r="I316" i="23"/>
  <c r="H316" i="23"/>
  <c r="P313" i="23"/>
  <c r="L313" i="23"/>
  <c r="K313" i="23"/>
  <c r="I313" i="23"/>
  <c r="H313" i="23"/>
  <c r="P312" i="23"/>
  <c r="L312" i="23"/>
  <c r="K312" i="23"/>
  <c r="I312" i="23"/>
  <c r="H312" i="23"/>
  <c r="P310" i="23"/>
  <c r="L310" i="23"/>
  <c r="K310" i="23"/>
  <c r="I310" i="23"/>
  <c r="H310" i="23"/>
  <c r="P307" i="23"/>
  <c r="L307" i="23"/>
  <c r="K307" i="23"/>
  <c r="I307" i="23"/>
  <c r="H307" i="23"/>
  <c r="P306" i="23"/>
  <c r="L306" i="23"/>
  <c r="K306" i="23"/>
  <c r="I306" i="23"/>
  <c r="H306" i="23"/>
  <c r="P305" i="23"/>
  <c r="L305" i="23"/>
  <c r="K305" i="23"/>
  <c r="I305" i="23"/>
  <c r="H305" i="23"/>
  <c r="P303" i="23"/>
  <c r="L303" i="23"/>
  <c r="K303" i="23"/>
  <c r="I303" i="23"/>
  <c r="H303" i="23"/>
  <c r="P300" i="23"/>
  <c r="L300" i="23"/>
  <c r="K300" i="23"/>
  <c r="I300" i="23"/>
  <c r="H300" i="23"/>
  <c r="P299" i="23"/>
  <c r="L299" i="23"/>
  <c r="K299" i="23"/>
  <c r="I299" i="23"/>
  <c r="H299" i="23"/>
  <c r="P297" i="23"/>
  <c r="L297" i="23"/>
  <c r="K297" i="23"/>
  <c r="I297" i="23"/>
  <c r="H297" i="23"/>
  <c r="P296" i="23"/>
  <c r="L296" i="23"/>
  <c r="K296" i="23"/>
  <c r="I296" i="23"/>
  <c r="H296" i="23"/>
  <c r="P295" i="23"/>
  <c r="L295" i="23"/>
  <c r="K295" i="23"/>
  <c r="I295" i="23"/>
  <c r="H295" i="23"/>
  <c r="P294" i="23"/>
  <c r="L294" i="23"/>
  <c r="K294" i="23"/>
  <c r="I294" i="23"/>
  <c r="H294" i="23"/>
  <c r="P293" i="23"/>
  <c r="L293" i="23"/>
  <c r="K293" i="23"/>
  <c r="I293" i="23"/>
  <c r="H293" i="23"/>
  <c r="P291" i="23"/>
  <c r="L291" i="23"/>
  <c r="K291" i="23"/>
  <c r="I291" i="23"/>
  <c r="H291" i="23"/>
  <c r="P288" i="23"/>
  <c r="L288" i="23"/>
  <c r="K288" i="23"/>
  <c r="I288" i="23"/>
  <c r="H288" i="23"/>
  <c r="P287" i="23"/>
  <c r="L287" i="23"/>
  <c r="K287" i="23"/>
  <c r="I287" i="23"/>
  <c r="H287" i="23"/>
  <c r="P286" i="23"/>
  <c r="L286" i="23"/>
  <c r="K286" i="23"/>
  <c r="I286" i="23"/>
  <c r="H286" i="23"/>
  <c r="P285" i="23"/>
  <c r="L285" i="23"/>
  <c r="K285" i="23"/>
  <c r="I285" i="23"/>
  <c r="H285" i="23"/>
  <c r="O284" i="23"/>
  <c r="L284" i="23"/>
  <c r="K284" i="23"/>
  <c r="I284" i="23"/>
  <c r="H284" i="23"/>
  <c r="O283" i="23"/>
  <c r="L283" i="23"/>
  <c r="K283" i="23"/>
  <c r="I283" i="23"/>
  <c r="H283" i="23"/>
  <c r="O282" i="23"/>
  <c r="L282" i="23"/>
  <c r="K282" i="23"/>
  <c r="I282" i="23"/>
  <c r="H282" i="23"/>
  <c r="O281" i="23"/>
  <c r="L281" i="23"/>
  <c r="K281" i="23"/>
  <c r="I281" i="23"/>
  <c r="H281" i="23"/>
  <c r="O280" i="23"/>
  <c r="L280" i="23"/>
  <c r="K280" i="23"/>
  <c r="I280" i="23"/>
  <c r="H280" i="23"/>
  <c r="O279" i="23"/>
  <c r="L279" i="23"/>
  <c r="K279" i="23"/>
  <c r="I279" i="23"/>
  <c r="H279" i="23"/>
  <c r="O278" i="23"/>
  <c r="L278" i="23"/>
  <c r="K278" i="23"/>
  <c r="I278" i="23"/>
  <c r="H278" i="23"/>
  <c r="O277" i="23"/>
  <c r="L277" i="23"/>
  <c r="K277" i="23"/>
  <c r="I277" i="23"/>
  <c r="H277" i="23"/>
  <c r="O276" i="23"/>
  <c r="L276" i="23"/>
  <c r="K276" i="23"/>
  <c r="I276" i="23"/>
  <c r="H276" i="23"/>
  <c r="O275" i="23"/>
  <c r="L275" i="23"/>
  <c r="K275" i="23"/>
  <c r="I275" i="23"/>
  <c r="H275" i="23"/>
  <c r="O274" i="23"/>
  <c r="L274" i="23"/>
  <c r="K274" i="23"/>
  <c r="I274" i="23"/>
  <c r="H274" i="23"/>
  <c r="O273" i="23"/>
  <c r="L273" i="23"/>
  <c r="K273" i="23"/>
  <c r="I273" i="23"/>
  <c r="H273" i="23"/>
  <c r="O272" i="23"/>
  <c r="L272" i="23"/>
  <c r="K272" i="23"/>
  <c r="I272" i="23"/>
  <c r="H272" i="23"/>
  <c r="O271" i="23"/>
  <c r="L271" i="23"/>
  <c r="K271" i="23"/>
  <c r="I271" i="23"/>
  <c r="H271" i="23"/>
  <c r="P269" i="23"/>
  <c r="L269" i="23"/>
  <c r="K269" i="23"/>
  <c r="I269" i="23"/>
  <c r="H269" i="23"/>
  <c r="P268" i="23"/>
  <c r="L268" i="23"/>
  <c r="K268" i="23"/>
  <c r="I268" i="23"/>
  <c r="H268" i="23"/>
  <c r="P267" i="23"/>
  <c r="L267" i="23"/>
  <c r="K267" i="23"/>
  <c r="I267" i="23"/>
  <c r="H267" i="23"/>
  <c r="P265" i="23"/>
  <c r="L265" i="23"/>
  <c r="K265" i="23"/>
  <c r="I265" i="23"/>
  <c r="H265" i="23"/>
  <c r="P262" i="23"/>
  <c r="L262" i="23"/>
  <c r="K262" i="23"/>
  <c r="I262" i="23"/>
  <c r="H262" i="23"/>
  <c r="P261" i="23"/>
  <c r="L261" i="23"/>
  <c r="K261" i="23"/>
  <c r="I261" i="23"/>
  <c r="H261" i="23"/>
  <c r="P259" i="23"/>
  <c r="L259" i="23"/>
  <c r="K259" i="23"/>
  <c r="I259" i="23"/>
  <c r="H259" i="23"/>
  <c r="P256" i="23"/>
  <c r="L256" i="23"/>
  <c r="K256" i="23"/>
  <c r="I256" i="23"/>
  <c r="H256" i="23"/>
  <c r="P255" i="23"/>
  <c r="L255" i="23"/>
  <c r="K255" i="23"/>
  <c r="I255" i="23"/>
  <c r="H255" i="23"/>
  <c r="P254" i="23"/>
  <c r="L254" i="23"/>
  <c r="K254" i="23"/>
  <c r="I254" i="23"/>
  <c r="H254" i="23"/>
  <c r="P253" i="23"/>
  <c r="L253" i="23"/>
  <c r="K253" i="23"/>
  <c r="I253" i="23"/>
  <c r="H253" i="23"/>
  <c r="P252" i="23"/>
  <c r="L252" i="23"/>
  <c r="K252" i="23"/>
  <c r="I252" i="23"/>
  <c r="H252" i="23"/>
  <c r="P251" i="23"/>
  <c r="L251" i="23"/>
  <c r="K251" i="23"/>
  <c r="I251" i="23"/>
  <c r="H251" i="23"/>
  <c r="P249" i="23"/>
  <c r="L249" i="23"/>
  <c r="K249" i="23"/>
  <c r="I249" i="23"/>
  <c r="H249" i="23"/>
  <c r="P248" i="23"/>
  <c r="L248" i="23"/>
  <c r="K248" i="23"/>
  <c r="I248" i="23"/>
  <c r="H248" i="23"/>
  <c r="P246" i="23"/>
  <c r="L246" i="23"/>
  <c r="K246" i="23"/>
  <c r="I246" i="23"/>
  <c r="H246" i="23"/>
  <c r="P245" i="23"/>
  <c r="L245" i="23"/>
  <c r="K245" i="23"/>
  <c r="I245" i="23"/>
  <c r="H245" i="23"/>
  <c r="P244" i="23"/>
  <c r="L244" i="23"/>
  <c r="K244" i="23"/>
  <c r="I244" i="23"/>
  <c r="H244" i="23"/>
  <c r="P243" i="23"/>
  <c r="L243" i="23"/>
  <c r="K243" i="23"/>
  <c r="I243" i="23"/>
  <c r="H243" i="23"/>
  <c r="P242" i="23"/>
  <c r="L242" i="23"/>
  <c r="K242" i="23"/>
  <c r="I242" i="23"/>
  <c r="H242" i="23"/>
  <c r="P241" i="23"/>
  <c r="L241" i="23"/>
  <c r="K241" i="23"/>
  <c r="I241" i="23"/>
  <c r="H241" i="23"/>
  <c r="O240" i="23"/>
  <c r="L240" i="23"/>
  <c r="K240" i="23"/>
  <c r="I240" i="23"/>
  <c r="H240" i="23"/>
  <c r="O239" i="23"/>
  <c r="L239" i="23"/>
  <c r="K239" i="23"/>
  <c r="I239" i="23"/>
  <c r="H239" i="23"/>
  <c r="O238" i="23"/>
  <c r="L238" i="23"/>
  <c r="K238" i="23"/>
  <c r="I238" i="23"/>
  <c r="H238" i="23"/>
  <c r="O237" i="23"/>
  <c r="L237" i="23"/>
  <c r="K237" i="23"/>
  <c r="I237" i="23"/>
  <c r="H237" i="23"/>
  <c r="O236" i="23"/>
  <c r="L236" i="23"/>
  <c r="K236" i="23"/>
  <c r="I236" i="23"/>
  <c r="H236" i="23"/>
  <c r="P234" i="23"/>
  <c r="L234" i="23"/>
  <c r="K234" i="23"/>
  <c r="I234" i="23"/>
  <c r="H234" i="23"/>
  <c r="P233" i="23"/>
  <c r="L233" i="23"/>
  <c r="K233" i="23"/>
  <c r="I233" i="23"/>
  <c r="H233" i="23"/>
  <c r="P232" i="23"/>
  <c r="L232" i="23"/>
  <c r="K232" i="23"/>
  <c r="I232" i="23"/>
  <c r="H232" i="23"/>
  <c r="P231" i="23"/>
  <c r="L231" i="23"/>
  <c r="K231" i="23"/>
  <c r="I231" i="23"/>
  <c r="H231" i="23"/>
  <c r="P230" i="23"/>
  <c r="L230" i="23"/>
  <c r="K230" i="23"/>
  <c r="I230" i="23"/>
  <c r="H230" i="23"/>
  <c r="P229" i="23"/>
  <c r="L229" i="23"/>
  <c r="K229" i="23"/>
  <c r="I229" i="23"/>
  <c r="H229" i="23"/>
  <c r="P228" i="23"/>
  <c r="L228" i="23"/>
  <c r="K228" i="23"/>
  <c r="I228" i="23"/>
  <c r="H228" i="23"/>
  <c r="P227" i="23"/>
  <c r="L227" i="23"/>
  <c r="K227" i="23"/>
  <c r="I227" i="23"/>
  <c r="H227" i="23"/>
  <c r="P226" i="23"/>
  <c r="L226" i="23"/>
  <c r="K226" i="23"/>
  <c r="I226" i="23"/>
  <c r="H226" i="23"/>
  <c r="P225" i="23"/>
  <c r="L225" i="23"/>
  <c r="K225" i="23"/>
  <c r="I225" i="23"/>
  <c r="H225" i="23"/>
  <c r="P223" i="23"/>
  <c r="L223" i="23"/>
  <c r="K223" i="23"/>
  <c r="I223" i="23"/>
  <c r="H223" i="23"/>
  <c r="P222" i="23"/>
  <c r="L222" i="23"/>
  <c r="K222" i="23"/>
  <c r="I222" i="23"/>
  <c r="H222" i="23"/>
  <c r="P221" i="23"/>
  <c r="L221" i="23"/>
  <c r="K221" i="23"/>
  <c r="I221" i="23"/>
  <c r="H221" i="23"/>
  <c r="P219" i="23"/>
  <c r="L219" i="23"/>
  <c r="K219" i="23"/>
  <c r="I219" i="23"/>
  <c r="H219" i="23"/>
  <c r="P218" i="23"/>
  <c r="L218" i="23"/>
  <c r="K218" i="23"/>
  <c r="I218" i="23"/>
  <c r="H218" i="23"/>
  <c r="P217" i="23"/>
  <c r="L217" i="23"/>
  <c r="K217" i="23"/>
  <c r="I217" i="23"/>
  <c r="H217" i="23"/>
  <c r="P216" i="23"/>
  <c r="L216" i="23"/>
  <c r="K216" i="23"/>
  <c r="I216" i="23"/>
  <c r="H216" i="23"/>
  <c r="P214" i="23"/>
  <c r="L214" i="23"/>
  <c r="K214" i="23"/>
  <c r="I214" i="23"/>
  <c r="H214" i="23"/>
  <c r="P213" i="23"/>
  <c r="L213" i="23"/>
  <c r="K213" i="23"/>
  <c r="I213" i="23"/>
  <c r="H213" i="23"/>
  <c r="P212" i="23"/>
  <c r="L212" i="23"/>
  <c r="K212" i="23"/>
  <c r="I212" i="23"/>
  <c r="H212" i="23"/>
  <c r="P211" i="23"/>
  <c r="L211" i="23"/>
  <c r="K211" i="23"/>
  <c r="I211" i="23"/>
  <c r="H211" i="23"/>
  <c r="P210" i="23"/>
  <c r="L210" i="23"/>
  <c r="K210" i="23"/>
  <c r="I210" i="23"/>
  <c r="H210" i="23"/>
  <c r="P208" i="23"/>
  <c r="L208" i="23"/>
  <c r="K208" i="23"/>
  <c r="I208" i="23"/>
  <c r="H208" i="23"/>
  <c r="P207" i="23"/>
  <c r="L207" i="23"/>
  <c r="K207" i="23"/>
  <c r="I207" i="23"/>
  <c r="H207" i="23"/>
  <c r="P206" i="23"/>
  <c r="L206" i="23"/>
  <c r="K206" i="23"/>
  <c r="I206" i="23"/>
  <c r="H206" i="23"/>
  <c r="P203" i="23"/>
  <c r="L203" i="23"/>
  <c r="K203" i="23"/>
  <c r="I203" i="23"/>
  <c r="H203" i="23"/>
  <c r="P202" i="23"/>
  <c r="L202" i="23"/>
  <c r="K202" i="23"/>
  <c r="I202" i="23"/>
  <c r="H202" i="23"/>
  <c r="P201" i="23"/>
  <c r="L201" i="23"/>
  <c r="K201" i="23"/>
  <c r="I201" i="23"/>
  <c r="H201" i="23"/>
  <c r="P200" i="23"/>
  <c r="L200" i="23"/>
  <c r="K200" i="23"/>
  <c r="I200" i="23"/>
  <c r="H200" i="23"/>
  <c r="P199" i="23"/>
  <c r="L199" i="23"/>
  <c r="K199" i="23"/>
  <c r="I199" i="23"/>
  <c r="H199" i="23"/>
  <c r="P198" i="23"/>
  <c r="L198" i="23"/>
  <c r="K198" i="23"/>
  <c r="I198" i="23"/>
  <c r="H198" i="23"/>
  <c r="P197" i="23"/>
  <c r="L197" i="23"/>
  <c r="K197" i="23"/>
  <c r="I197" i="23"/>
  <c r="H197" i="23"/>
  <c r="P196" i="23"/>
  <c r="L196" i="23"/>
  <c r="K196" i="23"/>
  <c r="I196" i="23"/>
  <c r="H196" i="23"/>
  <c r="P195" i="23"/>
  <c r="L195" i="23"/>
  <c r="K195" i="23"/>
  <c r="I195" i="23"/>
  <c r="H195" i="23"/>
  <c r="P194" i="23"/>
  <c r="L194" i="23"/>
  <c r="K194" i="23"/>
  <c r="I194" i="23"/>
  <c r="H194" i="23"/>
  <c r="P193" i="23"/>
  <c r="L193" i="23"/>
  <c r="K193" i="23"/>
  <c r="I193" i="23"/>
  <c r="H193" i="23"/>
  <c r="P191" i="23"/>
  <c r="L191" i="23"/>
  <c r="K191" i="23"/>
  <c r="I191" i="23"/>
  <c r="H191" i="23"/>
  <c r="P190" i="23"/>
  <c r="L190" i="23"/>
  <c r="K190" i="23"/>
  <c r="I190" i="23"/>
  <c r="H190" i="23"/>
  <c r="P189" i="23"/>
  <c r="L189" i="23"/>
  <c r="K189" i="23"/>
  <c r="I189" i="23"/>
  <c r="H189" i="23"/>
  <c r="P188" i="23"/>
  <c r="L188" i="23"/>
  <c r="K188" i="23"/>
  <c r="I188" i="23"/>
  <c r="H188" i="23"/>
  <c r="P187" i="23"/>
  <c r="L187" i="23"/>
  <c r="K187" i="23"/>
  <c r="I187" i="23"/>
  <c r="H187" i="23"/>
  <c r="P185" i="23"/>
  <c r="L185" i="23"/>
  <c r="K185" i="23"/>
  <c r="I185" i="23"/>
  <c r="H185" i="23"/>
  <c r="P184" i="23"/>
  <c r="L184" i="23"/>
  <c r="K184" i="23"/>
  <c r="I184" i="23"/>
  <c r="H184" i="23"/>
  <c r="P183" i="23"/>
  <c r="L183" i="23"/>
  <c r="K183" i="23"/>
  <c r="I183" i="23"/>
  <c r="H183" i="23"/>
  <c r="P177" i="23"/>
  <c r="L177" i="23"/>
  <c r="K177" i="23"/>
  <c r="I177" i="23"/>
  <c r="H177" i="23"/>
  <c r="P175" i="23"/>
  <c r="L175" i="23"/>
  <c r="K175" i="23"/>
  <c r="I175" i="23"/>
  <c r="H175" i="23"/>
  <c r="P174" i="23"/>
  <c r="L174" i="23"/>
  <c r="K174" i="23"/>
  <c r="I174" i="23"/>
  <c r="H174" i="23"/>
  <c r="P173" i="23"/>
  <c r="L173" i="23"/>
  <c r="K173" i="23"/>
  <c r="I173" i="23"/>
  <c r="H173" i="23"/>
  <c r="P171" i="23"/>
  <c r="L171" i="23"/>
  <c r="K171" i="23"/>
  <c r="I171" i="23"/>
  <c r="H171" i="23"/>
  <c r="P170" i="23"/>
  <c r="L170" i="23"/>
  <c r="K170" i="23"/>
  <c r="I170" i="23"/>
  <c r="H170" i="23"/>
  <c r="P169" i="23"/>
  <c r="L169" i="23"/>
  <c r="K169" i="23"/>
  <c r="I169" i="23"/>
  <c r="H169" i="23"/>
  <c r="P167" i="23"/>
  <c r="L167" i="23"/>
  <c r="K167" i="23"/>
  <c r="I167" i="23"/>
  <c r="H167" i="23"/>
  <c r="P166" i="23"/>
  <c r="L166" i="23"/>
  <c r="K166" i="23"/>
  <c r="I166" i="23"/>
  <c r="H166" i="23"/>
  <c r="P163" i="23"/>
  <c r="L163" i="23"/>
  <c r="K163" i="23"/>
  <c r="I163" i="23"/>
  <c r="H163" i="23"/>
  <c r="P162" i="23"/>
  <c r="L162" i="23"/>
  <c r="K162" i="23"/>
  <c r="I162" i="23"/>
  <c r="H162" i="23"/>
  <c r="P161" i="23"/>
  <c r="L161" i="23"/>
  <c r="K161" i="23"/>
  <c r="I161" i="23"/>
  <c r="H161" i="23"/>
  <c r="P159" i="23"/>
  <c r="L159" i="23"/>
  <c r="K159" i="23"/>
  <c r="I159" i="23"/>
  <c r="H159" i="23"/>
  <c r="P157" i="23"/>
  <c r="L157" i="23"/>
  <c r="K157" i="23"/>
  <c r="I157" i="23"/>
  <c r="H157" i="23"/>
  <c r="P155" i="23"/>
  <c r="L155" i="23"/>
  <c r="K155" i="23"/>
  <c r="I155" i="23"/>
  <c r="H155" i="23"/>
  <c r="P151" i="23"/>
  <c r="L151" i="23"/>
  <c r="K151" i="23"/>
  <c r="I151" i="23"/>
  <c r="H151" i="23"/>
  <c r="P150" i="23"/>
  <c r="L150" i="23"/>
  <c r="K150" i="23"/>
  <c r="I150" i="23"/>
  <c r="H150" i="23"/>
  <c r="P148" i="23"/>
  <c r="L148" i="23"/>
  <c r="K148" i="23"/>
  <c r="I148" i="23"/>
  <c r="H148" i="23"/>
  <c r="P146" i="23"/>
  <c r="L146" i="23"/>
  <c r="K146" i="23"/>
  <c r="I146" i="23"/>
  <c r="H146" i="23"/>
  <c r="P145" i="23"/>
  <c r="L145" i="23"/>
  <c r="K145" i="23"/>
  <c r="I145" i="23"/>
  <c r="H145" i="23"/>
  <c r="P144" i="23"/>
  <c r="L144" i="23"/>
  <c r="K144" i="23"/>
  <c r="I144" i="23"/>
  <c r="H144" i="23"/>
  <c r="P141" i="23"/>
  <c r="L141" i="23"/>
  <c r="K141" i="23"/>
  <c r="I141" i="23"/>
  <c r="H141" i="23"/>
  <c r="P140" i="23"/>
  <c r="L140" i="23"/>
  <c r="K140" i="23"/>
  <c r="I140" i="23"/>
  <c r="H140" i="23"/>
  <c r="P138" i="23"/>
  <c r="L138" i="23"/>
  <c r="K138" i="23"/>
  <c r="I138" i="23"/>
  <c r="H138" i="23"/>
  <c r="P135" i="23"/>
  <c r="L135" i="23"/>
  <c r="K135" i="23"/>
  <c r="I135" i="23"/>
  <c r="H135" i="23"/>
  <c r="P133" i="23"/>
  <c r="L133" i="23"/>
  <c r="K133" i="23"/>
  <c r="I133" i="23"/>
  <c r="H133" i="23"/>
  <c r="O131" i="23"/>
  <c r="L131" i="23"/>
  <c r="K131" i="23"/>
  <c r="I131" i="23"/>
  <c r="H131" i="23"/>
  <c r="P128" i="23"/>
  <c r="L128" i="23"/>
  <c r="K128" i="23"/>
  <c r="I128" i="23"/>
  <c r="H128" i="23"/>
  <c r="P126" i="23"/>
  <c r="L126" i="23"/>
  <c r="K126" i="23"/>
  <c r="I126" i="23"/>
  <c r="H126" i="23"/>
  <c r="P125" i="23"/>
  <c r="L125" i="23"/>
  <c r="K125" i="23"/>
  <c r="I125" i="23"/>
  <c r="H125" i="23"/>
  <c r="P124" i="23"/>
  <c r="L124" i="23"/>
  <c r="K124" i="23"/>
  <c r="I124" i="23"/>
  <c r="H124" i="23"/>
  <c r="P123" i="23"/>
  <c r="L123" i="23"/>
  <c r="K123" i="23"/>
  <c r="I123" i="23"/>
  <c r="H123" i="23"/>
  <c r="P121" i="23"/>
  <c r="L121" i="23"/>
  <c r="K121" i="23"/>
  <c r="I121" i="23"/>
  <c r="H121" i="23"/>
  <c r="P120" i="23"/>
  <c r="L120" i="23"/>
  <c r="K120" i="23"/>
  <c r="I120" i="23"/>
  <c r="H120" i="23"/>
  <c r="P119" i="23"/>
  <c r="L119" i="23"/>
  <c r="K119" i="23"/>
  <c r="I119" i="23"/>
  <c r="H119" i="23"/>
  <c r="P118" i="23"/>
  <c r="L118" i="23"/>
  <c r="K118" i="23"/>
  <c r="I118" i="23"/>
  <c r="H118" i="23"/>
  <c r="P116" i="23"/>
  <c r="L116" i="23"/>
  <c r="K116" i="23"/>
  <c r="I116" i="23"/>
  <c r="H116" i="23"/>
  <c r="P115" i="23"/>
  <c r="L115" i="23"/>
  <c r="K115" i="23"/>
  <c r="I115" i="23"/>
  <c r="H115" i="23"/>
  <c r="P114" i="23"/>
  <c r="L114" i="23"/>
  <c r="K114" i="23"/>
  <c r="I114" i="23"/>
  <c r="H114" i="23"/>
  <c r="P113" i="23"/>
  <c r="L113" i="23"/>
  <c r="K113" i="23"/>
  <c r="I113" i="23"/>
  <c r="H113" i="23"/>
  <c r="P111" i="23"/>
  <c r="L111" i="23"/>
  <c r="K111" i="23"/>
  <c r="I111" i="23"/>
  <c r="H111" i="23"/>
  <c r="P110" i="23"/>
  <c r="L110" i="23"/>
  <c r="K110" i="23"/>
  <c r="I110" i="23"/>
  <c r="H110" i="23"/>
  <c r="P109" i="23"/>
  <c r="L109" i="23"/>
  <c r="K109" i="23"/>
  <c r="I109" i="23"/>
  <c r="H109" i="23"/>
  <c r="P108" i="23"/>
  <c r="L108" i="23"/>
  <c r="K108" i="23"/>
  <c r="I108" i="23"/>
  <c r="H108" i="23"/>
  <c r="P107" i="23"/>
  <c r="L107" i="23"/>
  <c r="K107" i="23"/>
  <c r="I107" i="23"/>
  <c r="H107" i="23"/>
  <c r="P105" i="23"/>
  <c r="L105" i="23"/>
  <c r="K105" i="23"/>
  <c r="I105" i="23"/>
  <c r="H105" i="23"/>
  <c r="P104" i="23"/>
  <c r="L104" i="23"/>
  <c r="K104" i="23"/>
  <c r="I104" i="23"/>
  <c r="H104" i="23"/>
  <c r="P103" i="23"/>
  <c r="L103" i="23"/>
  <c r="K103" i="23"/>
  <c r="I103" i="23"/>
  <c r="H103" i="23"/>
  <c r="P102" i="23"/>
  <c r="L102" i="23"/>
  <c r="K102" i="23"/>
  <c r="I102" i="23"/>
  <c r="H102" i="23"/>
  <c r="P100" i="23"/>
  <c r="L100" i="23"/>
  <c r="K100" i="23"/>
  <c r="I100" i="23"/>
  <c r="H100" i="23"/>
  <c r="P99" i="23"/>
  <c r="L99" i="23"/>
  <c r="K99" i="23"/>
  <c r="I99" i="23"/>
  <c r="H99" i="23"/>
  <c r="P98" i="23"/>
  <c r="L98" i="23"/>
  <c r="K98" i="23"/>
  <c r="I98" i="23"/>
  <c r="H98" i="23"/>
  <c r="P97" i="23"/>
  <c r="L97" i="23"/>
  <c r="K97" i="23"/>
  <c r="I97" i="23"/>
  <c r="H97" i="23"/>
  <c r="P95" i="23"/>
  <c r="L95" i="23"/>
  <c r="K95" i="23"/>
  <c r="I95" i="23"/>
  <c r="H95" i="23"/>
  <c r="P94" i="23"/>
  <c r="L94" i="23"/>
  <c r="K94" i="23"/>
  <c r="I94" i="23"/>
  <c r="H94" i="23"/>
  <c r="P93" i="23"/>
  <c r="L93" i="23"/>
  <c r="K93" i="23"/>
  <c r="I93" i="23"/>
  <c r="H93" i="23"/>
  <c r="P92" i="23"/>
  <c r="L92" i="23"/>
  <c r="K92" i="23"/>
  <c r="I92" i="23"/>
  <c r="H92" i="23"/>
  <c r="P90" i="23"/>
  <c r="L90" i="23"/>
  <c r="K90" i="23"/>
  <c r="I90" i="23"/>
  <c r="H90" i="23"/>
  <c r="P89" i="23"/>
  <c r="L89" i="23"/>
  <c r="K89" i="23"/>
  <c r="I89" i="23"/>
  <c r="H89" i="23"/>
  <c r="P88" i="23"/>
  <c r="L88" i="23"/>
  <c r="K88" i="23"/>
  <c r="I88" i="23"/>
  <c r="H88" i="23"/>
  <c r="P87" i="23"/>
  <c r="L87" i="23"/>
  <c r="K87" i="23"/>
  <c r="I87" i="23"/>
  <c r="H87" i="23"/>
  <c r="P85" i="23"/>
  <c r="L85" i="23"/>
  <c r="K85" i="23"/>
  <c r="I85" i="23"/>
  <c r="H85" i="23"/>
  <c r="P84" i="23"/>
  <c r="L84" i="23"/>
  <c r="K84" i="23"/>
  <c r="I84" i="23"/>
  <c r="H84" i="23"/>
  <c r="P83" i="23"/>
  <c r="L83" i="23"/>
  <c r="K83" i="23"/>
  <c r="I83" i="23"/>
  <c r="H83" i="23"/>
  <c r="P80" i="23"/>
  <c r="L80" i="23"/>
  <c r="K80" i="23"/>
  <c r="I80" i="23"/>
  <c r="H80" i="23"/>
  <c r="P79" i="23"/>
  <c r="L79" i="23"/>
  <c r="K79" i="23"/>
  <c r="I79" i="23"/>
  <c r="H79" i="23"/>
  <c r="P78" i="23"/>
  <c r="L78" i="23"/>
  <c r="K78" i="23"/>
  <c r="I78" i="23"/>
  <c r="H78" i="23"/>
  <c r="P77" i="23"/>
  <c r="L77" i="23"/>
  <c r="K77" i="23"/>
  <c r="I77" i="23"/>
  <c r="H77" i="23"/>
  <c r="P76" i="23"/>
  <c r="L76" i="23"/>
  <c r="K76" i="23"/>
  <c r="I76" i="23"/>
  <c r="H76" i="23"/>
  <c r="P74" i="23"/>
  <c r="L74" i="23"/>
  <c r="K74" i="23"/>
  <c r="I74" i="23"/>
  <c r="H74" i="23"/>
  <c r="P73" i="23"/>
  <c r="L73" i="23"/>
  <c r="K73" i="23"/>
  <c r="I73" i="23"/>
  <c r="H73" i="23"/>
  <c r="P72" i="23"/>
  <c r="L72" i="23"/>
  <c r="K72" i="23"/>
  <c r="I72" i="23"/>
  <c r="H72" i="23"/>
  <c r="P71" i="23"/>
  <c r="L71" i="23"/>
  <c r="K71" i="23"/>
  <c r="I71" i="23"/>
  <c r="H71" i="23"/>
  <c r="P70" i="23"/>
  <c r="L70" i="23"/>
  <c r="K70" i="23"/>
  <c r="I70" i="23"/>
  <c r="H70" i="23"/>
  <c r="P69" i="23"/>
  <c r="L69" i="23"/>
  <c r="K69" i="23"/>
  <c r="I69" i="23"/>
  <c r="H69" i="23"/>
  <c r="P68" i="23"/>
  <c r="L68" i="23"/>
  <c r="K68" i="23"/>
  <c r="I68" i="23"/>
  <c r="H68" i="23"/>
  <c r="P67" i="23"/>
  <c r="L67" i="23"/>
  <c r="K67" i="23"/>
  <c r="I67" i="23"/>
  <c r="H67" i="23"/>
  <c r="L63" i="23"/>
  <c r="K63" i="23"/>
  <c r="P62" i="23"/>
  <c r="L62" i="23"/>
  <c r="K62" i="23"/>
  <c r="I62" i="23"/>
  <c r="H62" i="23"/>
  <c r="P60" i="23"/>
  <c r="L60" i="23"/>
  <c r="K60" i="23"/>
  <c r="I60" i="23"/>
  <c r="H60" i="23"/>
  <c r="P59" i="23"/>
  <c r="L59" i="23"/>
  <c r="K59" i="23"/>
  <c r="H59" i="23"/>
  <c r="P58" i="23"/>
  <c r="L58" i="23"/>
  <c r="K58" i="23"/>
  <c r="I58" i="23"/>
  <c r="H58" i="23"/>
  <c r="P57" i="23"/>
  <c r="L57" i="23"/>
  <c r="K57" i="23"/>
  <c r="H57" i="23"/>
  <c r="P56" i="23"/>
  <c r="L56" i="23"/>
  <c r="K56" i="23"/>
  <c r="I56" i="23"/>
  <c r="H56" i="23"/>
  <c r="P55" i="23"/>
  <c r="L55" i="23"/>
  <c r="K55" i="23"/>
  <c r="H55" i="23"/>
  <c r="P54" i="23"/>
  <c r="L54" i="23"/>
  <c r="K54" i="23"/>
  <c r="I54" i="23"/>
  <c r="H54" i="23"/>
  <c r="P53" i="23"/>
  <c r="L53" i="23"/>
  <c r="K53" i="23"/>
  <c r="H53" i="23"/>
  <c r="P52" i="23"/>
  <c r="L52" i="23"/>
  <c r="K52" i="23"/>
  <c r="I52" i="23"/>
  <c r="H52" i="23"/>
  <c r="P50" i="23"/>
  <c r="L50" i="23"/>
  <c r="K50" i="23"/>
  <c r="I50" i="23"/>
  <c r="H50" i="23"/>
  <c r="L49" i="23"/>
  <c r="K49" i="23"/>
  <c r="I49" i="23"/>
  <c r="P48" i="23"/>
  <c r="L48" i="23"/>
  <c r="K48" i="23"/>
  <c r="I48" i="23"/>
  <c r="H48" i="23"/>
  <c r="L47" i="23"/>
  <c r="K47" i="23"/>
  <c r="I47" i="23"/>
  <c r="P46" i="23"/>
  <c r="L46" i="23"/>
  <c r="K46" i="23"/>
  <c r="I46" i="23"/>
  <c r="H46" i="23"/>
  <c r="L45" i="23"/>
  <c r="K45" i="23"/>
  <c r="I45" i="23"/>
  <c r="P43" i="23"/>
  <c r="H43" i="23"/>
  <c r="L41" i="23"/>
  <c r="K41" i="23"/>
  <c r="I41" i="23"/>
  <c r="P40" i="23"/>
  <c r="L40" i="23"/>
  <c r="K40" i="23"/>
  <c r="I40" i="23"/>
  <c r="H40" i="23"/>
  <c r="L39" i="23"/>
  <c r="K39" i="23"/>
  <c r="I39" i="23"/>
  <c r="P38" i="23"/>
  <c r="L38" i="23"/>
  <c r="K38" i="23"/>
  <c r="I38" i="23"/>
  <c r="H38" i="23"/>
  <c r="L37" i="23"/>
  <c r="K37" i="23"/>
  <c r="I37" i="23"/>
  <c r="P36" i="23"/>
  <c r="L36" i="23"/>
  <c r="K36" i="23"/>
  <c r="I36" i="23"/>
  <c r="H36" i="23"/>
  <c r="L35" i="23"/>
  <c r="K35" i="23"/>
  <c r="I35" i="23"/>
  <c r="P33" i="23"/>
  <c r="L33" i="23"/>
  <c r="K33" i="23"/>
  <c r="H33" i="23"/>
  <c r="P32" i="23"/>
  <c r="L32" i="23"/>
  <c r="K32" i="23"/>
  <c r="I32" i="23"/>
  <c r="H32" i="23"/>
  <c r="P29" i="23"/>
  <c r="L29" i="23"/>
  <c r="K29" i="23"/>
  <c r="H29" i="23"/>
  <c r="S558" i="23"/>
  <c r="S556" i="23"/>
  <c r="S554" i="23"/>
  <c r="S501" i="23"/>
  <c r="S497" i="23"/>
  <c r="S496" i="23"/>
  <c r="S489" i="23"/>
  <c r="S486" i="23"/>
  <c r="S479" i="23"/>
  <c r="S477" i="23"/>
  <c r="S476" i="23"/>
  <c r="S472" i="23"/>
  <c r="S471" i="23"/>
  <c r="S470" i="23"/>
  <c r="S460" i="23"/>
  <c r="S454" i="23"/>
  <c r="S449" i="23"/>
  <c r="S448" i="23"/>
  <c r="S444" i="23"/>
  <c r="S436" i="23"/>
  <c r="S435" i="23"/>
  <c r="S433" i="23"/>
  <c r="S426" i="23"/>
  <c r="S422" i="23"/>
  <c r="S418" i="23"/>
  <c r="S417" i="23"/>
  <c r="S415" i="23"/>
  <c r="S400" i="23"/>
  <c r="S405" i="23"/>
  <c r="S407" i="23"/>
  <c r="P22" i="23"/>
  <c r="L22" i="23"/>
  <c r="K22" i="23"/>
  <c r="I22" i="23"/>
  <c r="H22" i="23"/>
  <c r="S519" i="23"/>
  <c r="F418" i="23" l="1"/>
  <c r="F444" i="23"/>
  <c r="F483" i="23"/>
  <c r="F436" i="23"/>
  <c r="F435" i="23" s="1"/>
  <c r="T556" i="23"/>
  <c r="F472" i="23"/>
  <c r="T472" i="23" s="1"/>
  <c r="F512" i="23"/>
  <c r="F558" i="23"/>
  <c r="F66" i="23"/>
  <c r="F86" i="23"/>
  <c r="F91" i="23"/>
  <c r="F122" i="23"/>
  <c r="F387" i="23"/>
  <c r="F386" i="23" s="1"/>
  <c r="F396" i="23"/>
  <c r="F426" i="23"/>
  <c r="F449" i="23"/>
  <c r="F235" i="23"/>
  <c r="F260" i="23"/>
  <c r="F257" i="23" s="1"/>
  <c r="F337" i="23"/>
  <c r="F342" i="23"/>
  <c r="F373" i="23"/>
  <c r="F422" i="23"/>
  <c r="T422" i="23" s="1"/>
  <c r="F82" i="23"/>
  <c r="F112" i="23"/>
  <c r="F117" i="23"/>
  <c r="F215" i="23"/>
  <c r="F311" i="23"/>
  <c r="F355" i="23"/>
  <c r="F400" i="23"/>
  <c r="T400" i="23" s="1"/>
  <c r="F407" i="23"/>
  <c r="F486" i="23"/>
  <c r="T486" i="23" s="1"/>
  <c r="F519" i="23"/>
  <c r="F24" i="23"/>
  <c r="F106" i="23"/>
  <c r="F160" i="23"/>
  <c r="F172" i="23"/>
  <c r="F209" i="23"/>
  <c r="F325" i="23"/>
  <c r="F460" i="23"/>
  <c r="F34" i="23"/>
  <c r="F44" i="23"/>
  <c r="F96" i="23"/>
  <c r="F139" i="23"/>
  <c r="F136" i="23" s="1"/>
  <c r="F153" i="23"/>
  <c r="F168" i="23"/>
  <c r="F205" i="23"/>
  <c r="F247" i="23"/>
  <c r="F266" i="23"/>
  <c r="F315" i="23"/>
  <c r="F331" i="23"/>
  <c r="F377" i="23"/>
  <c r="F454" i="23"/>
  <c r="T454" i="23" s="1"/>
  <c r="F479" i="23"/>
  <c r="T479" i="23" s="1"/>
  <c r="F522" i="23"/>
  <c r="F308" i="23"/>
  <c r="T436" i="23"/>
  <c r="N131" i="23"/>
  <c r="F101" i="23"/>
  <c r="F224" i="23"/>
  <c r="F489" i="23"/>
  <c r="T489" i="23" s="1"/>
  <c r="P131" i="23"/>
  <c r="R131" i="23" s="1"/>
  <c r="F51" i="23"/>
  <c r="F75" i="23"/>
  <c r="F186" i="23"/>
  <c r="F220" i="23"/>
  <c r="F250" i="23"/>
  <c r="F292" i="23"/>
  <c r="F304" i="23"/>
  <c r="F301" i="23" s="1"/>
  <c r="F501" i="23"/>
  <c r="T501" i="23" s="1"/>
  <c r="F515" i="23"/>
  <c r="F531" i="23"/>
  <c r="F539" i="23"/>
  <c r="F538" i="23" s="1"/>
  <c r="F537" i="23" s="1"/>
  <c r="F17" i="23"/>
  <c r="F31" i="23"/>
  <c r="F61" i="23"/>
  <c r="F143" i="23"/>
  <c r="F142" i="23" s="1"/>
  <c r="F149" i="23"/>
  <c r="F165" i="23"/>
  <c r="F182" i="23"/>
  <c r="F192" i="23"/>
  <c r="F270" i="23"/>
  <c r="F298" i="23"/>
  <c r="F320" i="23"/>
  <c r="F314" i="23" s="1"/>
  <c r="F348" i="23"/>
  <c r="F347" i="23" s="1"/>
  <c r="F365" i="23"/>
  <c r="F497" i="23"/>
  <c r="F496" i="23" s="1"/>
  <c r="T496" i="23" s="1"/>
  <c r="T477" i="23"/>
  <c r="T554" i="23"/>
  <c r="T558" i="23"/>
  <c r="T433" i="23"/>
  <c r="T405" i="23"/>
  <c r="T415" i="23"/>
  <c r="T418" i="23"/>
  <c r="T435" i="23"/>
  <c r="T444" i="23"/>
  <c r="T460" i="23"/>
  <c r="I63" i="23"/>
  <c r="H35" i="23"/>
  <c r="P35" i="23"/>
  <c r="Q35" i="23" s="1"/>
  <c r="H37" i="23"/>
  <c r="H39" i="23"/>
  <c r="H41" i="23"/>
  <c r="I43" i="23"/>
  <c r="H45" i="23"/>
  <c r="P45" i="23"/>
  <c r="Q45" i="23" s="1"/>
  <c r="H47" i="23"/>
  <c r="H49" i="23"/>
  <c r="H63" i="23"/>
  <c r="R488" i="23"/>
  <c r="Q488" i="23"/>
  <c r="O488" i="23"/>
  <c r="N488" i="23"/>
  <c r="R560" i="23"/>
  <c r="Q560" i="23"/>
  <c r="R559" i="23"/>
  <c r="Q559" i="23"/>
  <c r="R561" i="23"/>
  <c r="Q561" i="23"/>
  <c r="O559" i="23"/>
  <c r="O560" i="23"/>
  <c r="O561" i="23"/>
  <c r="N559" i="23"/>
  <c r="N560" i="23"/>
  <c r="N561" i="23"/>
  <c r="R557" i="23"/>
  <c r="Q557" i="23"/>
  <c r="O557" i="23"/>
  <c r="N557" i="23"/>
  <c r="R555" i="23"/>
  <c r="Q555" i="23"/>
  <c r="O555" i="23"/>
  <c r="N555" i="23"/>
  <c r="R553" i="23"/>
  <c r="Q553" i="23"/>
  <c r="O553" i="23"/>
  <c r="N553" i="23"/>
  <c r="R551" i="23"/>
  <c r="Q551" i="23"/>
  <c r="O551" i="23"/>
  <c r="N551" i="23"/>
  <c r="R540" i="23"/>
  <c r="Q540" i="23"/>
  <c r="R542" i="23"/>
  <c r="Q542" i="23"/>
  <c r="R544" i="23"/>
  <c r="Q544" i="23"/>
  <c r="R546" i="23"/>
  <c r="Q546" i="23"/>
  <c r="R548" i="23"/>
  <c r="Q548" i="23"/>
  <c r="R541" i="23"/>
  <c r="Q541" i="23"/>
  <c r="R543" i="23"/>
  <c r="Q543" i="23"/>
  <c r="R545" i="23"/>
  <c r="Q545" i="23"/>
  <c r="R547" i="23"/>
  <c r="Q547" i="23"/>
  <c r="R549" i="23"/>
  <c r="Q549" i="23"/>
  <c r="O540" i="23"/>
  <c r="O541" i="23"/>
  <c r="O542" i="23"/>
  <c r="O543" i="23"/>
  <c r="O544" i="23"/>
  <c r="O545" i="23"/>
  <c r="O546" i="23"/>
  <c r="O547" i="23"/>
  <c r="O548" i="23"/>
  <c r="O549" i="23"/>
  <c r="N540" i="23"/>
  <c r="N541" i="23"/>
  <c r="N542" i="23"/>
  <c r="N543" i="23"/>
  <c r="N544" i="23"/>
  <c r="N545" i="23"/>
  <c r="N546" i="23"/>
  <c r="N547" i="23"/>
  <c r="N548" i="23"/>
  <c r="N549" i="23"/>
  <c r="R536" i="23"/>
  <c r="Q536" i="23"/>
  <c r="O536" i="23"/>
  <c r="N536" i="23"/>
  <c r="R533" i="23"/>
  <c r="Q533" i="23"/>
  <c r="R532" i="23"/>
  <c r="Q532" i="23"/>
  <c r="R534" i="23"/>
  <c r="Q534" i="23"/>
  <c r="O532" i="23"/>
  <c r="O533" i="23"/>
  <c r="O534" i="23"/>
  <c r="N532" i="23"/>
  <c r="N533" i="23"/>
  <c r="N534" i="23"/>
  <c r="R530" i="23"/>
  <c r="Q530" i="23"/>
  <c r="O530" i="23"/>
  <c r="N530" i="23"/>
  <c r="R528" i="23"/>
  <c r="Q528" i="23"/>
  <c r="O528" i="23"/>
  <c r="N528" i="23"/>
  <c r="R523" i="23"/>
  <c r="Q523" i="23"/>
  <c r="R525" i="23"/>
  <c r="Q525" i="23"/>
  <c r="R524" i="23"/>
  <c r="Q524" i="23"/>
  <c r="R526" i="23"/>
  <c r="Q526" i="23"/>
  <c r="O523" i="23"/>
  <c r="O524" i="23"/>
  <c r="O525" i="23"/>
  <c r="O526" i="23"/>
  <c r="N523" i="23"/>
  <c r="N524" i="23"/>
  <c r="N525" i="23"/>
  <c r="N526" i="23"/>
  <c r="R520" i="23"/>
  <c r="Q520" i="23"/>
  <c r="R521" i="23"/>
  <c r="Q521" i="23"/>
  <c r="O520" i="23"/>
  <c r="O521" i="23"/>
  <c r="N520" i="23"/>
  <c r="N521" i="23"/>
  <c r="R517" i="23"/>
  <c r="Q517" i="23"/>
  <c r="R516" i="23"/>
  <c r="Q516" i="23"/>
  <c r="R518" i="23"/>
  <c r="Q518" i="23"/>
  <c r="O516" i="23"/>
  <c r="O517" i="23"/>
  <c r="O518" i="23"/>
  <c r="N516" i="23"/>
  <c r="N517" i="23"/>
  <c r="N518" i="23"/>
  <c r="R513" i="23"/>
  <c r="Q513" i="23"/>
  <c r="R514" i="23"/>
  <c r="Q514" i="23"/>
  <c r="O513" i="23"/>
  <c r="O514" i="23"/>
  <c r="N513" i="23"/>
  <c r="N514" i="23"/>
  <c r="R503" i="23"/>
  <c r="Q503" i="23"/>
  <c r="R505" i="23"/>
  <c r="Q505" i="23"/>
  <c r="R507" i="23"/>
  <c r="Q507" i="23"/>
  <c r="R509" i="23"/>
  <c r="Q509" i="23"/>
  <c r="R502" i="23"/>
  <c r="Q502" i="23"/>
  <c r="R504" i="23"/>
  <c r="Q504" i="23"/>
  <c r="R506" i="23"/>
  <c r="Q506" i="23"/>
  <c r="R508" i="23"/>
  <c r="Q508" i="23"/>
  <c r="R510" i="23"/>
  <c r="Q510" i="23"/>
  <c r="O502" i="23"/>
  <c r="O503" i="23"/>
  <c r="O504" i="23"/>
  <c r="O505" i="23"/>
  <c r="O506" i="23"/>
  <c r="O507" i="23"/>
  <c r="O508" i="23"/>
  <c r="O509" i="23"/>
  <c r="O510" i="23"/>
  <c r="N502" i="23"/>
  <c r="N503" i="23"/>
  <c r="N504" i="23"/>
  <c r="N505" i="23"/>
  <c r="N506" i="23"/>
  <c r="N507" i="23"/>
  <c r="N508" i="23"/>
  <c r="N509" i="23"/>
  <c r="N510" i="23"/>
  <c r="R499" i="23"/>
  <c r="Q499" i="23"/>
  <c r="R498" i="23"/>
  <c r="Q498" i="23"/>
  <c r="R500" i="23"/>
  <c r="Q500" i="23"/>
  <c r="O498" i="23"/>
  <c r="O499" i="23"/>
  <c r="O500" i="23"/>
  <c r="N498" i="23"/>
  <c r="N499" i="23"/>
  <c r="N500" i="23"/>
  <c r="R490" i="23"/>
  <c r="Q490" i="23"/>
  <c r="R492" i="23"/>
  <c r="Q492" i="23"/>
  <c r="R494" i="23"/>
  <c r="Q494" i="23"/>
  <c r="R491" i="23"/>
  <c r="Q491" i="23"/>
  <c r="R493" i="23"/>
  <c r="Q493" i="23"/>
  <c r="R495" i="23"/>
  <c r="Q495" i="23"/>
  <c r="O490" i="23"/>
  <c r="O491" i="23"/>
  <c r="O492" i="23"/>
  <c r="O493" i="23"/>
  <c r="O494" i="23"/>
  <c r="O495" i="23"/>
  <c r="N490" i="23"/>
  <c r="N491" i="23"/>
  <c r="N492" i="23"/>
  <c r="N493" i="23"/>
  <c r="S493" i="23" s="1"/>
  <c r="T493" i="23" s="1"/>
  <c r="N494" i="23"/>
  <c r="N495" i="23"/>
  <c r="S495" i="23" s="1"/>
  <c r="T495" i="23" s="1"/>
  <c r="R487" i="23"/>
  <c r="Q487" i="23"/>
  <c r="O487" i="23"/>
  <c r="N487" i="23"/>
  <c r="R480" i="23"/>
  <c r="Q480" i="23"/>
  <c r="R482" i="23"/>
  <c r="Q482" i="23"/>
  <c r="R484" i="23"/>
  <c r="Q484" i="23"/>
  <c r="R481" i="23"/>
  <c r="Q481" i="23"/>
  <c r="R485" i="23"/>
  <c r="Q485" i="23"/>
  <c r="O480" i="23"/>
  <c r="O481" i="23"/>
  <c r="O482" i="23"/>
  <c r="O484" i="23"/>
  <c r="O485" i="23"/>
  <c r="N480" i="23"/>
  <c r="N481" i="23"/>
  <c r="N482" i="23"/>
  <c r="S483" i="23"/>
  <c r="T483" i="23" s="1"/>
  <c r="N484" i="23"/>
  <c r="N485" i="23"/>
  <c r="R478" i="23"/>
  <c r="Q478" i="23"/>
  <c r="O478" i="23"/>
  <c r="N478" i="23"/>
  <c r="R473" i="23"/>
  <c r="Q473" i="23"/>
  <c r="O473" i="23"/>
  <c r="N473" i="23"/>
  <c r="R462" i="23"/>
  <c r="Q462" i="23"/>
  <c r="R464" i="23"/>
  <c r="Q464" i="23"/>
  <c r="R466" i="23"/>
  <c r="Q466" i="23"/>
  <c r="R468" i="23"/>
  <c r="Q468" i="23"/>
  <c r="R461" i="23"/>
  <c r="Q461" i="23"/>
  <c r="R463" i="23"/>
  <c r="Q463" i="23"/>
  <c r="R465" i="23"/>
  <c r="Q465" i="23"/>
  <c r="R467" i="23"/>
  <c r="Q467" i="23"/>
  <c r="R469" i="23"/>
  <c r="Q469" i="23"/>
  <c r="O461" i="23"/>
  <c r="O462" i="23"/>
  <c r="O463" i="23"/>
  <c r="O464" i="23"/>
  <c r="O465" i="23"/>
  <c r="O466" i="23"/>
  <c r="O467" i="23"/>
  <c r="O468" i="23"/>
  <c r="O469" i="23"/>
  <c r="N461" i="23"/>
  <c r="N462" i="23"/>
  <c r="N463" i="23"/>
  <c r="N464" i="23"/>
  <c r="N465" i="23"/>
  <c r="N466" i="23"/>
  <c r="N467" i="23"/>
  <c r="N468" i="23"/>
  <c r="N469" i="23"/>
  <c r="R456" i="23"/>
  <c r="Q456" i="23"/>
  <c r="R458" i="23"/>
  <c r="Q458" i="23"/>
  <c r="R455" i="23"/>
  <c r="Q455" i="23"/>
  <c r="R457" i="23"/>
  <c r="Q457" i="23"/>
  <c r="R459" i="23"/>
  <c r="Q459" i="23"/>
  <c r="O455" i="23"/>
  <c r="O456" i="23"/>
  <c r="O457" i="23"/>
  <c r="O458" i="23"/>
  <c r="O459" i="23"/>
  <c r="N455" i="23"/>
  <c r="N456" i="23"/>
  <c r="N457" i="23"/>
  <c r="N458" i="23"/>
  <c r="N459" i="23"/>
  <c r="R450" i="23"/>
  <c r="Q450" i="23"/>
  <c r="R452" i="23"/>
  <c r="Q452" i="23"/>
  <c r="R451" i="23"/>
  <c r="Q451" i="23"/>
  <c r="R453" i="23"/>
  <c r="Q453" i="23"/>
  <c r="O450" i="23"/>
  <c r="O451" i="23"/>
  <c r="O452" i="23"/>
  <c r="O453" i="23"/>
  <c r="N450" i="23"/>
  <c r="N451" i="23"/>
  <c r="N452" i="23"/>
  <c r="N453" i="23"/>
  <c r="R446" i="23"/>
  <c r="Q446" i="23"/>
  <c r="R445" i="23"/>
  <c r="Q445" i="23"/>
  <c r="R447" i="23"/>
  <c r="Q447" i="23"/>
  <c r="O445" i="23"/>
  <c r="O446" i="23"/>
  <c r="O447" i="23"/>
  <c r="N445" i="23"/>
  <c r="N446" i="23"/>
  <c r="N447" i="23"/>
  <c r="R438" i="23"/>
  <c r="Q438" i="23"/>
  <c r="R440" i="23"/>
  <c r="Q440" i="23"/>
  <c r="R442" i="23"/>
  <c r="Q442" i="23"/>
  <c r="R437" i="23"/>
  <c r="Q437" i="23"/>
  <c r="R439" i="23"/>
  <c r="Q439" i="23"/>
  <c r="R441" i="23"/>
  <c r="Q441" i="23"/>
  <c r="R443" i="23"/>
  <c r="Q443" i="23"/>
  <c r="O437" i="23"/>
  <c r="O438" i="23"/>
  <c r="O439" i="23"/>
  <c r="O440" i="23"/>
  <c r="O441" i="23"/>
  <c r="O442" i="23"/>
  <c r="O443" i="23"/>
  <c r="N437" i="23"/>
  <c r="N438" i="23"/>
  <c r="N439" i="23"/>
  <c r="N440" i="23"/>
  <c r="N441" i="23"/>
  <c r="N442" i="23"/>
  <c r="N443" i="23"/>
  <c r="R434" i="23"/>
  <c r="Q434" i="23"/>
  <c r="O434" i="23"/>
  <c r="N434" i="23"/>
  <c r="R427" i="23"/>
  <c r="Q427" i="23"/>
  <c r="R429" i="23"/>
  <c r="Q429" i="23"/>
  <c r="R431" i="23"/>
  <c r="Q431" i="23"/>
  <c r="R428" i="23"/>
  <c r="Q428" i="23"/>
  <c r="R430" i="23"/>
  <c r="Q430" i="23"/>
  <c r="R432" i="23"/>
  <c r="Q432" i="23"/>
  <c r="O427" i="23"/>
  <c r="O428" i="23"/>
  <c r="O429" i="23"/>
  <c r="O430" i="23"/>
  <c r="O431" i="23"/>
  <c r="O432" i="23"/>
  <c r="N427" i="23"/>
  <c r="N428" i="23"/>
  <c r="S428" i="23" s="1"/>
  <c r="T428" i="23" s="1"/>
  <c r="N429" i="23"/>
  <c r="N430" i="23"/>
  <c r="S430" i="23" s="1"/>
  <c r="T430" i="23" s="1"/>
  <c r="N431" i="23"/>
  <c r="N432" i="23"/>
  <c r="S432" i="23" s="1"/>
  <c r="T432" i="23" s="1"/>
  <c r="R424" i="23"/>
  <c r="Q424" i="23"/>
  <c r="R423" i="23"/>
  <c r="Q423" i="23"/>
  <c r="R425" i="23"/>
  <c r="Q425" i="23"/>
  <c r="O423" i="23"/>
  <c r="O424" i="23"/>
  <c r="O425" i="23"/>
  <c r="N423" i="23"/>
  <c r="N424" i="23"/>
  <c r="N425" i="23"/>
  <c r="R420" i="23"/>
  <c r="Q420" i="23"/>
  <c r="R419" i="23"/>
  <c r="Q419" i="23"/>
  <c r="R421" i="23"/>
  <c r="Q421" i="23"/>
  <c r="O419" i="23"/>
  <c r="O420" i="23"/>
  <c r="O421" i="23"/>
  <c r="N419" i="23"/>
  <c r="N420" i="23"/>
  <c r="N421" i="23"/>
  <c r="R416" i="23"/>
  <c r="Q416" i="23"/>
  <c r="O416" i="23"/>
  <c r="N416" i="23"/>
  <c r="R409" i="23"/>
  <c r="Q409" i="23"/>
  <c r="R411" i="23"/>
  <c r="Q411" i="23"/>
  <c r="R413" i="23"/>
  <c r="Q413" i="23"/>
  <c r="R408" i="23"/>
  <c r="Q408" i="23"/>
  <c r="R410" i="23"/>
  <c r="Q410" i="23"/>
  <c r="R412" i="23"/>
  <c r="Q412" i="23"/>
  <c r="R414" i="23"/>
  <c r="Q414" i="23"/>
  <c r="O408" i="23"/>
  <c r="O409" i="23"/>
  <c r="O410" i="23"/>
  <c r="O411" i="23"/>
  <c r="O412" i="23"/>
  <c r="O413" i="23"/>
  <c r="O414" i="23"/>
  <c r="N408" i="23"/>
  <c r="N409" i="23"/>
  <c r="N410" i="23"/>
  <c r="N411" i="23"/>
  <c r="N412" i="23"/>
  <c r="N413" i="23"/>
  <c r="N414" i="23"/>
  <c r="R406" i="23"/>
  <c r="Q406" i="23"/>
  <c r="O406" i="23"/>
  <c r="N406" i="23"/>
  <c r="R401" i="23"/>
  <c r="Q401" i="23"/>
  <c r="R403" i="23"/>
  <c r="Q403" i="23"/>
  <c r="R402" i="23"/>
  <c r="Q402" i="23"/>
  <c r="R404" i="23"/>
  <c r="Q404" i="23"/>
  <c r="O401" i="23"/>
  <c r="O402" i="23"/>
  <c r="O403" i="23"/>
  <c r="O404" i="23"/>
  <c r="N401" i="23"/>
  <c r="N402" i="23"/>
  <c r="N403" i="23"/>
  <c r="N404" i="23"/>
  <c r="R398" i="23"/>
  <c r="Q398" i="23"/>
  <c r="R397" i="23"/>
  <c r="Q397" i="23"/>
  <c r="R399" i="23"/>
  <c r="Q399" i="23"/>
  <c r="O397" i="23"/>
  <c r="O398" i="23"/>
  <c r="O399" i="23"/>
  <c r="N397" i="23"/>
  <c r="N398" i="23"/>
  <c r="N399" i="23"/>
  <c r="R392" i="23"/>
  <c r="Q392" i="23"/>
  <c r="O392" i="23"/>
  <c r="N392" i="23"/>
  <c r="R389" i="23"/>
  <c r="Q389" i="23"/>
  <c r="R388" i="23"/>
  <c r="Q388" i="23"/>
  <c r="R390" i="23"/>
  <c r="Q390" i="23"/>
  <c r="O388" i="23"/>
  <c r="O389" i="23"/>
  <c r="O390" i="23"/>
  <c r="N388" i="23"/>
  <c r="N389" i="23"/>
  <c r="N390" i="23"/>
  <c r="R385" i="23"/>
  <c r="Q385" i="23"/>
  <c r="O385" i="23"/>
  <c r="N385" i="23"/>
  <c r="R383" i="23"/>
  <c r="Q383" i="23"/>
  <c r="O383" i="23"/>
  <c r="N383" i="23"/>
  <c r="R378" i="23"/>
  <c r="Q378" i="23"/>
  <c r="R380" i="23"/>
  <c r="Q380" i="23"/>
  <c r="R379" i="23"/>
  <c r="Q379" i="23"/>
  <c r="R381" i="23"/>
  <c r="Q381" i="23"/>
  <c r="O378" i="23"/>
  <c r="O379" i="23"/>
  <c r="O380" i="23"/>
  <c r="O381" i="23"/>
  <c r="N378" i="23"/>
  <c r="N379" i="23"/>
  <c r="N380" i="23"/>
  <c r="N381" i="23"/>
  <c r="R375" i="23"/>
  <c r="Q375" i="23"/>
  <c r="R374" i="23"/>
  <c r="Q374" i="23"/>
  <c r="R376" i="23"/>
  <c r="Q376" i="23"/>
  <c r="O374" i="23"/>
  <c r="O375" i="23"/>
  <c r="O376" i="23"/>
  <c r="N374" i="23"/>
  <c r="N375" i="23"/>
  <c r="N376" i="23"/>
  <c r="R371" i="23"/>
  <c r="Q371" i="23"/>
  <c r="O371" i="23"/>
  <c r="N371" i="23"/>
  <c r="R369" i="23"/>
  <c r="Q369" i="23"/>
  <c r="O369" i="23"/>
  <c r="N369" i="23"/>
  <c r="R367" i="23"/>
  <c r="Q367" i="23"/>
  <c r="O367" i="23"/>
  <c r="N367" i="23"/>
  <c r="R364" i="23"/>
  <c r="Q364" i="23"/>
  <c r="O364" i="23"/>
  <c r="N364" i="23"/>
  <c r="R357" i="23"/>
  <c r="Q357" i="23"/>
  <c r="R359" i="23"/>
  <c r="Q359" i="23"/>
  <c r="R361" i="23"/>
  <c r="Q361" i="23"/>
  <c r="R356" i="23"/>
  <c r="Q356" i="23"/>
  <c r="R358" i="23"/>
  <c r="Q358" i="23"/>
  <c r="R360" i="23"/>
  <c r="Q360" i="23"/>
  <c r="R362" i="23"/>
  <c r="Q362" i="23"/>
  <c r="O356" i="23"/>
  <c r="O357" i="23"/>
  <c r="O358" i="23"/>
  <c r="O359" i="23"/>
  <c r="O360" i="23"/>
  <c r="O361" i="23"/>
  <c r="O362" i="23"/>
  <c r="N356" i="23"/>
  <c r="N357" i="23"/>
  <c r="N358" i="23"/>
  <c r="N359" i="23"/>
  <c r="N360" i="23"/>
  <c r="N361" i="23"/>
  <c r="N362" i="23"/>
  <c r="R349" i="23"/>
  <c r="Q349" i="23"/>
  <c r="R351" i="23"/>
  <c r="Q351" i="23"/>
  <c r="R353" i="23"/>
  <c r="Q353" i="23"/>
  <c r="R350" i="23"/>
  <c r="Q350" i="23"/>
  <c r="R352" i="23"/>
  <c r="Q352" i="23"/>
  <c r="R354" i="23"/>
  <c r="Q354" i="23"/>
  <c r="O349" i="23"/>
  <c r="O350" i="23"/>
  <c r="O351" i="23"/>
  <c r="O352" i="23"/>
  <c r="O353" i="23"/>
  <c r="O354" i="23"/>
  <c r="N349" i="23"/>
  <c r="N350" i="23"/>
  <c r="S350" i="23" s="1"/>
  <c r="T350" i="23" s="1"/>
  <c r="N351" i="23"/>
  <c r="N352" i="23"/>
  <c r="S352" i="23" s="1"/>
  <c r="T352" i="23" s="1"/>
  <c r="N353" i="23"/>
  <c r="N354" i="23"/>
  <c r="S354" i="23" s="1"/>
  <c r="T354" i="23" s="1"/>
  <c r="R344" i="23"/>
  <c r="Q344" i="23"/>
  <c r="R343" i="23"/>
  <c r="Q343" i="23"/>
  <c r="R345" i="23"/>
  <c r="Q345" i="23"/>
  <c r="O343" i="23"/>
  <c r="O344" i="23"/>
  <c r="O345" i="23"/>
  <c r="N343" i="23"/>
  <c r="N344" i="23"/>
  <c r="N345" i="23"/>
  <c r="R338" i="23"/>
  <c r="Q338" i="23"/>
  <c r="R340" i="23"/>
  <c r="Q340" i="23"/>
  <c r="R339" i="23"/>
  <c r="Q339" i="23"/>
  <c r="R341" i="23"/>
  <c r="Q341" i="23"/>
  <c r="O338" i="23"/>
  <c r="O339" i="23"/>
  <c r="O340" i="23"/>
  <c r="O341" i="23"/>
  <c r="N338" i="23"/>
  <c r="N339" i="23"/>
  <c r="N340" i="23"/>
  <c r="N341" i="23"/>
  <c r="R333" i="23"/>
  <c r="Q333" i="23"/>
  <c r="R335" i="23"/>
  <c r="Q335" i="23"/>
  <c r="R332" i="23"/>
  <c r="Q332" i="23"/>
  <c r="R334" i="23"/>
  <c r="Q334" i="23"/>
  <c r="R336" i="23"/>
  <c r="Q336" i="23"/>
  <c r="O332" i="23"/>
  <c r="O333" i="23"/>
  <c r="O334" i="23"/>
  <c r="O335" i="23"/>
  <c r="O336" i="23"/>
  <c r="N332" i="23"/>
  <c r="N333" i="23"/>
  <c r="N334" i="23"/>
  <c r="N335" i="23"/>
  <c r="N336" i="23"/>
  <c r="R327" i="23"/>
  <c r="Q327" i="23"/>
  <c r="R329" i="23"/>
  <c r="Q329" i="23"/>
  <c r="R326" i="23"/>
  <c r="Q326" i="23"/>
  <c r="R328" i="23"/>
  <c r="Q328" i="23"/>
  <c r="R330" i="23"/>
  <c r="Q330" i="23"/>
  <c r="O326" i="23"/>
  <c r="O327" i="23"/>
  <c r="O328" i="23"/>
  <c r="O329" i="23"/>
  <c r="O330" i="23"/>
  <c r="N326" i="23"/>
  <c r="N327" i="23"/>
  <c r="N328" i="23"/>
  <c r="N329" i="23"/>
  <c r="N330" i="23"/>
  <c r="R324" i="23"/>
  <c r="Q324" i="23"/>
  <c r="O324" i="23"/>
  <c r="N324" i="23"/>
  <c r="R321" i="23"/>
  <c r="Q321" i="23"/>
  <c r="R322" i="23"/>
  <c r="Q322" i="23"/>
  <c r="O321" i="23"/>
  <c r="O322" i="23"/>
  <c r="N321" i="23"/>
  <c r="N322" i="23"/>
  <c r="R316" i="23"/>
  <c r="Q316" i="23"/>
  <c r="R318" i="23"/>
  <c r="Q318" i="23"/>
  <c r="R317" i="23"/>
  <c r="Q317" i="23"/>
  <c r="R319" i="23"/>
  <c r="Q319" i="23"/>
  <c r="O316" i="23"/>
  <c r="O317" i="23"/>
  <c r="O318" i="23"/>
  <c r="O319" i="23"/>
  <c r="N316" i="23"/>
  <c r="N317" i="23"/>
  <c r="N318" i="23"/>
  <c r="N319" i="23"/>
  <c r="R312" i="23"/>
  <c r="Q312" i="23"/>
  <c r="R313" i="23"/>
  <c r="Q313" i="23"/>
  <c r="O312" i="23"/>
  <c r="O313" i="23"/>
  <c r="N312" i="23"/>
  <c r="N313" i="23"/>
  <c r="R310" i="23"/>
  <c r="Q310" i="23"/>
  <c r="O310" i="23"/>
  <c r="N310" i="23"/>
  <c r="R306" i="23"/>
  <c r="Q306" i="23"/>
  <c r="R305" i="23"/>
  <c r="Q305" i="23"/>
  <c r="R307" i="23"/>
  <c r="Q307" i="23"/>
  <c r="O305" i="23"/>
  <c r="O306" i="23"/>
  <c r="O307" i="23"/>
  <c r="N305" i="23"/>
  <c r="N306" i="23"/>
  <c r="N307" i="23"/>
  <c r="R303" i="23"/>
  <c r="Q303" i="23"/>
  <c r="O303" i="23"/>
  <c r="N303" i="23"/>
  <c r="R299" i="23"/>
  <c r="Q299" i="23"/>
  <c r="R300" i="23"/>
  <c r="Q300" i="23"/>
  <c r="O299" i="23"/>
  <c r="O300" i="23"/>
  <c r="N299" i="23"/>
  <c r="N300" i="23"/>
  <c r="S300" i="23" s="1"/>
  <c r="T300" i="23" s="1"/>
  <c r="R294" i="23"/>
  <c r="Q294" i="23"/>
  <c r="R296" i="23"/>
  <c r="Q296" i="23"/>
  <c r="R293" i="23"/>
  <c r="Q293" i="23"/>
  <c r="R295" i="23"/>
  <c r="Q295" i="23"/>
  <c r="R297" i="23"/>
  <c r="Q297" i="23"/>
  <c r="O293" i="23"/>
  <c r="O294" i="23"/>
  <c r="O295" i="23"/>
  <c r="O296" i="23"/>
  <c r="O297" i="23"/>
  <c r="N293" i="23"/>
  <c r="N294" i="23"/>
  <c r="N295" i="23"/>
  <c r="N296" i="23"/>
  <c r="N297" i="23"/>
  <c r="R291" i="23"/>
  <c r="Q291" i="23"/>
  <c r="O291" i="23"/>
  <c r="N291" i="23"/>
  <c r="R285" i="23"/>
  <c r="Q285" i="23"/>
  <c r="R287" i="23"/>
  <c r="Q287" i="23"/>
  <c r="P271" i="23"/>
  <c r="N271" i="23"/>
  <c r="P272" i="23"/>
  <c r="N272" i="23"/>
  <c r="P273" i="23"/>
  <c r="N273" i="23"/>
  <c r="P274" i="23"/>
  <c r="N274" i="23"/>
  <c r="P275" i="23"/>
  <c r="N275" i="23"/>
  <c r="P276" i="23"/>
  <c r="N276" i="23"/>
  <c r="P277" i="23"/>
  <c r="N277" i="23"/>
  <c r="P278" i="23"/>
  <c r="N278" i="23"/>
  <c r="P279" i="23"/>
  <c r="N279" i="23"/>
  <c r="P280" i="23"/>
  <c r="N280" i="23"/>
  <c r="P281" i="23"/>
  <c r="N281" i="23"/>
  <c r="P282" i="23"/>
  <c r="N282" i="23"/>
  <c r="P283" i="23"/>
  <c r="N283" i="23"/>
  <c r="P284" i="23"/>
  <c r="N284" i="23"/>
  <c r="R286" i="23"/>
  <c r="Q286" i="23"/>
  <c r="R288" i="23"/>
  <c r="Q288" i="23"/>
  <c r="O285" i="23"/>
  <c r="O286" i="23"/>
  <c r="O287" i="23"/>
  <c r="O288" i="23"/>
  <c r="N285" i="23"/>
  <c r="N286" i="23"/>
  <c r="N287" i="23"/>
  <c r="N288" i="23"/>
  <c r="R268" i="23"/>
  <c r="Q268" i="23"/>
  <c r="R267" i="23"/>
  <c r="Q267" i="23"/>
  <c r="R269" i="23"/>
  <c r="Q269" i="23"/>
  <c r="O267" i="23"/>
  <c r="O268" i="23"/>
  <c r="O269" i="23"/>
  <c r="N267" i="23"/>
  <c r="N268" i="23"/>
  <c r="N269" i="23"/>
  <c r="R265" i="23"/>
  <c r="Q265" i="23"/>
  <c r="O265" i="23"/>
  <c r="N265" i="23"/>
  <c r="R261" i="23"/>
  <c r="Q261" i="23"/>
  <c r="R262" i="23"/>
  <c r="Q262" i="23"/>
  <c r="O261" i="23"/>
  <c r="O262" i="23"/>
  <c r="N261" i="23"/>
  <c r="N262" i="23"/>
  <c r="R259" i="23"/>
  <c r="Q259" i="23"/>
  <c r="O259" i="23"/>
  <c r="N259" i="23"/>
  <c r="R251" i="23"/>
  <c r="Q251" i="23"/>
  <c r="R253" i="23"/>
  <c r="Q253" i="23"/>
  <c r="R255" i="23"/>
  <c r="Q255" i="23"/>
  <c r="R252" i="23"/>
  <c r="Q252" i="23"/>
  <c r="R254" i="23"/>
  <c r="Q254" i="23"/>
  <c r="R256" i="23"/>
  <c r="Q256" i="23"/>
  <c r="O251" i="23"/>
  <c r="O252" i="23"/>
  <c r="O253" i="23"/>
  <c r="O254" i="23"/>
  <c r="O255" i="23"/>
  <c r="O256" i="23"/>
  <c r="N251" i="23"/>
  <c r="N252" i="23"/>
  <c r="N253" i="23"/>
  <c r="N254" i="23"/>
  <c r="S254" i="23" s="1"/>
  <c r="T254" i="23" s="1"/>
  <c r="N255" i="23"/>
  <c r="N256" i="23"/>
  <c r="S256" i="23" s="1"/>
  <c r="T256" i="23" s="1"/>
  <c r="R242" i="23"/>
  <c r="Q242" i="23"/>
  <c r="R244" i="23"/>
  <c r="Q244" i="23"/>
  <c r="R246" i="23"/>
  <c r="Q246" i="23"/>
  <c r="R248" i="23"/>
  <c r="Q248" i="23"/>
  <c r="P236" i="23"/>
  <c r="N236" i="23"/>
  <c r="P237" i="23"/>
  <c r="N237" i="23"/>
  <c r="P238" i="23"/>
  <c r="N238" i="23"/>
  <c r="P239" i="23"/>
  <c r="N239" i="23"/>
  <c r="P240" i="23"/>
  <c r="N240" i="23"/>
  <c r="R241" i="23"/>
  <c r="Q241" i="23"/>
  <c r="R243" i="23"/>
  <c r="Q243" i="23"/>
  <c r="R245" i="23"/>
  <c r="Q245" i="23"/>
  <c r="R249" i="23"/>
  <c r="Q249" i="23"/>
  <c r="O241" i="23"/>
  <c r="O242" i="23"/>
  <c r="O243" i="23"/>
  <c r="O244" i="23"/>
  <c r="O245" i="23"/>
  <c r="O246" i="23"/>
  <c r="O248" i="23"/>
  <c r="O249" i="23"/>
  <c r="N241" i="23"/>
  <c r="N242" i="23"/>
  <c r="N243" i="23"/>
  <c r="N244" i="23"/>
  <c r="N245" i="23"/>
  <c r="N246" i="23"/>
  <c r="N248" i="23"/>
  <c r="N249" i="23"/>
  <c r="R225" i="23"/>
  <c r="Q225" i="23"/>
  <c r="R227" i="23"/>
  <c r="Q227" i="23"/>
  <c r="R229" i="23"/>
  <c r="Q229" i="23"/>
  <c r="R231" i="23"/>
  <c r="Q231" i="23"/>
  <c r="R233" i="23"/>
  <c r="Q233" i="23"/>
  <c r="R226" i="23"/>
  <c r="Q226" i="23"/>
  <c r="R228" i="23"/>
  <c r="Q228" i="23"/>
  <c r="R230" i="23"/>
  <c r="Q230" i="23"/>
  <c r="R232" i="23"/>
  <c r="Q232" i="23"/>
  <c r="R234" i="23"/>
  <c r="Q234" i="23"/>
  <c r="O225" i="23"/>
  <c r="O226" i="23"/>
  <c r="O227" i="23"/>
  <c r="O228" i="23"/>
  <c r="O229" i="23"/>
  <c r="O230" i="23"/>
  <c r="O231" i="23"/>
  <c r="O232" i="23"/>
  <c r="O233" i="23"/>
  <c r="O234" i="23"/>
  <c r="N225" i="23"/>
  <c r="N226" i="23"/>
  <c r="N227" i="23"/>
  <c r="N228" i="23"/>
  <c r="N229" i="23"/>
  <c r="N230" i="23"/>
  <c r="N231" i="23"/>
  <c r="N232" i="23"/>
  <c r="N233" i="23"/>
  <c r="N234" i="23"/>
  <c r="R222" i="23"/>
  <c r="Q222" i="23"/>
  <c r="R221" i="23"/>
  <c r="Q221" i="23"/>
  <c r="R223" i="23"/>
  <c r="Q223" i="23"/>
  <c r="O221" i="23"/>
  <c r="O222" i="23"/>
  <c r="O223" i="23"/>
  <c r="N221" i="23"/>
  <c r="N222" i="23"/>
  <c r="N223" i="23"/>
  <c r="R216" i="23"/>
  <c r="Q216" i="23"/>
  <c r="R218" i="23"/>
  <c r="Q218" i="23"/>
  <c r="R217" i="23"/>
  <c r="Q217" i="23"/>
  <c r="R219" i="23"/>
  <c r="Q219" i="23"/>
  <c r="O216" i="23"/>
  <c r="O217" i="23"/>
  <c r="O218" i="23"/>
  <c r="O219" i="23"/>
  <c r="N216" i="23"/>
  <c r="N217" i="23"/>
  <c r="N218" i="23"/>
  <c r="N219" i="23"/>
  <c r="R211" i="23"/>
  <c r="Q211" i="23"/>
  <c r="R213" i="23"/>
  <c r="Q213" i="23"/>
  <c r="R210" i="23"/>
  <c r="Q210" i="23"/>
  <c r="R212" i="23"/>
  <c r="Q212" i="23"/>
  <c r="R214" i="23"/>
  <c r="Q214" i="23"/>
  <c r="O210" i="23"/>
  <c r="O211" i="23"/>
  <c r="O212" i="23"/>
  <c r="O213" i="23"/>
  <c r="O214" i="23"/>
  <c r="N210" i="23"/>
  <c r="N211" i="23"/>
  <c r="N212" i="23"/>
  <c r="N213" i="23"/>
  <c r="N214" i="23"/>
  <c r="R207" i="23"/>
  <c r="Q207" i="23"/>
  <c r="R206" i="23"/>
  <c r="Q206" i="23"/>
  <c r="R208" i="23"/>
  <c r="Q208" i="23"/>
  <c r="O206" i="23"/>
  <c r="O207" i="23"/>
  <c r="O208" i="23"/>
  <c r="N206" i="23"/>
  <c r="N207" i="23"/>
  <c r="N208" i="23"/>
  <c r="R194" i="23"/>
  <c r="Q194" i="23"/>
  <c r="R196" i="23"/>
  <c r="Q196" i="23"/>
  <c r="R198" i="23"/>
  <c r="Q198" i="23"/>
  <c r="R200" i="23"/>
  <c r="Q200" i="23"/>
  <c r="R202" i="23"/>
  <c r="Q202" i="23"/>
  <c r="R193" i="23"/>
  <c r="Q193" i="23"/>
  <c r="R195" i="23"/>
  <c r="Q195" i="23"/>
  <c r="R197" i="23"/>
  <c r="Q197" i="23"/>
  <c r="R199" i="23"/>
  <c r="Q199" i="23"/>
  <c r="R201" i="23"/>
  <c r="Q201" i="23"/>
  <c r="R203" i="23"/>
  <c r="Q203" i="23"/>
  <c r="O193" i="23"/>
  <c r="O194" i="23"/>
  <c r="O195" i="23"/>
  <c r="O196" i="23"/>
  <c r="O197" i="23"/>
  <c r="O198" i="23"/>
  <c r="O199" i="23"/>
  <c r="O200" i="23"/>
  <c r="O201" i="23"/>
  <c r="O202" i="23"/>
  <c r="O203" i="23"/>
  <c r="N193" i="23"/>
  <c r="N194" i="23"/>
  <c r="N195" i="23"/>
  <c r="N196" i="23"/>
  <c r="N197" i="23"/>
  <c r="N198" i="23"/>
  <c r="N199" i="23"/>
  <c r="N200" i="23"/>
  <c r="N201" i="23"/>
  <c r="N202" i="23"/>
  <c r="N203" i="23"/>
  <c r="R188" i="23"/>
  <c r="Q188" i="23"/>
  <c r="R190" i="23"/>
  <c r="Q190" i="23"/>
  <c r="R187" i="23"/>
  <c r="Q187" i="23"/>
  <c r="R189" i="23"/>
  <c r="Q189" i="23"/>
  <c r="R191" i="23"/>
  <c r="Q191" i="23"/>
  <c r="O187" i="23"/>
  <c r="O188" i="23"/>
  <c r="O189" i="23"/>
  <c r="O190" i="23"/>
  <c r="O191" i="23"/>
  <c r="N187" i="23"/>
  <c r="N188" i="23"/>
  <c r="N189" i="23"/>
  <c r="N190" i="23"/>
  <c r="N191" i="23"/>
  <c r="R184" i="23"/>
  <c r="Q184" i="23"/>
  <c r="R183" i="23"/>
  <c r="Q183" i="23"/>
  <c r="R185" i="23"/>
  <c r="Q185" i="23"/>
  <c r="O183" i="23"/>
  <c r="O184" i="23"/>
  <c r="O185" i="23"/>
  <c r="N183" i="23"/>
  <c r="N184" i="23"/>
  <c r="N185" i="23"/>
  <c r="R177" i="23"/>
  <c r="Q177" i="23"/>
  <c r="O177" i="23"/>
  <c r="N177" i="23"/>
  <c r="R174" i="23"/>
  <c r="Q174" i="23"/>
  <c r="R173" i="23"/>
  <c r="Q173" i="23"/>
  <c r="R175" i="23"/>
  <c r="Q175" i="23"/>
  <c r="O173" i="23"/>
  <c r="O174" i="23"/>
  <c r="O175" i="23"/>
  <c r="N173" i="23"/>
  <c r="N174" i="23"/>
  <c r="N175" i="23"/>
  <c r="R170" i="23"/>
  <c r="Q170" i="23"/>
  <c r="R169" i="23"/>
  <c r="Q169" i="23"/>
  <c r="R171" i="23"/>
  <c r="Q171" i="23"/>
  <c r="O169" i="23"/>
  <c r="O170" i="23"/>
  <c r="O171" i="23"/>
  <c r="N169" i="23"/>
  <c r="N170" i="23"/>
  <c r="N171" i="23"/>
  <c r="R166" i="23"/>
  <c r="Q166" i="23"/>
  <c r="R167" i="23"/>
  <c r="Q167" i="23"/>
  <c r="O166" i="23"/>
  <c r="O167" i="23"/>
  <c r="N166" i="23"/>
  <c r="N167" i="23"/>
  <c r="R162" i="23"/>
  <c r="Q162" i="23"/>
  <c r="R161" i="23"/>
  <c r="Q161" i="23"/>
  <c r="R163" i="23"/>
  <c r="Q163" i="23"/>
  <c r="O161" i="23"/>
  <c r="O162" i="23"/>
  <c r="O163" i="23"/>
  <c r="N161" i="23"/>
  <c r="N162" i="23"/>
  <c r="N163" i="23"/>
  <c r="R159" i="23"/>
  <c r="Q159" i="23"/>
  <c r="O159" i="23"/>
  <c r="N159" i="23"/>
  <c r="R157" i="23"/>
  <c r="Q157" i="23"/>
  <c r="O157" i="23"/>
  <c r="N157" i="23"/>
  <c r="R155" i="23"/>
  <c r="Q155" i="23"/>
  <c r="O155" i="23"/>
  <c r="N155" i="23"/>
  <c r="R150" i="23"/>
  <c r="Q150" i="23"/>
  <c r="R151" i="23"/>
  <c r="Q151" i="23"/>
  <c r="O150" i="23"/>
  <c r="O151" i="23"/>
  <c r="N150" i="23"/>
  <c r="N151" i="23"/>
  <c r="R148" i="23"/>
  <c r="Q148" i="23"/>
  <c r="O148" i="23"/>
  <c r="N148" i="23"/>
  <c r="R145" i="23"/>
  <c r="Q145" i="23"/>
  <c r="R144" i="23"/>
  <c r="Q144" i="23"/>
  <c r="R146" i="23"/>
  <c r="Q146" i="23"/>
  <c r="O144" i="23"/>
  <c r="O145" i="23"/>
  <c r="O146" i="23"/>
  <c r="N144" i="23"/>
  <c r="N145" i="23"/>
  <c r="N146" i="23"/>
  <c r="R140" i="23"/>
  <c r="Q140" i="23"/>
  <c r="R141" i="23"/>
  <c r="Q141" i="23"/>
  <c r="O140" i="23"/>
  <c r="O141" i="23"/>
  <c r="N140" i="23"/>
  <c r="N141" i="23"/>
  <c r="R138" i="23"/>
  <c r="Q138" i="23"/>
  <c r="O138" i="23"/>
  <c r="N138" i="23"/>
  <c r="R135" i="23"/>
  <c r="Q135" i="23"/>
  <c r="O135" i="23"/>
  <c r="N135" i="23"/>
  <c r="R133" i="23"/>
  <c r="Q133" i="23"/>
  <c r="Q131" i="23"/>
  <c r="O133" i="23"/>
  <c r="S132" i="23"/>
  <c r="T132" i="23" s="1"/>
  <c r="N133" i="23"/>
  <c r="R128" i="23"/>
  <c r="Q128" i="23"/>
  <c r="O128" i="23"/>
  <c r="N128" i="23"/>
  <c r="R123" i="23"/>
  <c r="Q123" i="23"/>
  <c r="R125" i="23"/>
  <c r="Q125" i="23"/>
  <c r="R124" i="23"/>
  <c r="Q124" i="23"/>
  <c r="R126" i="23"/>
  <c r="Q126" i="23"/>
  <c r="O123" i="23"/>
  <c r="O124" i="23"/>
  <c r="O125" i="23"/>
  <c r="O126" i="23"/>
  <c r="N123" i="23"/>
  <c r="N124" i="23"/>
  <c r="N125" i="23"/>
  <c r="N126" i="23"/>
  <c r="R118" i="23"/>
  <c r="Q118" i="23"/>
  <c r="R120" i="23"/>
  <c r="Q120" i="23"/>
  <c r="R119" i="23"/>
  <c r="Q119" i="23"/>
  <c r="R121" i="23"/>
  <c r="Q121" i="23"/>
  <c r="O118" i="23"/>
  <c r="O119" i="23"/>
  <c r="O120" i="23"/>
  <c r="O121" i="23"/>
  <c r="N118" i="23"/>
  <c r="N119" i="23"/>
  <c r="N120" i="23"/>
  <c r="N121" i="23"/>
  <c r="R113" i="23"/>
  <c r="Q113" i="23"/>
  <c r="R115" i="23"/>
  <c r="Q115" i="23"/>
  <c r="R114" i="23"/>
  <c r="Q114" i="23"/>
  <c r="R116" i="23"/>
  <c r="Q116" i="23"/>
  <c r="O113" i="23"/>
  <c r="O114" i="23"/>
  <c r="O115" i="23"/>
  <c r="O116" i="23"/>
  <c r="N113" i="23"/>
  <c r="N114" i="23"/>
  <c r="N115" i="23"/>
  <c r="N116" i="23"/>
  <c r="R108" i="23"/>
  <c r="Q108" i="23"/>
  <c r="R110" i="23"/>
  <c r="Q110" i="23"/>
  <c r="R107" i="23"/>
  <c r="Q107" i="23"/>
  <c r="R109" i="23"/>
  <c r="Q109" i="23"/>
  <c r="R111" i="23"/>
  <c r="Q111" i="23"/>
  <c r="O107" i="23"/>
  <c r="O108" i="23"/>
  <c r="O109" i="23"/>
  <c r="O110" i="23"/>
  <c r="O111" i="23"/>
  <c r="N107" i="23"/>
  <c r="N108" i="23"/>
  <c r="N109" i="23"/>
  <c r="N110" i="23"/>
  <c r="N111" i="23"/>
  <c r="R102" i="23"/>
  <c r="Q102" i="23"/>
  <c r="R104" i="23"/>
  <c r="Q104" i="23"/>
  <c r="R103" i="23"/>
  <c r="Q103" i="23"/>
  <c r="R105" i="23"/>
  <c r="Q105" i="23"/>
  <c r="O102" i="23"/>
  <c r="O103" i="23"/>
  <c r="O104" i="23"/>
  <c r="O105" i="23"/>
  <c r="N102" i="23"/>
  <c r="N103" i="23"/>
  <c r="N104" i="23"/>
  <c r="N105" i="23"/>
  <c r="R97" i="23"/>
  <c r="Q97" i="23"/>
  <c r="R99" i="23"/>
  <c r="Q99" i="23"/>
  <c r="R98" i="23"/>
  <c r="Q98" i="23"/>
  <c r="R100" i="23"/>
  <c r="Q100" i="23"/>
  <c r="O97" i="23"/>
  <c r="O98" i="23"/>
  <c r="O99" i="23"/>
  <c r="O100" i="23"/>
  <c r="N97" i="23"/>
  <c r="N98" i="23"/>
  <c r="N99" i="23"/>
  <c r="N100" i="23"/>
  <c r="R92" i="23"/>
  <c r="Q92" i="23"/>
  <c r="R94" i="23"/>
  <c r="Q94" i="23"/>
  <c r="R93" i="23"/>
  <c r="Q93" i="23"/>
  <c r="R95" i="23"/>
  <c r="Q95" i="23"/>
  <c r="O92" i="23"/>
  <c r="O93" i="23"/>
  <c r="O94" i="23"/>
  <c r="O95" i="23"/>
  <c r="N92" i="23"/>
  <c r="N93" i="23"/>
  <c r="N94" i="23"/>
  <c r="N95" i="23"/>
  <c r="R87" i="23"/>
  <c r="Q87" i="23"/>
  <c r="R89" i="23"/>
  <c r="Q89" i="23"/>
  <c r="R88" i="23"/>
  <c r="Q88" i="23"/>
  <c r="R90" i="23"/>
  <c r="Q90" i="23"/>
  <c r="O87" i="23"/>
  <c r="O88" i="23"/>
  <c r="O89" i="23"/>
  <c r="O90" i="23"/>
  <c r="N87" i="23"/>
  <c r="N88" i="23"/>
  <c r="N89" i="23"/>
  <c r="N90" i="23"/>
  <c r="R84" i="23"/>
  <c r="Q84" i="23"/>
  <c r="R83" i="23"/>
  <c r="Q83" i="23"/>
  <c r="R85" i="23"/>
  <c r="Q85" i="23"/>
  <c r="O83" i="23"/>
  <c r="O84" i="23"/>
  <c r="O85" i="23"/>
  <c r="N83" i="23"/>
  <c r="N84" i="23"/>
  <c r="N85" i="23"/>
  <c r="R77" i="23"/>
  <c r="Q77" i="23"/>
  <c r="R79" i="23"/>
  <c r="Q79" i="23"/>
  <c r="R76" i="23"/>
  <c r="Q76" i="23"/>
  <c r="R78" i="23"/>
  <c r="Q78" i="23"/>
  <c r="R80" i="23"/>
  <c r="Q80" i="23"/>
  <c r="O76" i="23"/>
  <c r="O77" i="23"/>
  <c r="O78" i="23"/>
  <c r="O79" i="23"/>
  <c r="O80" i="23"/>
  <c r="N76" i="23"/>
  <c r="N77" i="23"/>
  <c r="N78" i="23"/>
  <c r="N79" i="23"/>
  <c r="N80" i="23"/>
  <c r="R67" i="23"/>
  <c r="Q67" i="23"/>
  <c r="R69" i="23"/>
  <c r="Q69" i="23"/>
  <c r="R71" i="23"/>
  <c r="Q71" i="23"/>
  <c r="R73" i="23"/>
  <c r="Q73" i="23"/>
  <c r="R68" i="23"/>
  <c r="Q68" i="23"/>
  <c r="R70" i="23"/>
  <c r="Q70" i="23"/>
  <c r="R72" i="23"/>
  <c r="Q72" i="23"/>
  <c r="R74" i="23"/>
  <c r="Q74" i="23"/>
  <c r="O67" i="23"/>
  <c r="O68" i="23"/>
  <c r="O69" i="23"/>
  <c r="O70" i="23"/>
  <c r="O71" i="23"/>
  <c r="O72" i="23"/>
  <c r="O73" i="23"/>
  <c r="O74" i="23"/>
  <c r="N67" i="23"/>
  <c r="N68" i="23"/>
  <c r="N69" i="23"/>
  <c r="N70" i="23"/>
  <c r="N71" i="23"/>
  <c r="N72" i="23"/>
  <c r="N73" i="23"/>
  <c r="N74" i="23"/>
  <c r="R62" i="23"/>
  <c r="Q62" i="23"/>
  <c r="R63" i="23"/>
  <c r="Q63" i="23"/>
  <c r="O62" i="23"/>
  <c r="O63" i="23"/>
  <c r="N62" i="23"/>
  <c r="N63" i="23"/>
  <c r="R53" i="23"/>
  <c r="Q53" i="23"/>
  <c r="R55" i="23"/>
  <c r="Q55" i="23"/>
  <c r="R57" i="23"/>
  <c r="Q57" i="23"/>
  <c r="R59" i="23"/>
  <c r="Q59" i="23"/>
  <c r="R52" i="23"/>
  <c r="Q52" i="23"/>
  <c r="R54" i="23"/>
  <c r="Q54" i="23"/>
  <c r="R56" i="23"/>
  <c r="Q56" i="23"/>
  <c r="R58" i="23"/>
  <c r="Q58" i="23"/>
  <c r="R60" i="23"/>
  <c r="Q60" i="23"/>
  <c r="O52" i="23"/>
  <c r="O53" i="23"/>
  <c r="O54" i="23"/>
  <c r="O55" i="23"/>
  <c r="O56" i="23"/>
  <c r="O57" i="23"/>
  <c r="O58" i="23"/>
  <c r="O59" i="23"/>
  <c r="O60" i="23"/>
  <c r="N52" i="23"/>
  <c r="N53" i="23"/>
  <c r="N54" i="23"/>
  <c r="N55" i="23"/>
  <c r="N56" i="23"/>
  <c r="N57" i="23"/>
  <c r="N58" i="23"/>
  <c r="N59" i="23"/>
  <c r="N60" i="23"/>
  <c r="R47" i="23"/>
  <c r="Q47" i="23"/>
  <c r="R49" i="23"/>
  <c r="Q49" i="23"/>
  <c r="R46" i="23"/>
  <c r="Q46" i="23"/>
  <c r="R48" i="23"/>
  <c r="Q48" i="23"/>
  <c r="R50" i="23"/>
  <c r="Q50" i="23"/>
  <c r="O45" i="23"/>
  <c r="O46" i="23"/>
  <c r="O47" i="23"/>
  <c r="O48" i="23"/>
  <c r="O49" i="23"/>
  <c r="O50" i="23"/>
  <c r="N45" i="23"/>
  <c r="N46" i="23"/>
  <c r="N47" i="23"/>
  <c r="N48" i="23"/>
  <c r="N49" i="23"/>
  <c r="N50" i="23"/>
  <c r="R43" i="23"/>
  <c r="Q43" i="23"/>
  <c r="O43" i="23"/>
  <c r="N43" i="23"/>
  <c r="R36" i="23"/>
  <c r="Q36" i="23"/>
  <c r="R38" i="23"/>
  <c r="Q38" i="23"/>
  <c r="R40" i="23"/>
  <c r="Q40" i="23"/>
  <c r="R37" i="23"/>
  <c r="Q37" i="23"/>
  <c r="R39" i="23"/>
  <c r="Q39" i="23"/>
  <c r="R41" i="23"/>
  <c r="Q41" i="23"/>
  <c r="O36" i="23"/>
  <c r="O37" i="23"/>
  <c r="O38" i="23"/>
  <c r="O39" i="23"/>
  <c r="O40" i="23"/>
  <c r="O41" i="23"/>
  <c r="N36" i="23"/>
  <c r="N37" i="23"/>
  <c r="N38" i="23"/>
  <c r="N39" i="23"/>
  <c r="N40" i="23"/>
  <c r="N41" i="23"/>
  <c r="R32" i="23"/>
  <c r="Q32" i="23"/>
  <c r="R33" i="23"/>
  <c r="Q33" i="23"/>
  <c r="O32" i="23"/>
  <c r="O33" i="23"/>
  <c r="N32" i="23"/>
  <c r="N33" i="23"/>
  <c r="S33" i="23" s="1"/>
  <c r="T33" i="23" s="1"/>
  <c r="R29" i="23"/>
  <c r="Q29" i="23"/>
  <c r="O29" i="23"/>
  <c r="N29" i="23"/>
  <c r="R22" i="23"/>
  <c r="Q22" i="23"/>
  <c r="O22" i="23"/>
  <c r="N22" i="23"/>
  <c r="S234" i="23" l="1"/>
  <c r="T234" i="23" s="1"/>
  <c r="S317" i="23"/>
  <c r="T317" i="23" s="1"/>
  <c r="S402" i="23"/>
  <c r="T402" i="23" s="1"/>
  <c r="S451" i="23"/>
  <c r="T451" i="23" s="1"/>
  <c r="S491" i="23"/>
  <c r="T491" i="23" s="1"/>
  <c r="S524" i="23"/>
  <c r="T524" i="23" s="1"/>
  <c r="S100" i="23"/>
  <c r="T100" i="23" s="1"/>
  <c r="S549" i="23"/>
  <c r="T549" i="23" s="1"/>
  <c r="S98" i="23"/>
  <c r="T98" i="23" s="1"/>
  <c r="S230" i="23"/>
  <c r="T230" i="23" s="1"/>
  <c r="S286" i="23"/>
  <c r="T286" i="23" s="1"/>
  <c r="F372" i="23"/>
  <c r="F346" i="23" s="1"/>
  <c r="S63" i="23"/>
  <c r="T63" i="23" s="1"/>
  <c r="S70" i="23"/>
  <c r="T70" i="23" s="1"/>
  <c r="S90" i="23"/>
  <c r="T90" i="23" s="1"/>
  <c r="S105" i="23"/>
  <c r="T105" i="23" s="1"/>
  <c r="S116" i="23"/>
  <c r="T116" i="23" s="1"/>
  <c r="S228" i="23"/>
  <c r="T228" i="23" s="1"/>
  <c r="S341" i="23"/>
  <c r="T341" i="23" s="1"/>
  <c r="S381" i="23"/>
  <c r="T381" i="23" s="1"/>
  <c r="F30" i="23"/>
  <c r="F15" i="23" s="1"/>
  <c r="S93" i="23"/>
  <c r="T93" i="23" s="1"/>
  <c r="S514" i="23"/>
  <c r="T514" i="23" s="1"/>
  <c r="S545" i="23"/>
  <c r="T545" i="23" s="1"/>
  <c r="F16" i="23"/>
  <c r="F164" i="23"/>
  <c r="F129" i="23"/>
  <c r="F417" i="23"/>
  <c r="T417" i="23" s="1"/>
  <c r="S126" i="23"/>
  <c r="T126" i="23" s="1"/>
  <c r="S124" i="23"/>
  <c r="T124" i="23" s="1"/>
  <c r="S119" i="23"/>
  <c r="T119" i="23" s="1"/>
  <c r="S151" i="23"/>
  <c r="T151" i="23" s="1"/>
  <c r="S74" i="23"/>
  <c r="T74" i="23" s="1"/>
  <c r="S232" i="23"/>
  <c r="T232" i="23" s="1"/>
  <c r="S262" i="23"/>
  <c r="T262" i="23" s="1"/>
  <c r="S313" i="23"/>
  <c r="T313" i="23" s="1"/>
  <c r="S322" i="23"/>
  <c r="T322" i="23" s="1"/>
  <c r="S141" i="23"/>
  <c r="T141" i="23" s="1"/>
  <c r="R45" i="23"/>
  <c r="S547" i="23"/>
  <c r="T547" i="23" s="1"/>
  <c r="S68" i="23"/>
  <c r="T68" i="23" s="1"/>
  <c r="S88" i="23"/>
  <c r="T88" i="23" s="1"/>
  <c r="S114" i="23"/>
  <c r="T114" i="23" s="1"/>
  <c r="S167" i="23"/>
  <c r="T167" i="23" s="1"/>
  <c r="S226" i="23"/>
  <c r="T226" i="23" s="1"/>
  <c r="S339" i="23"/>
  <c r="T339" i="23" s="1"/>
  <c r="S379" i="23"/>
  <c r="T379" i="23" s="1"/>
  <c r="S543" i="23"/>
  <c r="T543" i="23" s="1"/>
  <c r="R35" i="23"/>
  <c r="S103" i="23"/>
  <c r="T103" i="23" s="1"/>
  <c r="S95" i="23"/>
  <c r="T95" i="23" s="1"/>
  <c r="S121" i="23"/>
  <c r="T121" i="23" s="1"/>
  <c r="S217" i="23"/>
  <c r="T217" i="23" s="1"/>
  <c r="S319" i="23"/>
  <c r="T319" i="23" s="1"/>
  <c r="S404" i="23"/>
  <c r="T404" i="23" s="1"/>
  <c r="S453" i="23"/>
  <c r="T453" i="23" s="1"/>
  <c r="F476" i="23"/>
  <c r="T476" i="23" s="1"/>
  <c r="S526" i="23"/>
  <c r="T526" i="23" s="1"/>
  <c r="S541" i="23"/>
  <c r="T541" i="23" s="1"/>
  <c r="S48" i="23"/>
  <c r="T48" i="23" s="1"/>
  <c r="S219" i="23"/>
  <c r="T219" i="23" s="1"/>
  <c r="S50" i="23"/>
  <c r="T50" i="23" s="1"/>
  <c r="S252" i="23"/>
  <c r="T252" i="23" s="1"/>
  <c r="S521" i="23"/>
  <c r="T521" i="23" s="1"/>
  <c r="S288" i="23"/>
  <c r="T288" i="23" s="1"/>
  <c r="S43" i="23"/>
  <c r="T43" i="23" s="1"/>
  <c r="S287" i="23"/>
  <c r="T287" i="23" s="1"/>
  <c r="S487" i="23"/>
  <c r="T487" i="23" s="1"/>
  <c r="S500" i="23"/>
  <c r="T500" i="23" s="1"/>
  <c r="S510" i="23"/>
  <c r="T510" i="23" s="1"/>
  <c r="S506" i="23"/>
  <c r="T506" i="23" s="1"/>
  <c r="S502" i="23"/>
  <c r="T502" i="23" s="1"/>
  <c r="S518" i="23"/>
  <c r="T518" i="23" s="1"/>
  <c r="S528" i="23"/>
  <c r="T528" i="23" s="1"/>
  <c r="S530" i="23"/>
  <c r="T530" i="23" s="1"/>
  <c r="S534" i="23"/>
  <c r="T534" i="23" s="1"/>
  <c r="S536" i="23"/>
  <c r="T536" i="23" s="1"/>
  <c r="S551" i="23"/>
  <c r="T551" i="23" s="1"/>
  <c r="S553" i="23"/>
  <c r="T553" i="23" s="1"/>
  <c r="S555" i="23"/>
  <c r="T555" i="23" s="1"/>
  <c r="S557" i="23"/>
  <c r="T557" i="23" s="1"/>
  <c r="S561" i="23"/>
  <c r="T561" i="23" s="1"/>
  <c r="S488" i="23"/>
  <c r="T488" i="23" s="1"/>
  <c r="T426" i="23"/>
  <c r="F448" i="23"/>
  <c r="T448" i="23" s="1"/>
  <c r="F395" i="23"/>
  <c r="F152" i="23"/>
  <c r="S185" i="23"/>
  <c r="T185" i="23" s="1"/>
  <c r="S191" i="23"/>
  <c r="T191" i="23" s="1"/>
  <c r="S187" i="23"/>
  <c r="T187" i="23" s="1"/>
  <c r="S203" i="23"/>
  <c r="T203" i="23" s="1"/>
  <c r="S199" i="23"/>
  <c r="T199" i="23" s="1"/>
  <c r="S195" i="23"/>
  <c r="T195" i="23" s="1"/>
  <c r="S208" i="23"/>
  <c r="T208" i="23" s="1"/>
  <c r="S214" i="23"/>
  <c r="T214" i="23" s="1"/>
  <c r="S210" i="23"/>
  <c r="T210" i="23" s="1"/>
  <c r="S223" i="23"/>
  <c r="T223" i="23" s="1"/>
  <c r="S249" i="23"/>
  <c r="T249" i="23" s="1"/>
  <c r="S245" i="23"/>
  <c r="T245" i="23" s="1"/>
  <c r="S241" i="23"/>
  <c r="T241" i="23" s="1"/>
  <c r="S267" i="23"/>
  <c r="T267" i="23" s="1"/>
  <c r="S295" i="23"/>
  <c r="T295" i="23" s="1"/>
  <c r="S305" i="23"/>
  <c r="T305" i="23" s="1"/>
  <c r="S328" i="23"/>
  <c r="T328" i="23" s="1"/>
  <c r="S334" i="23"/>
  <c r="T334" i="23" s="1"/>
  <c r="S343" i="23"/>
  <c r="T343" i="23" s="1"/>
  <c r="S360" i="23"/>
  <c r="T360" i="23" s="1"/>
  <c r="S356" i="23"/>
  <c r="T356" i="23" s="1"/>
  <c r="S374" i="23"/>
  <c r="T374" i="23" s="1"/>
  <c r="S397" i="23"/>
  <c r="T397" i="23" s="1"/>
  <c r="S412" i="23"/>
  <c r="T412" i="23" s="1"/>
  <c r="S408" i="23"/>
  <c r="T408" i="23" s="1"/>
  <c r="S419" i="23"/>
  <c r="T419" i="23" s="1"/>
  <c r="S423" i="23"/>
  <c r="T423" i="23" s="1"/>
  <c r="S441" i="23"/>
  <c r="T441" i="23" s="1"/>
  <c r="S437" i="23"/>
  <c r="T437" i="23" s="1"/>
  <c r="S445" i="23"/>
  <c r="T445" i="23" s="1"/>
  <c r="S457" i="23"/>
  <c r="T457" i="23" s="1"/>
  <c r="S467" i="23"/>
  <c r="T467" i="23" s="1"/>
  <c r="S463" i="23"/>
  <c r="T463" i="23" s="1"/>
  <c r="T449" i="23"/>
  <c r="F263" i="23"/>
  <c r="S46" i="23"/>
  <c r="T46" i="23" s="1"/>
  <c r="F181" i="23"/>
  <c r="F180" i="23" s="1"/>
  <c r="F511" i="23"/>
  <c r="F81" i="23"/>
  <c r="F65" i="23" s="1"/>
  <c r="S72" i="23"/>
  <c r="T72" i="23" s="1"/>
  <c r="S60" i="23"/>
  <c r="T60" i="23" s="1"/>
  <c r="S56" i="23"/>
  <c r="T56" i="23" s="1"/>
  <c r="S80" i="23"/>
  <c r="T80" i="23" s="1"/>
  <c r="S76" i="23"/>
  <c r="T76" i="23" s="1"/>
  <c r="S111" i="23"/>
  <c r="T111" i="23" s="1"/>
  <c r="S107" i="23"/>
  <c r="T107" i="23" s="1"/>
  <c r="S128" i="23"/>
  <c r="T128" i="23" s="1"/>
  <c r="T407" i="23"/>
  <c r="T497" i="23"/>
  <c r="F289" i="23"/>
  <c r="S388" i="23"/>
  <c r="T388" i="23" s="1"/>
  <c r="S135" i="23"/>
  <c r="T135" i="23" s="1"/>
  <c r="S138" i="23"/>
  <c r="T138" i="23" s="1"/>
  <c r="S146" i="23"/>
  <c r="T146" i="23" s="1"/>
  <c r="S148" i="23"/>
  <c r="T148" i="23" s="1"/>
  <c r="S155" i="23"/>
  <c r="T155" i="23" s="1"/>
  <c r="S157" i="23"/>
  <c r="T157" i="23" s="1"/>
  <c r="S159" i="23"/>
  <c r="T159" i="23" s="1"/>
  <c r="S163" i="23"/>
  <c r="T163" i="23" s="1"/>
  <c r="S171" i="23"/>
  <c r="T171" i="23" s="1"/>
  <c r="S175" i="23"/>
  <c r="T175" i="23" s="1"/>
  <c r="S177" i="23"/>
  <c r="T177" i="23" s="1"/>
  <c r="S92" i="23"/>
  <c r="T92" i="23" s="1"/>
  <c r="S131" i="23"/>
  <c r="T131" i="23" s="1"/>
  <c r="O35" i="23"/>
  <c r="S85" i="23"/>
  <c r="T85" i="23" s="1"/>
  <c r="S52" i="23"/>
  <c r="T52" i="23" s="1"/>
  <c r="S78" i="23"/>
  <c r="T78" i="23" s="1"/>
  <c r="S83" i="23"/>
  <c r="T83" i="23" s="1"/>
  <c r="S109" i="23"/>
  <c r="T109" i="23" s="1"/>
  <c r="S285" i="23"/>
  <c r="T285" i="23" s="1"/>
  <c r="S498" i="23"/>
  <c r="T498" i="23" s="1"/>
  <c r="S508" i="23"/>
  <c r="T508" i="23" s="1"/>
  <c r="S504" i="23"/>
  <c r="T504" i="23" s="1"/>
  <c r="S516" i="23"/>
  <c r="T516" i="23" s="1"/>
  <c r="S532" i="23"/>
  <c r="T532" i="23" s="1"/>
  <c r="S559" i="23"/>
  <c r="T559" i="23" s="1"/>
  <c r="S58" i="23"/>
  <c r="T58" i="23" s="1"/>
  <c r="S54" i="23"/>
  <c r="T54" i="23" s="1"/>
  <c r="S22" i="23"/>
  <c r="T22" i="23" s="1"/>
  <c r="S29" i="23"/>
  <c r="T29" i="23" s="1"/>
  <c r="S144" i="23"/>
  <c r="T144" i="23" s="1"/>
  <c r="S161" i="23"/>
  <c r="T161" i="23" s="1"/>
  <c r="S169" i="23"/>
  <c r="T169" i="23" s="1"/>
  <c r="S173" i="23"/>
  <c r="T173" i="23" s="1"/>
  <c r="S183" i="23"/>
  <c r="T183" i="23" s="1"/>
  <c r="S189" i="23"/>
  <c r="T189" i="23" s="1"/>
  <c r="S201" i="23"/>
  <c r="T201" i="23" s="1"/>
  <c r="S197" i="23"/>
  <c r="T197" i="23" s="1"/>
  <c r="S193" i="23"/>
  <c r="T193" i="23" s="1"/>
  <c r="S206" i="23"/>
  <c r="T206" i="23" s="1"/>
  <c r="S212" i="23"/>
  <c r="T212" i="23" s="1"/>
  <c r="S221" i="23"/>
  <c r="T221" i="23" s="1"/>
  <c r="S247" i="23"/>
  <c r="T247" i="23" s="1"/>
  <c r="S243" i="23"/>
  <c r="T243" i="23" s="1"/>
  <c r="S259" i="23"/>
  <c r="T259" i="23" s="1"/>
  <c r="S265" i="23"/>
  <c r="T265" i="23" s="1"/>
  <c r="S269" i="23"/>
  <c r="T269" i="23" s="1"/>
  <c r="S291" i="23"/>
  <c r="T291" i="23" s="1"/>
  <c r="S297" i="23"/>
  <c r="T297" i="23" s="1"/>
  <c r="S293" i="23"/>
  <c r="T293" i="23" s="1"/>
  <c r="S303" i="23"/>
  <c r="T303" i="23" s="1"/>
  <c r="S307" i="23"/>
  <c r="T307" i="23" s="1"/>
  <c r="S310" i="23"/>
  <c r="T310" i="23" s="1"/>
  <c r="S324" i="23"/>
  <c r="T324" i="23" s="1"/>
  <c r="S330" i="23"/>
  <c r="T330" i="23" s="1"/>
  <c r="S326" i="23"/>
  <c r="T326" i="23" s="1"/>
  <c r="S336" i="23"/>
  <c r="T336" i="23" s="1"/>
  <c r="S332" i="23"/>
  <c r="T332" i="23" s="1"/>
  <c r="S345" i="23"/>
  <c r="T345" i="23" s="1"/>
  <c r="S362" i="23"/>
  <c r="T362" i="23" s="1"/>
  <c r="S358" i="23"/>
  <c r="T358" i="23" s="1"/>
  <c r="S364" i="23"/>
  <c r="T364" i="23" s="1"/>
  <c r="S367" i="23"/>
  <c r="T367" i="23" s="1"/>
  <c r="S369" i="23"/>
  <c r="T369" i="23" s="1"/>
  <c r="S371" i="23"/>
  <c r="T371" i="23" s="1"/>
  <c r="S376" i="23"/>
  <c r="T376" i="23" s="1"/>
  <c r="S383" i="23"/>
  <c r="T383" i="23" s="1"/>
  <c r="S385" i="23"/>
  <c r="T385" i="23" s="1"/>
  <c r="S390" i="23"/>
  <c r="T390" i="23" s="1"/>
  <c r="S392" i="23"/>
  <c r="T392" i="23" s="1"/>
  <c r="S399" i="23"/>
  <c r="T399" i="23" s="1"/>
  <c r="S406" i="23"/>
  <c r="T406" i="23" s="1"/>
  <c r="S414" i="23"/>
  <c r="T414" i="23" s="1"/>
  <c r="S410" i="23"/>
  <c r="T410" i="23" s="1"/>
  <c r="S416" i="23"/>
  <c r="T416" i="23" s="1"/>
  <c r="S421" i="23"/>
  <c r="T421" i="23" s="1"/>
  <c r="S425" i="23"/>
  <c r="T425" i="23" s="1"/>
  <c r="S434" i="23"/>
  <c r="T434" i="23" s="1"/>
  <c r="S443" i="23"/>
  <c r="T443" i="23" s="1"/>
  <c r="S439" i="23"/>
  <c r="T439" i="23" s="1"/>
  <c r="S447" i="23"/>
  <c r="T447" i="23" s="1"/>
  <c r="S459" i="23"/>
  <c r="T459" i="23" s="1"/>
  <c r="S455" i="23"/>
  <c r="T455" i="23" s="1"/>
  <c r="S469" i="23"/>
  <c r="T469" i="23" s="1"/>
  <c r="S465" i="23"/>
  <c r="T465" i="23" s="1"/>
  <c r="S461" i="23"/>
  <c r="T461" i="23" s="1"/>
  <c r="S473" i="23"/>
  <c r="T473" i="23" s="1"/>
  <c r="S478" i="23"/>
  <c r="T478" i="23" s="1"/>
  <c r="S94" i="23"/>
  <c r="T94" i="23" s="1"/>
  <c r="S485" i="23"/>
  <c r="T485" i="23" s="1"/>
  <c r="S481" i="23"/>
  <c r="T481" i="23" s="1"/>
  <c r="S513" i="23"/>
  <c r="T513" i="23" s="1"/>
  <c r="S133" i="23"/>
  <c r="T133" i="23" s="1"/>
  <c r="S145" i="23"/>
  <c r="T145" i="23" s="1"/>
  <c r="S41" i="23"/>
  <c r="T41" i="23" s="1"/>
  <c r="S39" i="23"/>
  <c r="T39" i="23" s="1"/>
  <c r="S37" i="23"/>
  <c r="T37" i="23" s="1"/>
  <c r="N35" i="23"/>
  <c r="S35" i="23" s="1"/>
  <c r="T35" i="23" s="1"/>
  <c r="S560" i="23"/>
  <c r="T560" i="23" s="1"/>
  <c r="S548" i="23"/>
  <c r="T548" i="23" s="1"/>
  <c r="S546" i="23"/>
  <c r="T546" i="23" s="1"/>
  <c r="S544" i="23"/>
  <c r="T544" i="23" s="1"/>
  <c r="S542" i="23"/>
  <c r="T542" i="23" s="1"/>
  <c r="S540" i="23"/>
  <c r="T540" i="23" s="1"/>
  <c r="S533" i="23"/>
  <c r="T533" i="23" s="1"/>
  <c r="S525" i="23"/>
  <c r="T525" i="23" s="1"/>
  <c r="S523" i="23"/>
  <c r="T523" i="23" s="1"/>
  <c r="S520" i="23"/>
  <c r="T520" i="23" s="1"/>
  <c r="S517" i="23"/>
  <c r="T517" i="23" s="1"/>
  <c r="S509" i="23"/>
  <c r="T509" i="23" s="1"/>
  <c r="S507" i="23"/>
  <c r="T507" i="23" s="1"/>
  <c r="S505" i="23"/>
  <c r="T505" i="23" s="1"/>
  <c r="S503" i="23"/>
  <c r="T503" i="23" s="1"/>
  <c r="S499" i="23"/>
  <c r="T499" i="23" s="1"/>
  <c r="S494" i="23"/>
  <c r="T494" i="23" s="1"/>
  <c r="S492" i="23"/>
  <c r="T492" i="23" s="1"/>
  <c r="S490" i="23"/>
  <c r="T490" i="23" s="1"/>
  <c r="S484" i="23"/>
  <c r="T484" i="23" s="1"/>
  <c r="S482" i="23"/>
  <c r="T482" i="23" s="1"/>
  <c r="S480" i="23"/>
  <c r="T480" i="23" s="1"/>
  <c r="S468" i="23"/>
  <c r="T468" i="23" s="1"/>
  <c r="S466" i="23"/>
  <c r="T466" i="23" s="1"/>
  <c r="S464" i="23"/>
  <c r="T464" i="23" s="1"/>
  <c r="S462" i="23"/>
  <c r="T462" i="23" s="1"/>
  <c r="S458" i="23"/>
  <c r="T458" i="23" s="1"/>
  <c r="S456" i="23"/>
  <c r="T456" i="23" s="1"/>
  <c r="S452" i="23"/>
  <c r="T452" i="23" s="1"/>
  <c r="S450" i="23"/>
  <c r="T450" i="23" s="1"/>
  <c r="S446" i="23"/>
  <c r="T446" i="23" s="1"/>
  <c r="S442" i="23"/>
  <c r="T442" i="23" s="1"/>
  <c r="S440" i="23"/>
  <c r="T440" i="23" s="1"/>
  <c r="S438" i="23"/>
  <c r="T438" i="23" s="1"/>
  <c r="S431" i="23"/>
  <c r="T431" i="23" s="1"/>
  <c r="S429" i="23"/>
  <c r="T429" i="23" s="1"/>
  <c r="S427" i="23"/>
  <c r="T427" i="23" s="1"/>
  <c r="S424" i="23"/>
  <c r="T424" i="23" s="1"/>
  <c r="S420" i="23"/>
  <c r="T420" i="23" s="1"/>
  <c r="S413" i="23"/>
  <c r="T413" i="23" s="1"/>
  <c r="S411" i="23"/>
  <c r="T411" i="23" s="1"/>
  <c r="S409" i="23"/>
  <c r="T409" i="23" s="1"/>
  <c r="S403" i="23"/>
  <c r="T403" i="23" s="1"/>
  <c r="S401" i="23"/>
  <c r="T401" i="23" s="1"/>
  <c r="S398" i="23"/>
  <c r="T398" i="23" s="1"/>
  <c r="S389" i="23"/>
  <c r="T389" i="23" s="1"/>
  <c r="S380" i="23"/>
  <c r="T380" i="23" s="1"/>
  <c r="S378" i="23"/>
  <c r="T378" i="23" s="1"/>
  <c r="S375" i="23"/>
  <c r="T375" i="23" s="1"/>
  <c r="S361" i="23"/>
  <c r="T361" i="23" s="1"/>
  <c r="S359" i="23"/>
  <c r="T359" i="23" s="1"/>
  <c r="S357" i="23"/>
  <c r="T357" i="23" s="1"/>
  <c r="S353" i="23"/>
  <c r="T353" i="23" s="1"/>
  <c r="S351" i="23"/>
  <c r="T351" i="23" s="1"/>
  <c r="S349" i="23"/>
  <c r="T349" i="23" s="1"/>
  <c r="S344" i="23"/>
  <c r="T344" i="23" s="1"/>
  <c r="S340" i="23"/>
  <c r="T340" i="23" s="1"/>
  <c r="S338" i="23"/>
  <c r="T338" i="23" s="1"/>
  <c r="S335" i="23"/>
  <c r="T335" i="23" s="1"/>
  <c r="S333" i="23"/>
  <c r="T333" i="23" s="1"/>
  <c r="S329" i="23"/>
  <c r="T329" i="23" s="1"/>
  <c r="S327" i="23"/>
  <c r="T327" i="23" s="1"/>
  <c r="S321" i="23"/>
  <c r="T321" i="23" s="1"/>
  <c r="S318" i="23"/>
  <c r="T318" i="23" s="1"/>
  <c r="S316" i="23"/>
  <c r="T316" i="23" s="1"/>
  <c r="S312" i="23"/>
  <c r="T312" i="23" s="1"/>
  <c r="S306" i="23"/>
  <c r="T306" i="23" s="1"/>
  <c r="S299" i="23"/>
  <c r="T299" i="23" s="1"/>
  <c r="S296" i="23"/>
  <c r="T296" i="23" s="1"/>
  <c r="S294" i="23"/>
  <c r="T294" i="23" s="1"/>
  <c r="R284" i="23"/>
  <c r="Q284" i="23"/>
  <c r="S284" i="23" s="1"/>
  <c r="T284" i="23" s="1"/>
  <c r="R283" i="23"/>
  <c r="Q283" i="23"/>
  <c r="S283" i="23" s="1"/>
  <c r="T283" i="23" s="1"/>
  <c r="R282" i="23"/>
  <c r="Q282" i="23"/>
  <c r="S282" i="23" s="1"/>
  <c r="T282" i="23" s="1"/>
  <c r="R281" i="23"/>
  <c r="Q281" i="23"/>
  <c r="S281" i="23" s="1"/>
  <c r="T281" i="23" s="1"/>
  <c r="R280" i="23"/>
  <c r="Q280" i="23"/>
  <c r="S280" i="23" s="1"/>
  <c r="T280" i="23" s="1"/>
  <c r="R279" i="23"/>
  <c r="Q279" i="23"/>
  <c r="S279" i="23" s="1"/>
  <c r="T279" i="23" s="1"/>
  <c r="R278" i="23"/>
  <c r="Q278" i="23"/>
  <c r="S278" i="23" s="1"/>
  <c r="T278" i="23" s="1"/>
  <c r="R277" i="23"/>
  <c r="Q277" i="23"/>
  <c r="S277" i="23" s="1"/>
  <c r="T277" i="23" s="1"/>
  <c r="R276" i="23"/>
  <c r="Q276" i="23"/>
  <c r="S276" i="23" s="1"/>
  <c r="T276" i="23" s="1"/>
  <c r="R275" i="23"/>
  <c r="Q275" i="23"/>
  <c r="S275" i="23" s="1"/>
  <c r="T275" i="23" s="1"/>
  <c r="R274" i="23"/>
  <c r="Q274" i="23"/>
  <c r="S274" i="23" s="1"/>
  <c r="T274" i="23" s="1"/>
  <c r="R273" i="23"/>
  <c r="Q273" i="23"/>
  <c r="S273" i="23" s="1"/>
  <c r="T273" i="23" s="1"/>
  <c r="R272" i="23"/>
  <c r="Q272" i="23"/>
  <c r="S272" i="23" s="1"/>
  <c r="T272" i="23" s="1"/>
  <c r="R271" i="23"/>
  <c r="Q271" i="23"/>
  <c r="S271" i="23" s="1"/>
  <c r="T271" i="23" s="1"/>
  <c r="S268" i="23"/>
  <c r="T268" i="23" s="1"/>
  <c r="S261" i="23"/>
  <c r="T261" i="23" s="1"/>
  <c r="S255" i="23"/>
  <c r="T255" i="23" s="1"/>
  <c r="S253" i="23"/>
  <c r="T253" i="23" s="1"/>
  <c r="S251" i="23"/>
  <c r="T251" i="23" s="1"/>
  <c r="S248" i="23"/>
  <c r="T248" i="23" s="1"/>
  <c r="S246" i="23"/>
  <c r="T246" i="23" s="1"/>
  <c r="S244" i="23"/>
  <c r="T244" i="23" s="1"/>
  <c r="S242" i="23"/>
  <c r="T242" i="23" s="1"/>
  <c r="R240" i="23"/>
  <c r="Q240" i="23"/>
  <c r="S240" i="23" s="1"/>
  <c r="T240" i="23" s="1"/>
  <c r="R239" i="23"/>
  <c r="Q239" i="23"/>
  <c r="S239" i="23" s="1"/>
  <c r="T239" i="23" s="1"/>
  <c r="R238" i="23"/>
  <c r="Q238" i="23"/>
  <c r="S238" i="23" s="1"/>
  <c r="T238" i="23" s="1"/>
  <c r="R237" i="23"/>
  <c r="Q237" i="23"/>
  <c r="S237" i="23" s="1"/>
  <c r="T237" i="23" s="1"/>
  <c r="R236" i="23"/>
  <c r="Q236" i="23"/>
  <c r="S236" i="23" s="1"/>
  <c r="T236" i="23" s="1"/>
  <c r="S233" i="23"/>
  <c r="T233" i="23" s="1"/>
  <c r="S231" i="23"/>
  <c r="T231" i="23" s="1"/>
  <c r="S229" i="23"/>
  <c r="T229" i="23" s="1"/>
  <c r="S227" i="23"/>
  <c r="T227" i="23" s="1"/>
  <c r="S225" i="23"/>
  <c r="T225" i="23" s="1"/>
  <c r="S222" i="23"/>
  <c r="T222" i="23" s="1"/>
  <c r="S218" i="23"/>
  <c r="T218" i="23" s="1"/>
  <c r="S216" i="23"/>
  <c r="T216" i="23" s="1"/>
  <c r="S213" i="23"/>
  <c r="T213" i="23" s="1"/>
  <c r="S211" i="23"/>
  <c r="T211" i="23" s="1"/>
  <c r="S207" i="23"/>
  <c r="T207" i="23" s="1"/>
  <c r="S202" i="23"/>
  <c r="T202" i="23" s="1"/>
  <c r="S200" i="23"/>
  <c r="T200" i="23" s="1"/>
  <c r="S198" i="23"/>
  <c r="T198" i="23" s="1"/>
  <c r="S196" i="23"/>
  <c r="T196" i="23" s="1"/>
  <c r="S194" i="23"/>
  <c r="T194" i="23" s="1"/>
  <c r="S190" i="23"/>
  <c r="T190" i="23" s="1"/>
  <c r="S188" i="23"/>
  <c r="T188" i="23" s="1"/>
  <c r="S184" i="23"/>
  <c r="T184" i="23" s="1"/>
  <c r="S174" i="23"/>
  <c r="T174" i="23" s="1"/>
  <c r="S170" i="23"/>
  <c r="T170" i="23" s="1"/>
  <c r="S166" i="23"/>
  <c r="T166" i="23" s="1"/>
  <c r="S162" i="23"/>
  <c r="T162" i="23" s="1"/>
  <c r="S150" i="23"/>
  <c r="T150" i="23" s="1"/>
  <c r="S140" i="23"/>
  <c r="T140" i="23" s="1"/>
  <c r="S125" i="23"/>
  <c r="T125" i="23" s="1"/>
  <c r="S123" i="23"/>
  <c r="T123" i="23" s="1"/>
  <c r="S120" i="23"/>
  <c r="T120" i="23" s="1"/>
  <c r="S118" i="23"/>
  <c r="T118" i="23" s="1"/>
  <c r="S115" i="23"/>
  <c r="T115" i="23" s="1"/>
  <c r="S113" i="23"/>
  <c r="T113" i="23" s="1"/>
  <c r="S110" i="23"/>
  <c r="T110" i="23" s="1"/>
  <c r="S108" i="23"/>
  <c r="T108" i="23" s="1"/>
  <c r="S104" i="23"/>
  <c r="T104" i="23" s="1"/>
  <c r="S102" i="23"/>
  <c r="T102" i="23" s="1"/>
  <c r="S99" i="23"/>
  <c r="T99" i="23" s="1"/>
  <c r="S97" i="23"/>
  <c r="T97" i="23" s="1"/>
  <c r="S89" i="23"/>
  <c r="T89" i="23" s="1"/>
  <c r="S87" i="23"/>
  <c r="T87" i="23" s="1"/>
  <c r="S84" i="23"/>
  <c r="T84" i="23" s="1"/>
  <c r="S79" i="23"/>
  <c r="T79" i="23" s="1"/>
  <c r="S77" i="23"/>
  <c r="T77" i="23" s="1"/>
  <c r="S73" i="23"/>
  <c r="T73" i="23" s="1"/>
  <c r="S71" i="23"/>
  <c r="T71" i="23" s="1"/>
  <c r="S69" i="23"/>
  <c r="T69" i="23" s="1"/>
  <c r="S67" i="23"/>
  <c r="T67" i="23" s="1"/>
  <c r="S62" i="23"/>
  <c r="T62" i="23" s="1"/>
  <c r="S59" i="23"/>
  <c r="T59" i="23" s="1"/>
  <c r="S57" i="23"/>
  <c r="T57" i="23" s="1"/>
  <c r="S55" i="23"/>
  <c r="T55" i="23" s="1"/>
  <c r="S53" i="23"/>
  <c r="T53" i="23" s="1"/>
  <c r="S49" i="23"/>
  <c r="T49" i="23" s="1"/>
  <c r="S47" i="23"/>
  <c r="T47" i="23" s="1"/>
  <c r="S45" i="23"/>
  <c r="T45" i="23" s="1"/>
  <c r="S40" i="23"/>
  <c r="T40" i="23" s="1"/>
  <c r="S38" i="23"/>
  <c r="T38" i="23" s="1"/>
  <c r="S36" i="23"/>
  <c r="T36" i="23" s="1"/>
  <c r="S32" i="23"/>
  <c r="T32" i="23" s="1"/>
  <c r="F394" i="23" l="1"/>
  <c r="F393" i="23" s="1"/>
  <c r="F179" i="23"/>
  <c r="F178" i="23" s="1"/>
  <c r="F64" i="23"/>
  <c r="F471" i="23"/>
  <c r="F470" i="23" l="1"/>
  <c r="T471" i="23"/>
  <c r="T470" i="23" l="1"/>
  <c r="F562" i="23"/>
  <c r="F564" i="23" l="1"/>
  <c r="F563" i="23"/>
  <c r="F565" i="23" s="1"/>
  <c r="S250" i="23"/>
  <c r="T250" i="23" s="1"/>
  <c r="F566" i="23" l="1"/>
  <c r="F567" i="23" s="1"/>
  <c r="H18" i="23"/>
  <c r="H19" i="23"/>
  <c r="H20" i="23"/>
  <c r="H21" i="23"/>
  <c r="H23" i="23"/>
  <c r="H25" i="23"/>
  <c r="H26" i="23"/>
  <c r="H27" i="23"/>
  <c r="H28" i="23"/>
  <c r="H204" i="23"/>
  <c r="H474" i="23"/>
  <c r="H475" i="23"/>
  <c r="F568" i="23" l="1"/>
  <c r="H562" i="23"/>
  <c r="E27" i="26"/>
  <c r="M4" i="23"/>
  <c r="I28" i="23"/>
  <c r="K28" i="23"/>
  <c r="O28" i="23"/>
  <c r="L475" i="23"/>
  <c r="K26" i="23"/>
  <c r="L26" i="23"/>
  <c r="K23" i="23"/>
  <c r="N19" i="23"/>
  <c r="L18" i="23"/>
  <c r="I475" i="23"/>
  <c r="I474" i="23"/>
  <c r="I204" i="23"/>
  <c r="I27" i="23"/>
  <c r="I26" i="23"/>
  <c r="I25" i="23"/>
  <c r="I23" i="23"/>
  <c r="I20" i="23"/>
  <c r="H564" i="23" l="1"/>
  <c r="H563" i="23"/>
  <c r="P28" i="23"/>
  <c r="Q28" i="23" s="1"/>
  <c r="P18" i="23"/>
  <c r="N28" i="23"/>
  <c r="L23" i="23"/>
  <c r="L28" i="23"/>
  <c r="K19" i="23"/>
  <c r="P23" i="23"/>
  <c r="O23" i="23"/>
  <c r="N23" i="23"/>
  <c r="L19" i="23"/>
  <c r="L20" i="23"/>
  <c r="N20" i="23"/>
  <c r="L25" i="23"/>
  <c r="L21" i="23"/>
  <c r="K25" i="23"/>
  <c r="L474" i="23"/>
  <c r="L204" i="23"/>
  <c r="N475" i="23"/>
  <c r="K475" i="23"/>
  <c r="K18" i="23"/>
  <c r="L27" i="23"/>
  <c r="N27" i="23"/>
  <c r="O19" i="23"/>
  <c r="P19" i="23"/>
  <c r="K27" i="23"/>
  <c r="K474" i="23"/>
  <c r="K204" i="23"/>
  <c r="K20" i="23"/>
  <c r="K21" i="23"/>
  <c r="H565" i="23" l="1"/>
  <c r="H566" i="23"/>
  <c r="H568" i="23" s="1"/>
  <c r="H569" i="23" s="1"/>
  <c r="H570" i="23" s="1"/>
  <c r="K562" i="23"/>
  <c r="S28" i="23"/>
  <c r="T28" i="23" s="1"/>
  <c r="S325" i="23"/>
  <c r="T325" i="23" s="1"/>
  <c r="S309" i="23"/>
  <c r="T309" i="23" s="1"/>
  <c r="N18" i="23"/>
  <c r="S66" i="23"/>
  <c r="T66" i="23" s="1"/>
  <c r="R28" i="23"/>
  <c r="S263" i="23"/>
  <c r="T263" i="23" s="1"/>
  <c r="R18" i="23"/>
  <c r="Q18" i="23"/>
  <c r="S331" i="23"/>
  <c r="T331" i="23" s="1"/>
  <c r="O18" i="23"/>
  <c r="O25" i="23"/>
  <c r="P25" i="23"/>
  <c r="N25" i="23"/>
  <c r="Q23" i="23"/>
  <c r="S23" i="23" s="1"/>
  <c r="T23" i="23" s="1"/>
  <c r="R23" i="23"/>
  <c r="S323" i="23"/>
  <c r="T323" i="23" s="1"/>
  <c r="S181" i="23"/>
  <c r="T181" i="23" s="1"/>
  <c r="S139" i="23"/>
  <c r="T139" i="23" s="1"/>
  <c r="S270" i="23"/>
  <c r="T270" i="23" s="1"/>
  <c r="S91" i="23"/>
  <c r="T91" i="23" s="1"/>
  <c r="S363" i="23"/>
  <c r="T363" i="23" s="1"/>
  <c r="O26" i="23"/>
  <c r="P26" i="23"/>
  <c r="N26" i="23"/>
  <c r="S320" i="23"/>
  <c r="T320" i="23" s="1"/>
  <c r="O20" i="23"/>
  <c r="P20" i="23"/>
  <c r="O475" i="23"/>
  <c r="P475" i="23"/>
  <c r="S153" i="23"/>
  <c r="T153" i="23" s="1"/>
  <c r="S106" i="23"/>
  <c r="T106" i="23" s="1"/>
  <c r="S82" i="23"/>
  <c r="T82" i="23" s="1"/>
  <c r="S292" i="23"/>
  <c r="T292" i="23" s="1"/>
  <c r="R19" i="23"/>
  <c r="Q19" i="23"/>
  <c r="S19" i="23" s="1"/>
  <c r="T19" i="23" s="1"/>
  <c r="P21" i="23"/>
  <c r="O21" i="23"/>
  <c r="N21" i="23"/>
  <c r="S314" i="23"/>
  <c r="T314" i="23" s="1"/>
  <c r="S142" i="23"/>
  <c r="T142" i="23" s="1"/>
  <c r="S101" i="23"/>
  <c r="T101" i="23" s="1"/>
  <c r="S186" i="23"/>
  <c r="T186" i="23" s="1"/>
  <c r="S289" i="23"/>
  <c r="T289" i="23" s="1"/>
  <c r="S156" i="23"/>
  <c r="T156" i="23" s="1"/>
  <c r="O204" i="23"/>
  <c r="P204" i="23"/>
  <c r="N204" i="23"/>
  <c r="P474" i="23"/>
  <c r="O474" i="23"/>
  <c r="N474" i="23"/>
  <c r="S215" i="23"/>
  <c r="T215" i="23" s="1"/>
  <c r="S149" i="23"/>
  <c r="T149" i="23" s="1"/>
  <c r="O27" i="23"/>
  <c r="P27" i="23"/>
  <c r="S130" i="23"/>
  <c r="T130" i="23" s="1"/>
  <c r="S368" i="23"/>
  <c r="T368" i="23" s="1"/>
  <c r="C4" i="21"/>
  <c r="H567" i="23" l="1"/>
  <c r="N562" i="23"/>
  <c r="S18" i="23"/>
  <c r="T18" i="23" s="1"/>
  <c r="S224" i="23"/>
  <c r="T224" i="23" s="1"/>
  <c r="S365" i="23"/>
  <c r="T365" i="23" s="1"/>
  <c r="S209" i="23"/>
  <c r="T209" i="23" s="1"/>
  <c r="S264" i="23"/>
  <c r="T264" i="23" s="1"/>
  <c r="S137" i="23"/>
  <c r="T137" i="23" s="1"/>
  <c r="S160" i="23"/>
  <c r="T160" i="23" s="1"/>
  <c r="R26" i="23"/>
  <c r="Q26" i="23"/>
  <c r="S26" i="23" s="1"/>
  <c r="T26" i="23" s="1"/>
  <c r="S370" i="23"/>
  <c r="T370" i="23" s="1"/>
  <c r="R474" i="23"/>
  <c r="Q474" i="23"/>
  <c r="S474" i="23" s="1"/>
  <c r="T474" i="23" s="1"/>
  <c r="Q27" i="23"/>
  <c r="S27" i="23" s="1"/>
  <c r="T27" i="23" s="1"/>
  <c r="R27" i="23"/>
  <c r="S315" i="23"/>
  <c r="T315" i="23" s="1"/>
  <c r="S143" i="23"/>
  <c r="T143" i="23" s="1"/>
  <c r="S180" i="23"/>
  <c r="T180" i="23" s="1"/>
  <c r="S235" i="23"/>
  <c r="T235" i="23" s="1"/>
  <c r="R20" i="23"/>
  <c r="Q20" i="23"/>
  <c r="S20" i="23" s="1"/>
  <c r="T20" i="23" s="1"/>
  <c r="S34" i="23"/>
  <c r="T34" i="23" s="1"/>
  <c r="S366" i="23"/>
  <c r="T366" i="23" s="1"/>
  <c r="S129" i="23"/>
  <c r="T129" i="23" s="1"/>
  <c r="R204" i="23"/>
  <c r="Q204" i="23"/>
  <c r="S204" i="23" s="1"/>
  <c r="T204" i="23" s="1"/>
  <c r="S301" i="23"/>
  <c r="T301" i="23" s="1"/>
  <c r="S178" i="23"/>
  <c r="T178" i="23" s="1"/>
  <c r="S81" i="23"/>
  <c r="T81" i="23" s="1"/>
  <c r="S112" i="23"/>
  <c r="T112" i="23" s="1"/>
  <c r="S290" i="23"/>
  <c r="T290" i="23" s="1"/>
  <c r="S176" i="23"/>
  <c r="T176" i="23" s="1"/>
  <c r="S260" i="23"/>
  <c r="T260" i="23" s="1"/>
  <c r="S164" i="23"/>
  <c r="T164" i="23" s="1"/>
  <c r="S302" i="23"/>
  <c r="T302" i="23" s="1"/>
  <c r="S75" i="23"/>
  <c r="T75" i="23" s="1"/>
  <c r="T31" i="23"/>
  <c r="S158" i="23"/>
  <c r="T158" i="23" s="1"/>
  <c r="T30" i="23"/>
  <c r="S258" i="23"/>
  <c r="T258" i="23" s="1"/>
  <c r="R21" i="23"/>
  <c r="Q21" i="23"/>
  <c r="S21" i="23" s="1"/>
  <c r="T21" i="23" s="1"/>
  <c r="S266" i="23"/>
  <c r="T266" i="23" s="1"/>
  <c r="S311" i="23"/>
  <c r="T311" i="23" s="1"/>
  <c r="S182" i="23"/>
  <c r="T182" i="23" s="1"/>
  <c r="S168" i="23"/>
  <c r="T168" i="23" s="1"/>
  <c r="S257" i="23"/>
  <c r="T257" i="23" s="1"/>
  <c r="S192" i="23"/>
  <c r="T192" i="23" s="1"/>
  <c r="S127" i="23"/>
  <c r="T127" i="23" s="1"/>
  <c r="R475" i="23"/>
  <c r="Q475" i="23"/>
  <c r="S475" i="23" s="1"/>
  <c r="T475" i="23" s="1"/>
  <c r="S147" i="23"/>
  <c r="T147" i="23" s="1"/>
  <c r="S86" i="23"/>
  <c r="T86" i="23" s="1"/>
  <c r="S136" i="23"/>
  <c r="T136" i="23" s="1"/>
  <c r="S298" i="23"/>
  <c r="T298" i="23" s="1"/>
  <c r="S152" i="23"/>
  <c r="T152" i="23" s="1"/>
  <c r="S172" i="23"/>
  <c r="T172" i="23" s="1"/>
  <c r="S122" i="23"/>
  <c r="T122" i="23" s="1"/>
  <c r="R25" i="23"/>
  <c r="Q25" i="23"/>
  <c r="S25" i="23" s="1"/>
  <c r="T25" i="23" s="1"/>
  <c r="F30" i="35"/>
  <c r="N564" i="23" l="1"/>
  <c r="N563" i="23"/>
  <c r="K563" i="23"/>
  <c r="K564" i="23"/>
  <c r="S304" i="23"/>
  <c r="T304" i="23" s="1"/>
  <c r="S134" i="23"/>
  <c r="T134" i="23" s="1"/>
  <c r="H30" i="34"/>
  <c r="H29" i="34"/>
  <c r="E31" i="34"/>
  <c r="I19" i="25"/>
  <c r="G19" i="25"/>
  <c r="I18" i="25"/>
  <c r="G18" i="25"/>
  <c r="I16" i="25"/>
  <c r="G16" i="25"/>
  <c r="I15" i="25"/>
  <c r="G15" i="25"/>
  <c r="E14" i="22"/>
  <c r="E15" i="22" s="1"/>
  <c r="E16" i="22" s="1"/>
  <c r="E17" i="22" s="1"/>
  <c r="E18" i="22" s="1"/>
  <c r="E28" i="26"/>
  <c r="E21" i="26"/>
  <c r="E19" i="26"/>
  <c r="I21" i="23"/>
  <c r="I19" i="23"/>
  <c r="I18" i="23"/>
  <c r="N565" i="23" l="1"/>
  <c r="N566" i="23" s="1"/>
  <c r="K565" i="23"/>
  <c r="K566" i="23" s="1"/>
  <c r="K567" i="23" s="1"/>
  <c r="H31" i="34"/>
  <c r="G17" i="25"/>
  <c r="I18" i="34"/>
  <c r="N567" i="23" l="1"/>
  <c r="N568" i="23"/>
  <c r="C3" i="25"/>
  <c r="K568" i="23" l="1"/>
  <c r="I15" i="22" l="1"/>
  <c r="H16" i="22"/>
  <c r="I16" i="22" s="1"/>
  <c r="Q562" i="23"/>
  <c r="T562" i="23" s="1"/>
  <c r="D8" i="35"/>
  <c r="C7" i="34"/>
  <c r="C5" i="34"/>
  <c r="J8" i="22"/>
  <c r="C9" i="22"/>
  <c r="C6" i="22"/>
  <c r="K569" i="23" l="1"/>
  <c r="J16" i="22" s="1"/>
  <c r="K16" i="22" s="1"/>
  <c r="N16" i="22" s="1"/>
  <c r="C6" i="34"/>
  <c r="H62" i="24" l="1"/>
  <c r="K15" i="22"/>
  <c r="N15" i="22" s="1"/>
  <c r="I61" i="24"/>
  <c r="H30" i="24" l="1"/>
  <c r="I62" i="24"/>
  <c r="D10" i="35"/>
  <c r="D11" i="35" s="1"/>
  <c r="D9" i="35"/>
  <c r="D6" i="35"/>
  <c r="I19" i="34"/>
  <c r="I20" i="34"/>
  <c r="I23" i="34"/>
  <c r="E24" i="34"/>
  <c r="I24" i="34" l="1"/>
  <c r="E24" i="35" l="1"/>
  <c r="E12" i="26"/>
  <c r="J9" i="22"/>
  <c r="C9" i="34" l="1"/>
  <c r="C8" i="34"/>
  <c r="D7" i="35"/>
  <c r="E49" i="35"/>
  <c r="F49" i="35" s="1"/>
  <c r="E48" i="35"/>
  <c r="F48" i="35" s="1"/>
  <c r="E47" i="35"/>
  <c r="F47" i="35" s="1"/>
  <c r="E46" i="35"/>
  <c r="F46" i="35" s="1"/>
  <c r="E44" i="35"/>
  <c r="F45" i="35" s="1"/>
  <c r="E43" i="35"/>
  <c r="E50" i="35" s="1"/>
  <c r="G24" i="35"/>
  <c r="G25" i="35" s="1"/>
  <c r="F43" i="35" l="1"/>
  <c r="F50" i="35" s="1"/>
  <c r="F44" i="35"/>
  <c r="C14" i="22" l="1"/>
  <c r="C4" i="25"/>
  <c r="C7" i="25"/>
  <c r="C6" i="25"/>
  <c r="G29" i="24" l="1"/>
  <c r="G30" i="24" s="1"/>
  <c r="C7" i="22"/>
  <c r="G31" i="24" l="1"/>
  <c r="G32" i="24" s="1"/>
  <c r="G33" i="24" s="1"/>
  <c r="G34" i="24" s="1"/>
  <c r="C8" i="22"/>
  <c r="J5" i="22" l="1"/>
  <c r="J6" i="22"/>
  <c r="B25" i="26"/>
  <c r="B26" i="26" s="1"/>
  <c r="B27" i="26" s="1"/>
  <c r="B28" i="26" s="1"/>
  <c r="B29" i="26" s="1"/>
  <c r="B30" i="26" s="1"/>
  <c r="B31" i="26" s="1"/>
  <c r="E23" i="26"/>
  <c r="J7" i="22" s="1"/>
  <c r="B21" i="26"/>
  <c r="B22" i="26" s="1"/>
  <c r="B23" i="26" s="1"/>
  <c r="B10" i="26"/>
  <c r="B11" i="26" s="1"/>
  <c r="B12" i="26" s="1"/>
  <c r="B13" i="26" s="1"/>
  <c r="B14" i="26" s="1"/>
  <c r="B15" i="26" s="1"/>
  <c r="B16" i="26" s="1"/>
  <c r="B17" i="26" s="1"/>
  <c r="B18" i="26" s="1"/>
  <c r="B19" i="26" s="1"/>
  <c r="F18" i="22" l="1"/>
  <c r="F14" i="22"/>
  <c r="G14" i="22" s="1"/>
  <c r="F16" i="22"/>
  <c r="F17" i="22"/>
  <c r="F15" i="22"/>
  <c r="C24" i="35"/>
  <c r="D11" i="21"/>
  <c r="M14" i="22" l="1"/>
  <c r="G15" i="22"/>
  <c r="F24" i="35"/>
  <c r="C25" i="35"/>
  <c r="G16" i="22" l="1"/>
  <c r="G17" i="22" s="1"/>
  <c r="G18" i="22" s="1"/>
  <c r="M15" i="22"/>
  <c r="D21" i="21"/>
  <c r="F25" i="35"/>
  <c r="H24" i="35"/>
  <c r="H25" i="35" l="1"/>
  <c r="J24" i="35"/>
  <c r="F28" i="35" s="1"/>
  <c r="I24" i="35"/>
  <c r="D16" i="21"/>
  <c r="D12" i="21" l="1"/>
  <c r="D17" i="21" s="1"/>
  <c r="D22" i="21" s="1"/>
  <c r="D24" i="21" s="1"/>
  <c r="D25" i="21" l="1"/>
  <c r="D28" i="21" s="1"/>
  <c r="I29" i="24"/>
  <c r="I30" i="24" s="1"/>
  <c r="D26" i="21" l="1"/>
  <c r="Q563" i="23"/>
  <c r="T563" i="23" s="1"/>
  <c r="Q564" i="23"/>
  <c r="T564" i="23" s="1"/>
  <c r="Q565" i="23" l="1"/>
  <c r="T565" i="23" s="1"/>
  <c r="Q567" i="23"/>
  <c r="Q566" i="23"/>
  <c r="T566" i="23" s="1"/>
  <c r="Q568" i="23" l="1"/>
  <c r="K570" i="23"/>
  <c r="S568" i="23" l="1"/>
  <c r="T568" i="23"/>
  <c r="N569" i="23"/>
  <c r="N570" i="23" l="1"/>
  <c r="Q569" i="23"/>
  <c r="Q570" i="23" s="1"/>
  <c r="E29" i="26" l="1"/>
  <c r="E31" i="26" l="1"/>
  <c r="F31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Santiago</author>
  </authors>
  <commentList>
    <comment ref="J26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Santiago:</t>
        </r>
        <r>
          <rPr>
            <sz val="9"/>
            <color indexed="81"/>
            <rFont val="Tahoma"/>
            <family val="2"/>
          </rPr>
          <t xml:space="preserve">
No cumple con lo solicitado</t>
        </r>
      </text>
    </comment>
  </commentList>
</comments>
</file>

<file path=xl/sharedStrings.xml><?xml version="1.0" encoding="utf-8"?>
<sst xmlns="http://schemas.openxmlformats.org/spreadsheetml/2006/main" count="4158" uniqueCount="1338">
  <si>
    <t>OBRA:</t>
  </si>
  <si>
    <t>UBICACIÓN:</t>
  </si>
  <si>
    <t>CONTRATISTA:</t>
  </si>
  <si>
    <t>SUPERVISIÓN:</t>
  </si>
  <si>
    <t xml:space="preserve">MES: </t>
  </si>
  <si>
    <t>ITEM</t>
  </si>
  <si>
    <t>CONCEPTOS</t>
  </si>
  <si>
    <t>MONTO (S/.)</t>
  </si>
  <si>
    <t>VALORIZACIÓN (V)</t>
  </si>
  <si>
    <t>REAJUSTES (R)</t>
  </si>
  <si>
    <t xml:space="preserve">DEDUCCIONES 
</t>
  </si>
  <si>
    <t xml:space="preserve">Deducción de reajuste que no corresponde por adelanto directo </t>
  </si>
  <si>
    <t xml:space="preserve">Deducción de reajuste que no corresponde por adelanto para materiales </t>
  </si>
  <si>
    <t>TOTAL DEDUCCIONES (D)</t>
  </si>
  <si>
    <t>VALORIZACIÓN BRUTA (VB=V+R-D)</t>
  </si>
  <si>
    <t xml:space="preserve">AMORTIZACIONES </t>
  </si>
  <si>
    <t xml:space="preserve">Amortización por adelanto directo </t>
  </si>
  <si>
    <t xml:space="preserve">Amortización por adelanto para materiales </t>
  </si>
  <si>
    <t xml:space="preserve">TOTAL DE AMORTIZACIONES (A) </t>
  </si>
  <si>
    <t>VALORIZACIÓN NETA (VN=VB-A)</t>
  </si>
  <si>
    <t>5.1</t>
  </si>
  <si>
    <t>MULTA</t>
  </si>
  <si>
    <t>MONTO A PAGAR A LA CONTRATISTA</t>
  </si>
  <si>
    <t>IGV (18.00%)</t>
  </si>
  <si>
    <t>I.- FICHA DE IDENTIFICACIÓN DE LA OBRA</t>
  </si>
  <si>
    <t>Proyecto</t>
  </si>
  <si>
    <t>:</t>
  </si>
  <si>
    <t xml:space="preserve">Ubicación </t>
  </si>
  <si>
    <t>Area Geografica (Según INEI)</t>
  </si>
  <si>
    <t>Metas</t>
  </si>
  <si>
    <t>Entidad Contratante</t>
  </si>
  <si>
    <t>Contratista</t>
  </si>
  <si>
    <t>Supervisor</t>
  </si>
  <si>
    <t>Residente</t>
  </si>
  <si>
    <t>Financiamiento</t>
  </si>
  <si>
    <t>Modalidad de Ejecución</t>
  </si>
  <si>
    <t>Administración Indirecta: CONTRATA</t>
  </si>
  <si>
    <t>Mecanismo de Contratación</t>
  </si>
  <si>
    <t>Licitiación Pública</t>
  </si>
  <si>
    <t>Contrato Nº</t>
  </si>
  <si>
    <t>Sistema de Contratación</t>
  </si>
  <si>
    <t>Presupuesto base, con IGV y Fecha</t>
  </si>
  <si>
    <t>Presupuesto base, sin IGV y Fecha</t>
  </si>
  <si>
    <t>Monto del contrato, con IGV</t>
  </si>
  <si>
    <t>Monto del contrato, sin IGV</t>
  </si>
  <si>
    <t>Fecha de Firma de Contrato de obra</t>
  </si>
  <si>
    <t>Entrega de terreno</t>
  </si>
  <si>
    <t>Inicio oficial de plazo</t>
  </si>
  <si>
    <t>Término original programado de obra</t>
  </si>
  <si>
    <t>Término vigente programado de obra</t>
  </si>
  <si>
    <t xml:space="preserve">Avance Real Acumulado </t>
  </si>
  <si>
    <t xml:space="preserve">Avance Programado Acumulado </t>
  </si>
  <si>
    <t>Situación de la obra respecto del avance</t>
  </si>
  <si>
    <t xml:space="preserve">ENTIDAD </t>
  </si>
  <si>
    <t xml:space="preserve">MONTO REFERENCIAL </t>
  </si>
  <si>
    <t xml:space="preserve">CONTRATO DE OBRA </t>
  </si>
  <si>
    <t xml:space="preserve">MONTO CONTRATADO </t>
  </si>
  <si>
    <t xml:space="preserve">OBRA </t>
  </si>
  <si>
    <t xml:space="preserve">PLAZO DE EJECUCIÓN VIGENTE </t>
  </si>
  <si>
    <t xml:space="preserve">CONTRATISTA </t>
  </si>
  <si>
    <t xml:space="preserve">FCHA DE INICIO DE OBRA </t>
  </si>
  <si>
    <t xml:space="preserve">SUPERVISIÓN </t>
  </si>
  <si>
    <t xml:space="preserve">FECHA DE TERMINO DE OBRA </t>
  </si>
  <si>
    <t>N°</t>
  </si>
  <si>
    <t>MES</t>
  </si>
  <si>
    <t>PROGRAMADO</t>
  </si>
  <si>
    <t>EJECUTADO</t>
  </si>
  <si>
    <t xml:space="preserve">SITUACIÓN DE OBRA </t>
  </si>
  <si>
    <t xml:space="preserve">MENSUAL </t>
  </si>
  <si>
    <t xml:space="preserve">ACUMULADO </t>
  </si>
  <si>
    <t xml:space="preserve">% MENSUAL </t>
  </si>
  <si>
    <t xml:space="preserve">% ACUMULADO </t>
  </si>
  <si>
    <t xml:space="preserve">% EJECUTADO ACUMULADO </t>
  </si>
  <si>
    <t>CONCLUSIÓN</t>
  </si>
  <si>
    <t>RESIDENTE</t>
  </si>
  <si>
    <t xml:space="preserve">PLAZO DE EJECUCION </t>
  </si>
  <si>
    <t xml:space="preserve">SUPERVISOR </t>
  </si>
  <si>
    <t xml:space="preserve">ENTIDAD CONTRATANTE </t>
  </si>
  <si>
    <t>PARTIDA</t>
  </si>
  <si>
    <t xml:space="preserve">PRESUPUESTO BASE </t>
  </si>
  <si>
    <t xml:space="preserve">ANTERIOR </t>
  </si>
  <si>
    <t xml:space="preserve">ACTUAL </t>
  </si>
  <si>
    <t xml:space="preserve">SALDOS </t>
  </si>
  <si>
    <t>METRADO</t>
  </si>
  <si>
    <t>PU</t>
  </si>
  <si>
    <t>SUB TOTAL</t>
  </si>
  <si>
    <t xml:space="preserve">METRADO </t>
  </si>
  <si>
    <t>VALOR S/.</t>
  </si>
  <si>
    <t>%</t>
  </si>
  <si>
    <t>und</t>
  </si>
  <si>
    <t>glb</t>
  </si>
  <si>
    <t>mes</t>
  </si>
  <si>
    <t>m2</t>
  </si>
  <si>
    <t>m3</t>
  </si>
  <si>
    <t>m</t>
  </si>
  <si>
    <t>IGV</t>
  </si>
  <si>
    <t>Monto total de la oferta</t>
  </si>
  <si>
    <t xml:space="preserve">EJECUTADO </t>
  </si>
  <si>
    <t xml:space="preserve">% Programado </t>
  </si>
  <si>
    <t>% programado acum.</t>
  </si>
  <si>
    <t xml:space="preserve">% Ejecutado </t>
  </si>
  <si>
    <t>% ejecutado acum.</t>
  </si>
  <si>
    <t xml:space="preserve">INICIO </t>
  </si>
  <si>
    <t xml:space="preserve">GRÁFICO DE BARRAS </t>
  </si>
  <si>
    <t>ENTIDAD</t>
  </si>
  <si>
    <t xml:space="preserve">UND </t>
  </si>
  <si>
    <t>METRADO ACTUAL</t>
  </si>
  <si>
    <t>Gastos Generales</t>
  </si>
  <si>
    <t>Utilidad</t>
  </si>
  <si>
    <t xml:space="preserve">SUB TOTAL </t>
  </si>
  <si>
    <t xml:space="preserve"> </t>
  </si>
  <si>
    <t xml:space="preserve">PORCENTAJE DE AVANCE MENSUAL </t>
  </si>
  <si>
    <t>PORCENTAJE DE AVANCE ACUMULADO</t>
  </si>
  <si>
    <t>SIMBOLO</t>
  </si>
  <si>
    <t>INDICE GENERAL DE PRECIOS AL CONSUMIDOR</t>
  </si>
  <si>
    <t>C</t>
  </si>
  <si>
    <t>DESCRIPCION</t>
  </si>
  <si>
    <t>SUB-TOTAL</t>
  </si>
  <si>
    <t>IU</t>
  </si>
  <si>
    <t>CÁLCULO DEL COEFICIENTE DE REAJUSTE</t>
  </si>
  <si>
    <t xml:space="preserve">PPTO. BASE </t>
  </si>
  <si>
    <t>INC. IGV</t>
  </si>
  <si>
    <t>PRESUPUESTO CONTRATADO</t>
  </si>
  <si>
    <t>FECHA DE PRESUPUESTO BASE</t>
  </si>
  <si>
    <t>Formula Polinomica</t>
  </si>
  <si>
    <t>MONOMIO</t>
  </si>
  <si>
    <t>Coeficiente de Incidencia</t>
  </si>
  <si>
    <t>% de Participación</t>
  </si>
  <si>
    <t>K=</t>
  </si>
  <si>
    <t>SIN. IGV</t>
  </si>
  <si>
    <t>R = V * ( K - 1)</t>
  </si>
  <si>
    <t>MESES</t>
  </si>
  <si>
    <t>VAL N°</t>
  </si>
  <si>
    <t>V-REAL</t>
  </si>
  <si>
    <t>V-PROG</t>
  </si>
  <si>
    <t>K - 1</t>
  </si>
  <si>
    <t>REAJUSTE</t>
  </si>
  <si>
    <t>Vr</t>
  </si>
  <si>
    <t>REAL</t>
  </si>
  <si>
    <t>RECONOCIDO</t>
  </si>
  <si>
    <t>PAGADO</t>
  </si>
  <si>
    <t>( 1 )</t>
  </si>
  <si>
    <t>( 2 )</t>
  </si>
  <si>
    <t>( 3 )</t>
  </si>
  <si>
    <t>( 4 ) = ( 1 ) * ( 3 )</t>
  </si>
  <si>
    <t>( 5 ) = ( 2 ) * ( 3 )</t>
  </si>
  <si>
    <t>( 6 )</t>
  </si>
  <si>
    <t>( 7 ) = ( 1 ) + ( 6 )</t>
  </si>
  <si>
    <t>(8)</t>
  </si>
  <si>
    <t>CONDICION                          :</t>
  </si>
  <si>
    <t>Normal</t>
  </si>
  <si>
    <t>Reajuste Acumulado actual    :</t>
  </si>
  <si>
    <t>S/.</t>
  </si>
  <si>
    <t>Reajuste Acumulado Anterior  :</t>
  </si>
  <si>
    <t>Reajuste Presente valorización:</t>
  </si>
  <si>
    <t xml:space="preserve">V-PROG </t>
  </si>
  <si>
    <t>V-PROG-MOD</t>
  </si>
  <si>
    <t>PRESUPUESTO CONTRATADO S/IGV</t>
  </si>
  <si>
    <t>La obra está sin inconveniente</t>
  </si>
  <si>
    <t>UND</t>
  </si>
  <si>
    <t/>
  </si>
  <si>
    <t>AS Nº</t>
  </si>
  <si>
    <t>ENTIDAD:</t>
  </si>
  <si>
    <t>*Se usa los IU del mes de agosto porque aún no se publican los IU de septiembre 2023</t>
  </si>
  <si>
    <t>ING. GUIDO JAVIER VALVERDE TRUJILLO</t>
  </si>
  <si>
    <t>CIP N° 58998</t>
  </si>
  <si>
    <t>OBSERVACION</t>
  </si>
  <si>
    <t xml:space="preserve">% PROGRAMADO ACUMULADO </t>
  </si>
  <si>
    <t>MAQUINARIA Y EQUIPO IMPORTADO</t>
  </si>
  <si>
    <t>MANO DE OBRA INC LEYES SOCIALES</t>
  </si>
  <si>
    <t>AG</t>
  </si>
  <si>
    <t>MD</t>
  </si>
  <si>
    <t>Plazo de ejecución según Bases Lic., en dias calendario</t>
  </si>
  <si>
    <t>01.01</t>
  </si>
  <si>
    <t>01.01.01</t>
  </si>
  <si>
    <t>01.01.02</t>
  </si>
  <si>
    <t>01.02</t>
  </si>
  <si>
    <t>01.02.01</t>
  </si>
  <si>
    <t>01.02.02</t>
  </si>
  <si>
    <t>01.02.03</t>
  </si>
  <si>
    <t>01.03.01</t>
  </si>
  <si>
    <t>01.03.02</t>
  </si>
  <si>
    <t>01.03.03</t>
  </si>
  <si>
    <t>01.03.04</t>
  </si>
  <si>
    <t>01.03.05</t>
  </si>
  <si>
    <t>01.03.06</t>
  </si>
  <si>
    <t>01.04</t>
  </si>
  <si>
    <t>01.04.01</t>
  </si>
  <si>
    <t>01.05</t>
  </si>
  <si>
    <t>01.05.01</t>
  </si>
  <si>
    <t>01.05.02</t>
  </si>
  <si>
    <t>02.01</t>
  </si>
  <si>
    <t>02.01.01</t>
  </si>
  <si>
    <t>02.02.01</t>
  </si>
  <si>
    <t>02.02.02</t>
  </si>
  <si>
    <t>02.02.03</t>
  </si>
  <si>
    <t>02.02.04</t>
  </si>
  <si>
    <t>02.03.01</t>
  </si>
  <si>
    <t>02.03.02</t>
  </si>
  <si>
    <t>02.03.03</t>
  </si>
  <si>
    <t>02.04.01</t>
  </si>
  <si>
    <t>Total costo directo</t>
  </si>
  <si>
    <t>SUMA ALZADA</t>
  </si>
  <si>
    <t>RESUMEN DE METRADOS</t>
  </si>
  <si>
    <t xml:space="preserve">  Io
(OCT-2023)</t>
  </si>
  <si>
    <t>Ir
 (MAR.-2024)</t>
  </si>
  <si>
    <t>Ir
 (ABR.-2024)</t>
  </si>
  <si>
    <t>ARTEFACTO ILUMINACION EXTERIOR</t>
  </si>
  <si>
    <t>CABLES TIPO NKY-NYY</t>
  </si>
  <si>
    <t>DÓLAR + INFLACION USA</t>
  </si>
  <si>
    <t>J</t>
  </si>
  <si>
    <t>DM</t>
  </si>
  <si>
    <t>GGU</t>
  </si>
  <si>
    <t xml:space="preserve">K = 0.173*(Jr / Jo) + 0.201 *(Ar / Ao) + 0.132*(Cr / Co) + 0.369*(DMr / DMo) + 0.125*GGUr / GGUo)    </t>
  </si>
  <si>
    <t xml:space="preserve">  =SUMA(J24:J24)</t>
  </si>
  <si>
    <t>ESTRUCTURAS</t>
  </si>
  <si>
    <t>TRABAJOS PRELIMINARES</t>
  </si>
  <si>
    <t>01.04.02</t>
  </si>
  <si>
    <t>02.01.02</t>
  </si>
  <si>
    <t>02.03.01.01</t>
  </si>
  <si>
    <t>02.03.02.01</t>
  </si>
  <si>
    <t>02.03.03.01</t>
  </si>
  <si>
    <t>02.03.03.02</t>
  </si>
  <si>
    <t>03.01.01</t>
  </si>
  <si>
    <t>03.01.02</t>
  </si>
  <si>
    <t>03.01.03</t>
  </si>
  <si>
    <t>04.01.01</t>
  </si>
  <si>
    <t>04.01.01.01</t>
  </si>
  <si>
    <t>04.01.01.02</t>
  </si>
  <si>
    <t>04.01.02</t>
  </si>
  <si>
    <t>04.01.02.01</t>
  </si>
  <si>
    <t>04.01.02.02</t>
  </si>
  <si>
    <t>04.01.02.03</t>
  </si>
  <si>
    <t>04.01.02.04</t>
  </si>
  <si>
    <t>04.01.03</t>
  </si>
  <si>
    <t>04.01.03.01</t>
  </si>
  <si>
    <t>04.01.04</t>
  </si>
  <si>
    <t>04.01.04.01</t>
  </si>
  <si>
    <t>04.02.01</t>
  </si>
  <si>
    <t>04.02.01.01</t>
  </si>
  <si>
    <t>04.02.01.02</t>
  </si>
  <si>
    <t>04.02.02</t>
  </si>
  <si>
    <t>04.02.02.01</t>
  </si>
  <si>
    <t>04.02.02.02</t>
  </si>
  <si>
    <t>04.02.02.03</t>
  </si>
  <si>
    <t>04.02.02.04</t>
  </si>
  <si>
    <t>04.02.03</t>
  </si>
  <si>
    <t>04.02.03.01</t>
  </si>
  <si>
    <t>04.02.03.02</t>
  </si>
  <si>
    <t>04.02.03.03</t>
  </si>
  <si>
    <t>04.02.03.04</t>
  </si>
  <si>
    <t>04.02.03.05</t>
  </si>
  <si>
    <t>04.02.03.06</t>
  </si>
  <si>
    <t>04.02.03.07</t>
  </si>
  <si>
    <t>05.01.01.01</t>
  </si>
  <si>
    <t>05.01.01.02</t>
  </si>
  <si>
    <t>05.01.01.03</t>
  </si>
  <si>
    <t>05.01.02.01</t>
  </si>
  <si>
    <t>05.01.02.02</t>
  </si>
  <si>
    <t>05.01.02.03</t>
  </si>
  <si>
    <t>05.01.02.04</t>
  </si>
  <si>
    <t>05.01.04</t>
  </si>
  <si>
    <t>05.01.04.01</t>
  </si>
  <si>
    <t>05.01.04.01.01</t>
  </si>
  <si>
    <t>05.01.04.01.02</t>
  </si>
  <si>
    <t>05.01.04.01.03</t>
  </si>
  <si>
    <t>05.02.01</t>
  </si>
  <si>
    <t>05.02.01.01</t>
  </si>
  <si>
    <t>05.02.01.02</t>
  </si>
  <si>
    <t>05.02.01.03</t>
  </si>
  <si>
    <t>05.02.01.04</t>
  </si>
  <si>
    <t>05.02.01.05</t>
  </si>
  <si>
    <t>05.02.02.01</t>
  </si>
  <si>
    <t xml:space="preserve">            EQUIPAMIENTO PARA SISTEMA DE VOZ DATA</t>
  </si>
  <si>
    <t>kg</t>
  </si>
  <si>
    <t>pto</t>
  </si>
  <si>
    <t>EQUIPOS DE PROTECCION INDIVIDUAL</t>
  </si>
  <si>
    <t>EQUIPOS DE PROTECCION COLECTIVA</t>
  </si>
  <si>
    <t>CAPACITACION EN SEGURIDAD Y SALUD</t>
  </si>
  <si>
    <t xml:space="preserve">CURVA "S" </t>
  </si>
  <si>
    <t>INSTALACIONES SANITARIAS</t>
  </si>
  <si>
    <t>INSTALACIONES ELECTRICAS</t>
  </si>
  <si>
    <t>02.02</t>
  </si>
  <si>
    <t>02.03</t>
  </si>
  <si>
    <t>03</t>
  </si>
  <si>
    <t>03.01</t>
  </si>
  <si>
    <t>04</t>
  </si>
  <si>
    <t>04.01</t>
  </si>
  <si>
    <t>04.02</t>
  </si>
  <si>
    <t>05</t>
  </si>
  <si>
    <t>05.01</t>
  </si>
  <si>
    <t>05.01.01</t>
  </si>
  <si>
    <t>05.01.02</t>
  </si>
  <si>
    <t>05.01.03</t>
  </si>
  <si>
    <t>05.01.03.01</t>
  </si>
  <si>
    <t>05.01.03.02</t>
  </si>
  <si>
    <t>05.01.03.03</t>
  </si>
  <si>
    <t>05.01.03.04</t>
  </si>
  <si>
    <t>05.01.03.05</t>
  </si>
  <si>
    <t>05.01.03.06</t>
  </si>
  <si>
    <t>05.02</t>
  </si>
  <si>
    <t>05.02.02</t>
  </si>
  <si>
    <t>PERFECTOOO</t>
  </si>
  <si>
    <t>DISTRITO DE SANTIAGO DE SURCO</t>
  </si>
  <si>
    <t>MUNICIPALIDAD DISTRITAL DE SANTIAGO DE SURCO</t>
  </si>
  <si>
    <t>SURCO PUEBLO</t>
  </si>
  <si>
    <t xml:space="preserve">120 DÍAS CALENDARIOS </t>
  </si>
  <si>
    <t xml:space="preserve">"CONSTRUCCION DE NICHO, COLUMBARIO Y CREMATORIO; REMODELACION DE VELATORIO; EN EL (LA) CEMENTERIO MUNICIPAL EN EL CENTRO POBLADO SANTIAGO DE SURCO, DISTRITO DE SANTIAGO DE SURCO, PROVINCIA LIMA, DEPARTAMENTO LIMA" CUI N| 2658565 - ETAPA COLUMBARIO. </t>
  </si>
  <si>
    <t>CONSORCIO LIMA</t>
  </si>
  <si>
    <t>ADJUDICACION PUBLICA ABREVIADA</t>
  </si>
  <si>
    <t>004-2025-CS-MSS-PRIMERA CONVOCATORIA</t>
  </si>
  <si>
    <t>037-2025-GAF/MSS</t>
  </si>
  <si>
    <t>01.01.01.01</t>
  </si>
  <si>
    <t>01.01.01.02</t>
  </si>
  <si>
    <t>01.01.01.03</t>
  </si>
  <si>
    <t>01.01.01.04</t>
  </si>
  <si>
    <t>01.01.01.05</t>
  </si>
  <si>
    <t>01.01.01.06</t>
  </si>
  <si>
    <t>01.01.02.01</t>
  </si>
  <si>
    <t>01.01.02.02</t>
  </si>
  <si>
    <t>01.01.02.03</t>
  </si>
  <si>
    <t>01.01.02.04</t>
  </si>
  <si>
    <t>01.01.02.05</t>
  </si>
  <si>
    <t>01.02.01.01</t>
  </si>
  <si>
    <t>01.02.01.02</t>
  </si>
  <si>
    <t>01.02.02.01</t>
  </si>
  <si>
    <t>01.02.02.02</t>
  </si>
  <si>
    <t>01.02.02.03</t>
  </si>
  <si>
    <t>01.02.02.04</t>
  </si>
  <si>
    <t>01.02.02.05</t>
  </si>
  <si>
    <t>01.02.02.06</t>
  </si>
  <si>
    <t>01.02.02.07</t>
  </si>
  <si>
    <t>01.02.03.01</t>
  </si>
  <si>
    <t>01.04.03</t>
  </si>
  <si>
    <t>01.04.04</t>
  </si>
  <si>
    <t>01.04.05</t>
  </si>
  <si>
    <t>01.04.06</t>
  </si>
  <si>
    <t>01.04.07</t>
  </si>
  <si>
    <t>01.04.08</t>
  </si>
  <si>
    <t>01.04.09</t>
  </si>
  <si>
    <t>02.01.01.01</t>
  </si>
  <si>
    <t>02.01.01.02</t>
  </si>
  <si>
    <t>02.01.01.03</t>
  </si>
  <si>
    <t>02.01.01.04</t>
  </si>
  <si>
    <t>02.01.01.05</t>
  </si>
  <si>
    <t>02.01.01.06</t>
  </si>
  <si>
    <t>02.01.01.07</t>
  </si>
  <si>
    <t>02.01.01.08</t>
  </si>
  <si>
    <t>02.01.02.01</t>
  </si>
  <si>
    <t>02.01.02.02</t>
  </si>
  <si>
    <t>02.01.02.03</t>
  </si>
  <si>
    <t>02.01.02.04</t>
  </si>
  <si>
    <t>02.01.02.05</t>
  </si>
  <si>
    <t>02.01.03</t>
  </si>
  <si>
    <t>02.01.03.01</t>
  </si>
  <si>
    <t>02.01.03.01.01</t>
  </si>
  <si>
    <t>02.01.03.01.02</t>
  </si>
  <si>
    <t>02.01.03.01.03</t>
  </si>
  <si>
    <t>02.01.03.02</t>
  </si>
  <si>
    <t>02.01.03.02.01</t>
  </si>
  <si>
    <t>02.01.03.02.02</t>
  </si>
  <si>
    <t>02.01.03.02.03</t>
  </si>
  <si>
    <t>02.01.03.02.04</t>
  </si>
  <si>
    <t>02.01.03.03</t>
  </si>
  <si>
    <t>02.01.03.03.01</t>
  </si>
  <si>
    <t>02.01.03.03.02</t>
  </si>
  <si>
    <t>02.01.03.03.03</t>
  </si>
  <si>
    <t>02.01.03.03.04</t>
  </si>
  <si>
    <t>02.01.03.04</t>
  </si>
  <si>
    <t>02.01.03.04.01</t>
  </si>
  <si>
    <t>02.01.03.04.02</t>
  </si>
  <si>
    <t>02.01.03.04.03</t>
  </si>
  <si>
    <t>02.01.03.04.04</t>
  </si>
  <si>
    <t>02.01.03.05</t>
  </si>
  <si>
    <t>02.01.03.05.01</t>
  </si>
  <si>
    <t>02.01.03.05.02</t>
  </si>
  <si>
    <t>02.01.03.05.03</t>
  </si>
  <si>
    <t>02.01.03.05.04</t>
  </si>
  <si>
    <t>02.01.03.06</t>
  </si>
  <si>
    <t>02.01.03.06.01</t>
  </si>
  <si>
    <t>02.01.03.06.02</t>
  </si>
  <si>
    <t>02.01.03.06.03</t>
  </si>
  <si>
    <t>02.01.03.06.04</t>
  </si>
  <si>
    <t>02.01.03.06.05</t>
  </si>
  <si>
    <t>02.01.03.07</t>
  </si>
  <si>
    <t>02.01.03.07.01</t>
  </si>
  <si>
    <t>02.01.03.07.02</t>
  </si>
  <si>
    <t>02.01.03.07.03</t>
  </si>
  <si>
    <t>02.01.03.07.04</t>
  </si>
  <si>
    <t>02.01.03.08</t>
  </si>
  <si>
    <t>02.01.03.08.01</t>
  </si>
  <si>
    <t>02.01.03.08.02</t>
  </si>
  <si>
    <t>02.01.03.08.03</t>
  </si>
  <si>
    <t>02.01.03.08.04</t>
  </si>
  <si>
    <t>02.01.03.09</t>
  </si>
  <si>
    <t>02.01.03.09.01</t>
  </si>
  <si>
    <t>02.01.03.09.02</t>
  </si>
  <si>
    <t>02.01.03.09.03</t>
  </si>
  <si>
    <t>02.01.03.09.04</t>
  </si>
  <si>
    <t>02.01.04</t>
  </si>
  <si>
    <t>02.01.04.01</t>
  </si>
  <si>
    <t>02.02.01.01</t>
  </si>
  <si>
    <t>02.02.02.01</t>
  </si>
  <si>
    <t>02.02.03.01</t>
  </si>
  <si>
    <t>02.02.04.01</t>
  </si>
  <si>
    <t>02.02.04.01.01</t>
  </si>
  <si>
    <t>02.02.04.02</t>
  </si>
  <si>
    <t>02.02.04.02.01</t>
  </si>
  <si>
    <t>02.02.04.02.02</t>
  </si>
  <si>
    <t>02.02.05</t>
  </si>
  <si>
    <t>02.02.05.01</t>
  </si>
  <si>
    <t>02.02.05.01.01</t>
  </si>
  <si>
    <t>02.02.05.01.02</t>
  </si>
  <si>
    <t>02.02.05.01.03</t>
  </si>
  <si>
    <t>02.02.05.02</t>
  </si>
  <si>
    <t>02.02.05.02.01</t>
  </si>
  <si>
    <t>02.02.06</t>
  </si>
  <si>
    <t>02.02.06.01</t>
  </si>
  <si>
    <t>02.02.06.02</t>
  </si>
  <si>
    <t>02.03.01.01.01</t>
  </si>
  <si>
    <t>02.03.01.02</t>
  </si>
  <si>
    <t>02.03.01.02.01</t>
  </si>
  <si>
    <t>02.03.01.03</t>
  </si>
  <si>
    <t>02.03.01.03.01</t>
  </si>
  <si>
    <t>02.03.02.02</t>
  </si>
  <si>
    <t>02.03.02.03</t>
  </si>
  <si>
    <t>02.03.03.01.01</t>
  </si>
  <si>
    <t>02.03.03.01.02</t>
  </si>
  <si>
    <t>02.03.03.02.01</t>
  </si>
  <si>
    <t>02.03.03.02.02</t>
  </si>
  <si>
    <t>02.03.03.02.03</t>
  </si>
  <si>
    <t>02.03.03.03</t>
  </si>
  <si>
    <t>02.03.03.03.01</t>
  </si>
  <si>
    <t>02.03.03.03.02</t>
  </si>
  <si>
    <t>02.03.03.03.03</t>
  </si>
  <si>
    <t>03.01.01.01</t>
  </si>
  <si>
    <t>03.01.01.01.01</t>
  </si>
  <si>
    <t>03.01.01.01.01.01</t>
  </si>
  <si>
    <t>03.01.01.01.01.02</t>
  </si>
  <si>
    <t>03.01.01.01.01.03</t>
  </si>
  <si>
    <t>03.01.01.01.02</t>
  </si>
  <si>
    <t>03.01.01.01.02.01</t>
  </si>
  <si>
    <t>03.01.01.01.02.02</t>
  </si>
  <si>
    <t>03.01.01.01.02.03</t>
  </si>
  <si>
    <t>03.01.01.01.02.04</t>
  </si>
  <si>
    <t>03.01.01.01.02.05</t>
  </si>
  <si>
    <t>03.01.01.02</t>
  </si>
  <si>
    <t>03.01.01.02.01</t>
  </si>
  <si>
    <t>03.01.01.02.02</t>
  </si>
  <si>
    <t>03.01.01.02.03</t>
  </si>
  <si>
    <t>03.01.01.02.04</t>
  </si>
  <si>
    <t>03.01.01.02.05</t>
  </si>
  <si>
    <t>03.01.01.02.06</t>
  </si>
  <si>
    <t>03.01.01.02.07</t>
  </si>
  <si>
    <t>03.01.01.02.08</t>
  </si>
  <si>
    <t>03.01.01.02.09</t>
  </si>
  <si>
    <t>03.01.01.02.10</t>
  </si>
  <si>
    <t>03.01.01.02.11</t>
  </si>
  <si>
    <t>03.01.01.02.12</t>
  </si>
  <si>
    <t>03.01.01.03</t>
  </si>
  <si>
    <t>03.01.01.03.01</t>
  </si>
  <si>
    <t>03.01.01.03.02</t>
  </si>
  <si>
    <t>03.01.01.03.03</t>
  </si>
  <si>
    <t>03.01.01.04</t>
  </si>
  <si>
    <t>03.01.01.04.01</t>
  </si>
  <si>
    <t>03.01.01.04.02</t>
  </si>
  <si>
    <t>03.01.01.04.03</t>
  </si>
  <si>
    <t>03.01.01.04.04</t>
  </si>
  <si>
    <t>03.01.01.04.05</t>
  </si>
  <si>
    <t>03.01.01.05</t>
  </si>
  <si>
    <t>03.01.01.05.01</t>
  </si>
  <si>
    <t>03.01.01.05.02</t>
  </si>
  <si>
    <t>03.01.01.05.03</t>
  </si>
  <si>
    <t>03.01.01.05.04</t>
  </si>
  <si>
    <t>03.01.01.06</t>
  </si>
  <si>
    <t>03.01.01.06.01</t>
  </si>
  <si>
    <t>03.01.01.06.02</t>
  </si>
  <si>
    <t>03.01.01.06.03</t>
  </si>
  <si>
    <t>03.01.01.07</t>
  </si>
  <si>
    <t>03.01.01.07.01</t>
  </si>
  <si>
    <t>03.01.01.07.02</t>
  </si>
  <si>
    <t>03.01.01.07.03</t>
  </si>
  <si>
    <t>03.01.01.07.04</t>
  </si>
  <si>
    <t>03.01.01.07.05</t>
  </si>
  <si>
    <t>03.01.01.07.06</t>
  </si>
  <si>
    <t>03.01.01.07.07</t>
  </si>
  <si>
    <t>03.01.01.07.08</t>
  </si>
  <si>
    <t>03.01.01.07.09</t>
  </si>
  <si>
    <t>03.01.01.07.10</t>
  </si>
  <si>
    <t>03.01.01.08</t>
  </si>
  <si>
    <t>03.01.01.08.01</t>
  </si>
  <si>
    <t>03.01.01.08.02</t>
  </si>
  <si>
    <t>03.01.01.08.03</t>
  </si>
  <si>
    <t>03.01.01.08.04</t>
  </si>
  <si>
    <t>03.01.01.08.05</t>
  </si>
  <si>
    <t>03.01.01.08.06</t>
  </si>
  <si>
    <t>03.01.01.08.07</t>
  </si>
  <si>
    <t>03.01.01.08.08</t>
  </si>
  <si>
    <t>03.01.01.08.09</t>
  </si>
  <si>
    <t>03.01.01.08.10</t>
  </si>
  <si>
    <t>03.01.01.08.11</t>
  </si>
  <si>
    <t>03.01.01.09</t>
  </si>
  <si>
    <t>03.01.01.09.01</t>
  </si>
  <si>
    <t>03.01.01.09.02</t>
  </si>
  <si>
    <t>03.01.01.10</t>
  </si>
  <si>
    <t>03.01.01.10.01</t>
  </si>
  <si>
    <t>03.01.01.10.02</t>
  </si>
  <si>
    <t>03.01.01.10.03</t>
  </si>
  <si>
    <t>03.01.01.10.04</t>
  </si>
  <si>
    <t>03.01.01.10.05</t>
  </si>
  <si>
    <t>03.01.01.10.06</t>
  </si>
  <si>
    <t>03.01.01.11</t>
  </si>
  <si>
    <t>03.01.01.11.01</t>
  </si>
  <si>
    <t>03.01.01.11.01.01</t>
  </si>
  <si>
    <t>03.01.01.11.02</t>
  </si>
  <si>
    <t>03.01.01.11.02.01</t>
  </si>
  <si>
    <t>03.01.01.11.02.02</t>
  </si>
  <si>
    <t>03.01.01.12</t>
  </si>
  <si>
    <t>03.01.01.12.01</t>
  </si>
  <si>
    <t>03.01.01.12.01.01</t>
  </si>
  <si>
    <t>03.01.01.12.02</t>
  </si>
  <si>
    <t>03.01.01.12.02.01</t>
  </si>
  <si>
    <t>03.01.01.12.02.02</t>
  </si>
  <si>
    <t>03.01.01.12.02.03</t>
  </si>
  <si>
    <t>03.01.01.12.03</t>
  </si>
  <si>
    <t>03.01.01.12.03.01</t>
  </si>
  <si>
    <t>03.01.01.12.03.02</t>
  </si>
  <si>
    <t>03.01.01.12.03.03</t>
  </si>
  <si>
    <t>03.01.01.12.03.04</t>
  </si>
  <si>
    <t>03.01.01.12.03.05</t>
  </si>
  <si>
    <t>03.01.01.12.03.06</t>
  </si>
  <si>
    <t>03.01.01.12.03.07</t>
  </si>
  <si>
    <t>03.01.01.12.03.08</t>
  </si>
  <si>
    <t>03.01.01.12.03.09</t>
  </si>
  <si>
    <t>03.01.01.12.03.10</t>
  </si>
  <si>
    <t>03.01.01.12.03.11</t>
  </si>
  <si>
    <t>03.01.01.12.03.12</t>
  </si>
  <si>
    <t>03.01.01.12.03.13</t>
  </si>
  <si>
    <t>03.01.01.12.03.14</t>
  </si>
  <si>
    <t>03.01.01.12.03.15</t>
  </si>
  <si>
    <t>03.01.01.12.03.16</t>
  </si>
  <si>
    <t>03.01.01.12.03.17</t>
  </si>
  <si>
    <t>03.01.01.12.03.18</t>
  </si>
  <si>
    <t>03.01.02.01</t>
  </si>
  <si>
    <t>03.01.02.01.01</t>
  </si>
  <si>
    <t>03.01.02.02</t>
  </si>
  <si>
    <t>03.01.02.02.01</t>
  </si>
  <si>
    <t>03.01.02.02.02</t>
  </si>
  <si>
    <t>03.01.02.02.03</t>
  </si>
  <si>
    <t>03.01.02.02.04</t>
  </si>
  <si>
    <t>03.01.02.02.05</t>
  </si>
  <si>
    <t>03.01.02.03</t>
  </si>
  <si>
    <t>03.01.02.03.01</t>
  </si>
  <si>
    <t>03.01.02.03.02</t>
  </si>
  <si>
    <t>03.01.02.04</t>
  </si>
  <si>
    <t>03.01.02.04.01</t>
  </si>
  <si>
    <t>03.01.02.04.01.01</t>
  </si>
  <si>
    <t>03.01.02.04.02</t>
  </si>
  <si>
    <t>03.01.02.04.02.01</t>
  </si>
  <si>
    <t>03.01.02.04.02.02</t>
  </si>
  <si>
    <t>03.01.02.04.02.03</t>
  </si>
  <si>
    <t>03.01.02.05</t>
  </si>
  <si>
    <t>03.01.02.05.01</t>
  </si>
  <si>
    <t>03.01.02.05.01.01</t>
  </si>
  <si>
    <t>03.01.02.05.02</t>
  </si>
  <si>
    <t>03.01.02.05.02.01</t>
  </si>
  <si>
    <t>03.01.02.05.02.02</t>
  </si>
  <si>
    <t>03.01.02.06</t>
  </si>
  <si>
    <t>03.01.02.06.01</t>
  </si>
  <si>
    <t>03.01.02.06.01.01</t>
  </si>
  <si>
    <t>03.01.02.06.01.02</t>
  </si>
  <si>
    <t>03.01.02.06.01.03</t>
  </si>
  <si>
    <t>03.01.02.06.01.04</t>
  </si>
  <si>
    <t>03.01.02.06.02</t>
  </si>
  <si>
    <t>03.01.02.06.02.01</t>
  </si>
  <si>
    <t>03.01.02.06.02.02</t>
  </si>
  <si>
    <t>03.01.02.06.03</t>
  </si>
  <si>
    <t>03.01.02.06.03.01</t>
  </si>
  <si>
    <t>03.01.02.07</t>
  </si>
  <si>
    <t>03.01.02.07.01</t>
  </si>
  <si>
    <t>03.01.02.07.02</t>
  </si>
  <si>
    <t>03.01.02.07.03</t>
  </si>
  <si>
    <t>03.01.02.07.04</t>
  </si>
  <si>
    <t>03.01.02.07.05</t>
  </si>
  <si>
    <t>03.01.02.08</t>
  </si>
  <si>
    <t>03.01.02.08.01</t>
  </si>
  <si>
    <t>03.01.02.08.02</t>
  </si>
  <si>
    <t>03.01.02.08.03</t>
  </si>
  <si>
    <t>03.01.02.08.04</t>
  </si>
  <si>
    <t>03.01.02.08.05</t>
  </si>
  <si>
    <t>03.01.02.09</t>
  </si>
  <si>
    <t>03.01.02.09.01</t>
  </si>
  <si>
    <t>03.01.02.09.02</t>
  </si>
  <si>
    <t>03.01.02.09.03</t>
  </si>
  <si>
    <t>03.01.02.09.04</t>
  </si>
  <si>
    <t>03.01.02.10</t>
  </si>
  <si>
    <t>03.01.02.10.01</t>
  </si>
  <si>
    <t>03.01.02.10.02</t>
  </si>
  <si>
    <t>03.01.02.10.03</t>
  </si>
  <si>
    <t>03.01.03.01</t>
  </si>
  <si>
    <t>03.01.03.01.01</t>
  </si>
  <si>
    <t>03.01.03.01.01.01</t>
  </si>
  <si>
    <t>03.01.03.01.01.02</t>
  </si>
  <si>
    <t>03.01.03.01.01.03</t>
  </si>
  <si>
    <t>03.01.03.01.01.04</t>
  </si>
  <si>
    <t>03.01.03.01.01.05</t>
  </si>
  <si>
    <t>03.01.03.01.01.06</t>
  </si>
  <si>
    <t>03.01.03.01.02</t>
  </si>
  <si>
    <t>03.01.03.01.02.01</t>
  </si>
  <si>
    <t>03.01.03.01.02.02</t>
  </si>
  <si>
    <t>03.01.03.01.02.03</t>
  </si>
  <si>
    <t>03.01.03.01.02.04</t>
  </si>
  <si>
    <t>03.01.03.01.02.05</t>
  </si>
  <si>
    <t>03.01.03.01.02.06</t>
  </si>
  <si>
    <t>03.01.03.01.02.07</t>
  </si>
  <si>
    <t>03.01.03.02</t>
  </si>
  <si>
    <t>03.01.03.02.01</t>
  </si>
  <si>
    <t>03.01.03.03</t>
  </si>
  <si>
    <t>03.01.03.03.01</t>
  </si>
  <si>
    <t>03.01.03.03.01.01</t>
  </si>
  <si>
    <t>03.01.03.03.02</t>
  </si>
  <si>
    <t>03.01.03.03.02.01</t>
  </si>
  <si>
    <t>03.01.03.03.03</t>
  </si>
  <si>
    <t>03.01.03.03.03.01</t>
  </si>
  <si>
    <t>03.01.03.04</t>
  </si>
  <si>
    <t>03.01.03.04.01</t>
  </si>
  <si>
    <t>03.01.03.04.01.01</t>
  </si>
  <si>
    <t>03.01.03.04.01.02</t>
  </si>
  <si>
    <t>03.01.03.04.01.03</t>
  </si>
  <si>
    <t>03.01.03.04.02</t>
  </si>
  <si>
    <t>03.01.03.04.02.01</t>
  </si>
  <si>
    <t>03.01.03.04.02.02</t>
  </si>
  <si>
    <t>03.01.03.04.02.03</t>
  </si>
  <si>
    <t>03.01.03.04.02.04</t>
  </si>
  <si>
    <t>03.01.03.04.03</t>
  </si>
  <si>
    <t>03.01.03.04.03.01</t>
  </si>
  <si>
    <t>03.01.03.04.04</t>
  </si>
  <si>
    <t>03.01.03.04.04.01</t>
  </si>
  <si>
    <t>03.01.03.05</t>
  </si>
  <si>
    <t>03.01.03.05.01</t>
  </si>
  <si>
    <t>03.01.03.05.01.01</t>
  </si>
  <si>
    <t>03.01.03.05.01.02</t>
  </si>
  <si>
    <t>03.01.03.05.01.03</t>
  </si>
  <si>
    <t>03.01.03.06</t>
  </si>
  <si>
    <t>03.01.03.06.01</t>
  </si>
  <si>
    <t>04.01.01.01.01</t>
  </si>
  <si>
    <t>04.01.01.01.02</t>
  </si>
  <si>
    <t>04.01.01.01.03</t>
  </si>
  <si>
    <t>04.01.01.02.01</t>
  </si>
  <si>
    <t>04.01.01.02.02</t>
  </si>
  <si>
    <t>04.01.01.02.03</t>
  </si>
  <si>
    <t>04.01.01.02.04</t>
  </si>
  <si>
    <t>04.01.01.03</t>
  </si>
  <si>
    <t>04.01.01.03.01</t>
  </si>
  <si>
    <t>04.01.01.04</t>
  </si>
  <si>
    <t>04.01.01.04.01</t>
  </si>
  <si>
    <t>04.01.01.04.02</t>
  </si>
  <si>
    <t>04.01.01.04.03</t>
  </si>
  <si>
    <t>04.01.01.04.04</t>
  </si>
  <si>
    <t>04.01.01.04.05</t>
  </si>
  <si>
    <t>04.01.01.04.06</t>
  </si>
  <si>
    <t>04.01.01.04.07</t>
  </si>
  <si>
    <t>04.01.01.05</t>
  </si>
  <si>
    <t>04.01.01.05.01</t>
  </si>
  <si>
    <t>04.01.02.01.01</t>
  </si>
  <si>
    <t>04.01.02.01.02</t>
  </si>
  <si>
    <t>04.01.02.01.03</t>
  </si>
  <si>
    <t>04.01.02.02.01</t>
  </si>
  <si>
    <t>04.01.02.02.02</t>
  </si>
  <si>
    <t>04.01.02.02.03</t>
  </si>
  <si>
    <t>04.01.02.03.01</t>
  </si>
  <si>
    <t>04.01.02.03.02</t>
  </si>
  <si>
    <t>04.01.02.03.03</t>
  </si>
  <si>
    <t>04.01.02.03.04</t>
  </si>
  <si>
    <t>04.01.02.03.05</t>
  </si>
  <si>
    <t>04.01.02.03.06</t>
  </si>
  <si>
    <t>04.01.02.04.01</t>
  </si>
  <si>
    <t>04.01.03.01.01</t>
  </si>
  <si>
    <t>04.01.03.01.02</t>
  </si>
  <si>
    <t>04.01.03.01.03</t>
  </si>
  <si>
    <t>04.01.03.01.04</t>
  </si>
  <si>
    <t>04.01.03.01.05</t>
  </si>
  <si>
    <t>04.01.03.01.06</t>
  </si>
  <si>
    <t>04.01.03.01.07</t>
  </si>
  <si>
    <t>04.01.04.02</t>
  </si>
  <si>
    <t>04.01.04.03</t>
  </si>
  <si>
    <t>04.02.01.03</t>
  </si>
  <si>
    <t>04.02.01.04</t>
  </si>
  <si>
    <t>04.02.02.05</t>
  </si>
  <si>
    <t>04.02.03.08</t>
  </si>
  <si>
    <t>04.02.03.09</t>
  </si>
  <si>
    <t>05.01.02.01.01</t>
  </si>
  <si>
    <t>05.01.02.02.01</t>
  </si>
  <si>
    <t>05.01.02.02.02</t>
  </si>
  <si>
    <t>05.01.02.02.03</t>
  </si>
  <si>
    <t>05.01.02.03.01</t>
  </si>
  <si>
    <t>05.01.02.03.02</t>
  </si>
  <si>
    <t>05.01.02.04.01</t>
  </si>
  <si>
    <t>05.01.02.04.02</t>
  </si>
  <si>
    <t>05.01.05</t>
  </si>
  <si>
    <t>05.01.05.01</t>
  </si>
  <si>
    <t>05.01.05.02</t>
  </si>
  <si>
    <t>05.01.05.03</t>
  </si>
  <si>
    <t>05.01.05.04</t>
  </si>
  <si>
    <t>05.01.05.05</t>
  </si>
  <si>
    <t>05.01.05.06</t>
  </si>
  <si>
    <t>05.01.05.07</t>
  </si>
  <si>
    <t>05.01.05.08</t>
  </si>
  <si>
    <t>05.01.05.09</t>
  </si>
  <si>
    <t>05.01.06</t>
  </si>
  <si>
    <t>05.01.06.01</t>
  </si>
  <si>
    <t>05.01.06.01.01</t>
  </si>
  <si>
    <t>05.01.06.01.02</t>
  </si>
  <si>
    <t>05.01.06.02</t>
  </si>
  <si>
    <t>05.01.06.02.01</t>
  </si>
  <si>
    <t>05.01.06.02.02</t>
  </si>
  <si>
    <t>05.01.06.02.03</t>
  </si>
  <si>
    <t>05.01.06.03</t>
  </si>
  <si>
    <t>05.01.06.03.01</t>
  </si>
  <si>
    <t>05.01.06.03.02</t>
  </si>
  <si>
    <t>05.01.07</t>
  </si>
  <si>
    <t>05.01.07.01</t>
  </si>
  <si>
    <t>05.01.07.02</t>
  </si>
  <si>
    <t>05.01.07.03</t>
  </si>
  <si>
    <t>05.01.07.04</t>
  </si>
  <si>
    <t>05.01.08</t>
  </si>
  <si>
    <t>05.01.08.01</t>
  </si>
  <si>
    <t>05.01.09</t>
  </si>
  <si>
    <t>05.01.09.01</t>
  </si>
  <si>
    <t>05.01.10</t>
  </si>
  <si>
    <t>05.01.10.01</t>
  </si>
  <si>
    <t>05.01.10.02</t>
  </si>
  <si>
    <t>05.01.10.03</t>
  </si>
  <si>
    <t>05.01.11</t>
  </si>
  <si>
    <t>05.01.11.01</t>
  </si>
  <si>
    <t>05.02.01.01.01</t>
  </si>
  <si>
    <t>05.02.01.01.02</t>
  </si>
  <si>
    <t>05.02.01.01.03</t>
  </si>
  <si>
    <t>05.02.01.01.04</t>
  </si>
  <si>
    <t>05.02.01.01.05</t>
  </si>
  <si>
    <t>05.02.01.01.06</t>
  </si>
  <si>
    <t>05.02.01.01.07</t>
  </si>
  <si>
    <t>05.02.01.01.08</t>
  </si>
  <si>
    <t>05.02.01.01.09</t>
  </si>
  <si>
    <t>05.02.01.01.10</t>
  </si>
  <si>
    <t>05.02.01.02.01</t>
  </si>
  <si>
    <t>05.02.01.03.01</t>
  </si>
  <si>
    <t>05.02.01.04.01</t>
  </si>
  <si>
    <t>05.02.01.05.01</t>
  </si>
  <si>
    <t>05.02.02.02</t>
  </si>
  <si>
    <t>05.02.02.03</t>
  </si>
  <si>
    <t xml:space="preserve">OBRAS PROVISIONALES, TRABAJOS PRELIMINARES, SEGURIDAD Y SALUD </t>
  </si>
  <si>
    <t>OBRAS PROVISIONALES</t>
  </si>
  <si>
    <t xml:space="preserve">      CREMATORIO</t>
  </si>
  <si>
    <t xml:space="preserve">      VELATORIO</t>
  </si>
  <si>
    <t xml:space="preserve">      COLUMBARIO</t>
  </si>
  <si>
    <t xml:space="preserve">      PLAN DE MANEJO DE RESIDUOS SOLIDOS</t>
  </si>
  <si>
    <t xml:space="preserve">      PROGRAMA DE MONITOREO AMBIENTAL</t>
  </si>
  <si>
    <t xml:space="preserve">      PROGRAMA DE USO DE AGUA</t>
  </si>
  <si>
    <t xml:space="preserve">      PROGRAMA DE EDUCACION, FORMACION Y CAPACITACION DE PERSONAL</t>
  </si>
  <si>
    <t xml:space="preserve">      PROGRAMA DE SEGURIDAD Y SALUD OCUPACIONAL</t>
  </si>
  <si>
    <t xml:space="preserve">      PLAN DE CONTINGENCIAS</t>
  </si>
  <si>
    <t xml:space="preserve">      PROGRAMA DE CONTROL DE VIGILANCIA SANITARIA PARA PLAGAS Y VECTORES</t>
  </si>
  <si>
    <t xml:space="preserve">      PROGRAMA DE CIERRE</t>
  </si>
  <si>
    <t xml:space="preserve">   TRAZO Y REPLANTEO</t>
  </si>
  <si>
    <t xml:space="preserve">      TRAZO NIVELACION Y REPLANTEO DURANTE EL PROCESO</t>
  </si>
  <si>
    <t xml:space="preserve">   CREMATORIO</t>
  </si>
  <si>
    <t xml:space="preserve">      MOVIMIENTO DE TIERRAS</t>
  </si>
  <si>
    <t xml:space="preserve">         CORTE DE TERRENO PARA ADOQUINADO</t>
  </si>
  <si>
    <t xml:space="preserve">         REFINE, NIVELACION Y COMPACTACION DE TERRENO NATURAL</t>
  </si>
  <si>
    <t xml:space="preserve">         ACARREO INTERNO DE MATERIAL PROCEDENTE DEL CORTE (ADOQUINADO+CREMATORIO)</t>
  </si>
  <si>
    <t xml:space="preserve">         ELIMINACION DE MATERIAL EXCEDENTE (ADOQUINADO+CREMATORIO)</t>
  </si>
  <si>
    <t xml:space="preserve">         CORTE DE TERRENO PARA CREMATORIO</t>
  </si>
  <si>
    <t xml:space="preserve">         EXCAVACION MANUAL EN TERRENO NORMAL</t>
  </si>
  <si>
    <t xml:space="preserve">         RELLENO CON MATERIAL DE PRESTAMO (AFIRMADO)</t>
  </si>
  <si>
    <t xml:space="preserve">      OBRAS DE CONCRETO SIMPLE</t>
  </si>
  <si>
    <t xml:space="preserve">         SOLADO e=4" (ZAPATAS)</t>
  </si>
  <si>
    <t xml:space="preserve">         CIMIENTO CORRIDO f'c=175 kg/cm2 + 30% P.M.</t>
  </si>
  <si>
    <t xml:space="preserve">         SOBRECIMIENTO f'c=175 kg/cm2 + 30% P.M.</t>
  </si>
  <si>
    <t xml:space="preserve">         ENCOFRADO Y DESENCOFRADO DE SOBRECIMIENTO</t>
  </si>
  <si>
    <t xml:space="preserve">         CONCRETO FALSO PISO MEZCLA 1:8 CEMENTO-HORMIGON e=4"</t>
  </si>
  <si>
    <t xml:space="preserve">      OBRAS DE CONCRETO ARMADO</t>
  </si>
  <si>
    <t xml:space="preserve">         ZAPATAS AISLADAS</t>
  </si>
  <si>
    <t xml:space="preserve">            CONCRETO f'c=210 kg/cm2 -  ZAPATAS</t>
  </si>
  <si>
    <t xml:space="preserve">            ACERO DE REFUERZO fy=4,200 kg/cm2</t>
  </si>
  <si>
    <t xml:space="preserve">            CURADO DE CONCRETO</t>
  </si>
  <si>
    <t xml:space="preserve">         COLUMNAS</t>
  </si>
  <si>
    <t xml:space="preserve">            CONCRETO f'c=210 kg/cm2 - COLUMNAS</t>
  </si>
  <si>
    <t xml:space="preserve">            ENCOFRADO Y DESENCOFRADO DE COLUMNAS</t>
  </si>
  <si>
    <t xml:space="preserve">         COLUMNETAS</t>
  </si>
  <si>
    <t xml:space="preserve">            CONCRETO f'c=210 kg/cm2 - COLUMNETAS</t>
  </si>
  <si>
    <t xml:space="preserve">            ENCOFRADO Y DESENCOFRADO DE COLUMNETAS</t>
  </si>
  <si>
    <t xml:space="preserve">         VIGAS ESTRUCTURALES</t>
  </si>
  <si>
    <t xml:space="preserve">            CONCRETO f'c=210 kg/cm2 -  VIGAS ESTRUCTURALES</t>
  </si>
  <si>
    <t xml:space="preserve">            ENCOFRADO Y DESENCOFRADO DE VIGAS ESTRUCTURALES</t>
  </si>
  <si>
    <t xml:space="preserve">         VIGAS DE CONFINAMIENTO</t>
  </si>
  <si>
    <t xml:space="preserve">            CONCRETO f'c=210 kg/cm2 -  VIGUETAS</t>
  </si>
  <si>
    <t xml:space="preserve">            ENCOFRADO Y DESENCOFRADO DE VIGUETAS</t>
  </si>
  <si>
    <t xml:space="preserve">         LOSA ALIGERADA</t>
  </si>
  <si>
    <t xml:space="preserve">            CONCRETO f'c=210 kg/cm2 - LOSA ALIGERADA</t>
  </si>
  <si>
    <t xml:space="preserve">            ENCOFRADO Y DESENCOFRADO DE LOSA ALIGERADA</t>
  </si>
  <si>
    <t xml:space="preserve">            LADRILLO DE TECHO</t>
  </si>
  <si>
    <t xml:space="preserve">         LOSA MACIZA</t>
  </si>
  <si>
    <t xml:space="preserve">            CONCRETO f'c=210 kg/cm2 - LOSA MACIZA</t>
  </si>
  <si>
    <t xml:space="preserve">            ENCOFRADO Y DESENCOFRADO DE LOSA MACIZA</t>
  </si>
  <si>
    <t xml:space="preserve">         CISTERNA</t>
  </si>
  <si>
    <t xml:space="preserve">            CONCRETO f'c=210 kg/cm2 - CISTERNA</t>
  </si>
  <si>
    <t xml:space="preserve">            ENCOFRADO Y DESENCOFRADO DE CISTERNA</t>
  </si>
  <si>
    <t xml:space="preserve">         TRAMPA DE GRASAS</t>
  </si>
  <si>
    <t xml:space="preserve">            CONCRETO f'c=210 kg/cm2 -  TRAMPA DE GRASA</t>
  </si>
  <si>
    <t xml:space="preserve">            ENCOFRADO Y DESENCOFRADO DE TRAMPA DE GRASA</t>
  </si>
  <si>
    <t xml:space="preserve">      VARIOS</t>
  </si>
  <si>
    <t xml:space="preserve">   VELATORIO</t>
  </si>
  <si>
    <t xml:space="preserve">      NIVELACIÓN DE TERRENO</t>
  </si>
  <si>
    <t xml:space="preserve">         NIVELACIÓN MANUAL DEL TERRENO</t>
  </si>
  <si>
    <t xml:space="preserve">      EXCAVACIONES SIMPLES</t>
  </si>
  <si>
    <t xml:space="preserve">         EXCAVACIÓN DE CIMENTACIÓN</t>
  </si>
  <si>
    <t xml:space="preserve">      ELIMINACIÓN DE MATERIAL EXCEDENTE</t>
  </si>
  <si>
    <t xml:space="preserve">         ELIMINACION DE MATERIAL EXCEDENTE</t>
  </si>
  <si>
    <t xml:space="preserve">      OBRAS DE CONCRETO</t>
  </si>
  <si>
    <t xml:space="preserve">         CIMIENTOS CORRIDOS</t>
  </si>
  <si>
    <t xml:space="preserve">            CONCRETO PARA CIMIENTO CORRIDO</t>
  </si>
  <si>
    <t xml:space="preserve">         SOBRECIMIENTO</t>
  </si>
  <si>
    <t xml:space="preserve">            CONCRETO</t>
  </si>
  <si>
    <t xml:space="preserve">            ENCOFRADO</t>
  </si>
  <si>
    <t xml:space="preserve">         LOSA MACIZA TECHO DE KITCHENETTE</t>
  </si>
  <si>
    <t xml:space="preserve">            ACERO</t>
  </si>
  <si>
    <t xml:space="preserve">         MESA PARA KITCHENETE</t>
  </si>
  <si>
    <t xml:space="preserve">            MESA DE CONCRETO PARA KITCHENETTE ACABADO DE CEMENTO PULIDO</t>
  </si>
  <si>
    <t xml:space="preserve">      ESTRUCTURA DE ALUMINIO TACTO MADERA</t>
  </si>
  <si>
    <t xml:space="preserve">         LISTONES PARA DIVISIÓN DE AMBIENTES H=3.20M, CON BASE DE CONCRETO H=0.10M</t>
  </si>
  <si>
    <t xml:space="preserve">         SOL Y SOMBRA</t>
  </si>
  <si>
    <t xml:space="preserve">   COLUMBARIO</t>
  </si>
  <si>
    <t xml:space="preserve">         EXCAVACIONES SIMPLES</t>
  </si>
  <si>
    <t xml:space="preserve">            EXCAVACIONES SIMPLES PARA PLATEA DE CIMENTACION </t>
  </si>
  <si>
    <t xml:space="preserve">         RELLENOS CON MATERIAL DE PRESTAMO</t>
  </si>
  <si>
    <t xml:space="preserve">            RELLENO PARA PLATEA DE CIMENTACION  </t>
  </si>
  <si>
    <t xml:space="preserve">         ELIMINACIÓN DE MATERIAL EXCEDENTE</t>
  </si>
  <si>
    <t xml:space="preserve">            ELIMINACION DE MATERIAL EXCEDENTE C/VOLQ. 15M3, D=10km </t>
  </si>
  <si>
    <t xml:space="preserve">         SOLADO C:H 1:10 e=5cm </t>
  </si>
  <si>
    <t xml:space="preserve">         SOBRECIMIENTO C:H 1:6 + 25% P.M</t>
  </si>
  <si>
    <t xml:space="preserve">         ENCOFRADO Y DESENCOFRADO NORMAL DE SOBRECIMIENTOS </t>
  </si>
  <si>
    <t xml:space="preserve">         PLATEA DE CIMENTACION</t>
  </si>
  <si>
    <t xml:space="preserve">            CONCRETO f'c= 210 kg/cm2 CIMIENTO ARMADO </t>
  </si>
  <si>
    <t xml:space="preserve">            ACERO CORRUGADO FY= 4200 kg/cm2 GRADO 60 </t>
  </si>
  <si>
    <t xml:space="preserve">         PLACAS </t>
  </si>
  <si>
    <t xml:space="preserve">            CONCRETO f'c= 210 kg/cm2 PLACAS </t>
  </si>
  <si>
    <t xml:space="preserve">            ENCOFRADO Y DESENCOFRADO DE PLACAS </t>
  </si>
  <si>
    <t xml:space="preserve">            CONCRETO f'c= 210 kg/cm2 LOSA MACIZA </t>
  </si>
  <si>
    <t xml:space="preserve">            ENCOFRADO Y DESENCOFRADO DE LOSA MACIZA </t>
  </si>
  <si>
    <t>SC SUMINISTRO E INSTALACION DE HORNO DE CREMACION Y ELEMENTOS COMPLEMENTARIOS</t>
  </si>
  <si>
    <t>ARQUITECTURA, SEGURIDAD Y EVACUACION</t>
  </si>
  <si>
    <t xml:space="preserve">   ARQUITECTURA</t>
  </si>
  <si>
    <t xml:space="preserve">         MUROS Y TABIQUES DE ALBAÑILERIA</t>
  </si>
  <si>
    <t xml:space="preserve">            MUROS Y TABIQUES</t>
  </si>
  <si>
    <t xml:space="preserve">               MURO LADRILLO K.K.DE ARCILLA 18 H DE SOGA MEZCLA C:A 1:4 x 1.5cm</t>
  </si>
  <si>
    <t xml:space="preserve">               MURO LADRILLO K.K.DE ARCILLA 18 H DE CABEZA MEZCLA C:A 1:4 x 1.5cm</t>
  </si>
  <si>
    <t xml:space="preserve">               PARAPETO DE LADRILLO K.K.DE ARCILLA 18 H DE SOGA MEZCLA C:A 1:4 x 1.5cm</t>
  </si>
  <si>
    <t xml:space="preserve">            TABIQUERIA SECA</t>
  </si>
  <si>
    <t xml:space="preserve">               MURO DE PORTICO NO ESTRUCTURAL DE DRYWALL E=0.25m</t>
  </si>
  <si>
    <t xml:space="preserve">               ALERO DE DRYWALL EN FRONTIS E=0.25m</t>
  </si>
  <si>
    <t xml:space="preserve">               ALERO DE SUPERBOARD EN LADO LATERAL E=0.25M</t>
  </si>
  <si>
    <t xml:space="preserve">               MURO DE DRYWALL RESISTENTE AL FUEGO e=12cm</t>
  </si>
  <si>
    <t xml:space="preserve">               MURO DE CUARTO DE BOMBAS DE DRYWALL E=0.15m</t>
  </si>
  <si>
    <t xml:space="preserve">         REVOQUES Y ENLUCIDOS</t>
  </si>
  <si>
    <t xml:space="preserve">            TARRAJEO MUROS EXTERIORES C:A 1:4, e = 1.5cm C/ ACABADO DE MICROCEMENTO</t>
  </si>
  <si>
    <t xml:space="preserve">            TARRAJEO MUROS INTERIORES C:A 1:4, e = 2cm</t>
  </si>
  <si>
    <t xml:space="preserve">            TARRAJEO PRIMARIO EN ENCHAPES</t>
  </si>
  <si>
    <t xml:space="preserve">            TARRAJEO  EN COLUMNAS E=2 cm MEZCLA 1:5</t>
  </si>
  <si>
    <t xml:space="preserve">            TARRAJEO  EN VIGAS E=1.5CM MEZCLA 1:5</t>
  </si>
  <si>
    <t xml:space="preserve">            VESTIDURA DE DERRAMES A=15 CM, E=1.5 CM MEZCLA 1:5</t>
  </si>
  <si>
    <t xml:space="preserve">            TARRAJEO IMPERMEABILIZADO EN CISTERNA</t>
  </si>
  <si>
    <t xml:space="preserve">            TARRAJEO IMPERMEABILIZADO EN TRAMPA DE GRASA</t>
  </si>
  <si>
    <t xml:space="preserve">            REVESTIMIENTO DE MURO C/WOODPANEL DE PVC CON ACABADO DE MADERA</t>
  </si>
  <si>
    <t xml:space="preserve">            REVESTIMIENTO DE MURO CON LAMINA DE PIEDRA NATURAL e= 2cm C/PERFORACION EN FORMA DE CRUZ</t>
  </si>
  <si>
    <t xml:space="preserve">            REVESTIMIENTO DE MURO CON ACABADO TERRAZO </t>
  </si>
  <si>
    <t xml:space="preserve">            REFUERZO DE MADERA PARA TABLEROS</t>
  </si>
  <si>
    <t xml:space="preserve">         CIELO RASOS</t>
  </si>
  <si>
    <t xml:space="preserve">            CIELORRASO CON MEZCLA C:A 1:4 E=1.5CM</t>
  </si>
  <si>
    <t xml:space="preserve">            BLOQUETA DE VIDRIO</t>
  </si>
  <si>
    <t xml:space="preserve">            SUM. E INST. DE CUBIERTA DE ALUZINC TR4, INCL. ACCESORIOS EN CUARTO DE BOMBAS</t>
  </si>
  <si>
    <t xml:space="preserve">         PISOS Y PAVIMENTOS</t>
  </si>
  <si>
    <t xml:space="preserve">            CONTRAPISO E=38mm C:A 1:5</t>
  </si>
  <si>
    <t xml:space="preserve">            PORCELANATO ANTIDESLIZANTE COLOR GRIS PLATA 0.60 X 0.60m (Fragua 3 mm)</t>
  </si>
  <si>
    <t xml:space="preserve">            PORCELANATO ANTIDESLIZANTE COLOR BLANCO 0.60 X 0.60m (Fragua 3 mm)</t>
  </si>
  <si>
    <t xml:space="preserve">            PISO DE ADOQUIN RECTANGULAR COLOR GRIS</t>
  </si>
  <si>
    <t xml:space="preserve">            PISO DE CONCRETO ACABADO SEMIPULIDO C/IMPERMEABILIZANTE</t>
  </si>
  <si>
    <t xml:space="preserve">         ZOCALOS Y CONTRAZOCALOS</t>
  </si>
  <si>
    <t xml:space="preserve">            ZOCALO DE SS.HH DAMAS Y VARONES H=1.20 (PORCELANATO ANTIDESLIZANTE COLOR GRIS  0.6X0.60)</t>
  </si>
  <si>
    <t xml:space="preserve">            CONTRAZOCALO DE PORCELANATO COLOR GRIS PLATA PISO H=10cm</t>
  </si>
  <si>
    <t xml:space="preserve">            CONTRAZOCALO DE DE PORCELANATO COLOR BLANCO H=10CM</t>
  </si>
  <si>
    <t xml:space="preserve">            ZOCALO DE PORCELANATO COLOR GRIS PARA CUARTO DE BOMBAS H=0.30M</t>
  </si>
  <si>
    <t xml:space="preserve">         CARPINTERIA MADERA</t>
  </si>
  <si>
    <t xml:space="preserve">            SUM. E  INST. DE PUERTA TIPO P-01, DE MADERA CONTRAPLACADA PINTADO COLOR BLANCO CON MARCO</t>
  </si>
  <si>
    <t xml:space="preserve">            SUM. E  INST. DE PUERTA TIPO P-03,DE PUERTA DE DOBLE HOJA DE MADERA CONTRAPLACADA, CON BISAGRA DE 3 1/2" x 3 1/2" ALUMINIZADAS DEL TIPO ACERADO CON MANIJA DE PALANCA CON BURLETE DE ESPUMA DE CAUCHO, SEGÚN DISEÑO, INCL. CERRAJERIA Y ACCESORIOS</t>
  </si>
  <si>
    <t xml:space="preserve">            SUM. E  INST. DE PUERTA TIPO P-04, PUERTA BATIENTE DE MADERA CONTRAPLACADA, CON BISAGRA DE 3 1/2" x 3 1/2" ALUMINIZADAS TIPO ACERADO CON MANIJA DE PALANCA, CON BURLETE DE ESPUMA DE CAUCHO, SEGÚN DISEÑO, INCL. CERRAJERIA Y ACCESORIOS</t>
  </si>
  <si>
    <t xml:space="preserve">         CARPINTERIA METALICA</t>
  </si>
  <si>
    <t xml:space="preserve">            SUM. E INST. DE REJILLA METALICA SUMIDERO</t>
  </si>
  <si>
    <t xml:space="preserve">            SUM. E INST. DE PERFIL DE TRANSICION DE ACERO INOXIDABLE</t>
  </si>
  <si>
    <t xml:space="preserve">            SUM. E INST. DE BARRA ABATIBLE DE ACERO INOXIDABLE</t>
  </si>
  <si>
    <t xml:space="preserve">            SUM. E INST. DE BARRA DE APOYO DE CERO INOXIDABLE</t>
  </si>
  <si>
    <t xml:space="preserve">            SUM. E INST. DE ESCALERA DE GATO</t>
  </si>
  <si>
    <t xml:space="preserve">            SUM. E INST. DE MARCOS METALICOS Y AGARRADERAS EN CAJA Y TAPA DE CAJAS REGISTROS</t>
  </si>
  <si>
    <t xml:space="preserve">            SUM. E INST. DE TAPA METALICAS PARA CISTERNA</t>
  </si>
  <si>
    <t xml:space="preserve">            SUM. E INST. DE COLUMNAS METALICAS 4"x4" SEGÚN DISEÑO INCL. ANCLAJE </t>
  </si>
  <si>
    <t xml:space="preserve">            SUM. E INST. DE VIGAS METALICAS 4"x4" SEGÚN DISEÑO</t>
  </si>
  <si>
    <t xml:space="preserve">            SUM. E INST. DE P-05, PUERTA DE ALUMINIO C/REJILLA DE ALUMINIO, INCL. BISAGRA ALUMINIZADA 3 1/2"X 3 1/2" C/MANIJA DE PALANCA</t>
  </si>
  <si>
    <t xml:space="preserve">         VIDRIOS Y CRISTALES</t>
  </si>
  <si>
    <t xml:space="preserve">            SUM. E INST. PUERTA P-02 DE DOBLE HOJA VAIVEN DE VIDRIO TEMPLADO E=8MM </t>
  </si>
  <si>
    <t xml:space="preserve">            SUM. E  INST. DE VENTANA  V-1, PAÑO SUPERIOR: VENTANA PIVOTANTE VERTICAL DE VIDRIO TEMPLADO 8mm CON MARCO DE ALUMINIO COLOR NEGRO (SE ELEVA 60 GRADOS), PAÑO INFERIOR: VENTANA FIJA CON VIDRIO TEMPLADO DE 8mm Y MARCO DE ALUMINIO COLOR NEGRO SEGÚN DISEÑ</t>
  </si>
  <si>
    <t xml:space="preserve">            SUM. E  INST. DE VENTANA  V-2, PAÑO SUPERIOR: VENTANA PIVOTANTE VERTICAL DE VIDRIO TEMPLADO 8mm CON MARCO DE ALUMINIO COLOR NEGRO (SE ELEVA 60 GRADOS), PAÑO INFERIOR: VENTANA FIJA CON VIDRIO TEMPLADO DE 8mm Y MARCO DE ALUMINIO COLOR NEGRO SEGÚN DISEÑ</t>
  </si>
  <si>
    <t xml:space="preserve">            SUM. E  INST. DE VENTANA  V-3, PAÑO SUPERIOR: VENTANA PIVOTANTE VERTICAL DE VIDRIO TEMPLADO 8mm CON MARCO DE ALUMINIO COLOR NEGRO (SE ELEVA 60 GRADOS), PAÑO INFERIOR: VENTANA FIJA CON VIDRIO TEMPLADO DE 8mm Y MARCO DE ALUMINIO COLOR NEGRO SEGÚN DISEÑ</t>
  </si>
  <si>
    <t xml:space="preserve">            SUM. E  INST. DE VENTANA V-4, FIJA DE VIDRIO TEMPLADO DE 8 mm Y MARCO DE ALUMINIO COLOR NEGRO, SEGÚN DISEÑO, INCL. CERRAJERIA Y ACCESORIOS</t>
  </si>
  <si>
    <t xml:space="preserve">            SUM. E  INST. DE VENTANA V-5, FIJA DE VIDRIO TEMPLADO DE 8 mm Y MARCO DE ALUMINIO COLOR NEGRO, SEGÚN DISEÑO, INCL. CERRAJERIA Y ACCESORIOS</t>
  </si>
  <si>
    <t xml:space="preserve">            SUM. E  INST. DE VENTANA V-6, PAÑO SUPERIOR: VENTANA PIVOTANTE VERTICAL DE VIDRIO TEMPLADO 8mm CON MARCO DE ALUMINIO COLOR NEGRO (SE ELEVA 60 GRADOS), PAÑO INFERIOR: VENTANA FIJA CON VIDRIO TEMPLADO DE 8mm Y MARCO DE ALUMINIO COLOR NEGRO, SEGÚN DISEÑ</t>
  </si>
  <si>
    <t xml:space="preserve">            SUM. E  INST. DE VENTANA V-7, PAÑO SUPERIOR: VENTANA PIVOTANTE VERTICAL DE VIDRIO TEMPLADO 8mm CON MARCO DE ALUMINIO COLOR NEGRO (SE ELEVA 60 GRADOS), PAÑO INFERIOR: VENTANA FIJA CON VIDRIO TEMPLADO DE 8mm Y MARCO DE ALUMINIO COLOR NEGRO, SEGÚN DISEÑ</t>
  </si>
  <si>
    <t xml:space="preserve">            SUM. E  INST. DE VENTANA VA-1, DE 3 CUERPOS PIVOTANTE VERTICAL, CON APERTURA DE 60 GRADOS DE VIDRIO</t>
  </si>
  <si>
    <t xml:space="preserve">            SUM. E  INST. DE MAMPARA M-01, PAÑO SUPERIOR: FIJA DE VIDRIO TEMPLADO e=8mm MARCO DE ALUMINIO NEGRO, PAÑO INFERIOR: MAMPARA CORREDIZA CON JALADOR EMBUTIDO, SEGÚN DISEÑO, INCL. CERRAJERIA Y ACCESORIOS</t>
  </si>
  <si>
    <t xml:space="preserve">            SUM. E  INST. DE MAMPARA M-02, PAÑO SUPERIOR: FIJA DE VIDRIO TEMPLADO e=8mm MARCO DE ALUMINIO NEGRO, PAÑO INFERIOR: MURO CORTINA, SEGÚN DISEÑO, INCL. CERRAJERIA Y ACCESORIOS</t>
  </si>
  <si>
    <t xml:space="preserve">         PINTURA</t>
  </si>
  <si>
    <t xml:space="preserve">            PINTURA MATE LAVABLE COLOR BLANCO 2 MANOS EN INTERIORES</t>
  </si>
  <si>
    <t xml:space="preserve">            PINTURA  BLANCA EN CIELO RASOS C/ IMPRIMANTE( 2 MANOS) Y ACABADO MATE LAVABLE</t>
  </si>
  <si>
    <t xml:space="preserve">         VARIOS</t>
  </si>
  <si>
    <t xml:space="preserve">            SUM. E INST. DE LOGO METALICO GRIS MATE</t>
  </si>
  <si>
    <t xml:space="preserve">            SUM. E INST. DE LETRAS METALICAS GRIS MATE GRANDES H=0.35M</t>
  </si>
  <si>
    <t xml:space="preserve">            SUM. E INST. DE LETRAS METALICAS GRIS MATE MEDIANAS H=0.18M</t>
  </si>
  <si>
    <t xml:space="preserve">            SUM. E INST. DE LETRAS METALICAS GRIS MATE PEQUEÑAS H=0.10M</t>
  </si>
  <si>
    <t xml:space="preserve">            SUM. E INST. CELOSIA DIVISORA</t>
  </si>
  <si>
    <t xml:space="preserve">            LIMPIEZA FINAL DE OBRA</t>
  </si>
  <si>
    <t xml:space="preserve">         EQUIPAMIENTO Y MOBILIARIO</t>
  </si>
  <si>
    <t xml:space="preserve">            EQUIPAMIENTO</t>
  </si>
  <si>
    <t xml:space="preserve">               SUM. E INST. DE TANQUE DE GLP</t>
  </si>
  <si>
    <t xml:space="preserve">            MOBILIARIO DE AMBIENTE DE CREMACION</t>
  </si>
  <si>
    <t xml:space="preserve">               SUM. E INST. DE MESA DE ACERO INOXIDABLE CON PUERTAS, SEGÚN DISEÑO, INCL.  ACCESORIOS</t>
  </si>
  <si>
    <t xml:space="preserve">               SUM. E INST. DE LAVADERO DE ACERO INOXIDABLE, SEGÚN DISEÑO, INCL.  ACCESORIOS</t>
  </si>
  <si>
    <t xml:space="preserve">         SEGURIDAD Y EVACUACION</t>
  </si>
  <si>
    <t xml:space="preserve">            ADQUISICION DE ALARMA SONORA</t>
  </si>
  <si>
    <t xml:space="preserve">               SUM. E INST. DE SISTEMA DE ALARMA SONORA</t>
  </si>
  <si>
    <t xml:space="preserve">            ADQUISICION DE EXTINTORES</t>
  </si>
  <si>
    <t xml:space="preserve">               SUM. DE EXTINTOR DE POLVO QUIMICO</t>
  </si>
  <si>
    <t xml:space="preserve">               SUM. DE EXTINTOR DE ESPUMA</t>
  </si>
  <si>
    <t xml:space="preserve">               SUM. DE EXTINTOR DE GAS CARBONICO</t>
  </si>
  <si>
    <t xml:space="preserve">            ADQUISICION DE SEÑALIZACION</t>
  </si>
  <si>
    <t xml:space="preserve">               SUM. E INST. DE SEÑALIZACION DE RIESGO ELECTRICO DE MATERIAL PVC (AUTOADHESIVO 0.20X 0.30M)</t>
  </si>
  <si>
    <t xml:space="preserve">               SUM. E INST. DE SEÑALIZACION DE POZO TIERRA DE MATERIAL PVC (AUTOADHESIVO 0.20X 0.30M)</t>
  </si>
  <si>
    <t xml:space="preserve">               SUM. E INST. DE SEÑALIZACION DE AVISADOR SONORO DE MATERIAL PVC (AUTOADHESIVO 0.20X 0.30M)</t>
  </si>
  <si>
    <t xml:space="preserve">               SUM. E INST. DE SEÑALIZACION DE SALIDA DE MATERIAL PVC (AUTOADHESIVO 0.20X 0.30M)</t>
  </si>
  <si>
    <t xml:space="preserve">               SUM. E INST. SEÑALIZACION DE RUTA DE EVACUACION DE "SALIDA A LA IZQUIERDA" DE MATERIAL PVC (AUTOADHESIVO 0.20X 0.30M)</t>
  </si>
  <si>
    <t xml:space="preserve">               SUM. E INST. SEÑALIZACION DE RUTA DE EVACUACION DE "SALIDA A LA DERECHA (AUTOADHESIVO 0.20X0.30)</t>
  </si>
  <si>
    <t xml:space="preserve">               SUM. E INST. SEÑALIZACION DE PULSADOR DE ALARMA(AUTOADHESIVO 0.20 x 0.30)</t>
  </si>
  <si>
    <t xml:space="preserve">               SUM. E INST. DE SEÑALIZACION DE UBICACION DE EXTINTOR DE POLVO QUIMICO (AUTOADHESIVO 0.20X 0.30M)</t>
  </si>
  <si>
    <t xml:space="preserve">               SUM. E INST. DE SEÑALIZACION DE UBICACION DE EXTINTOR DE ESPUMA (AUTOADHESIVO 0.20X 0.30M)</t>
  </si>
  <si>
    <t xml:space="preserve">               SUM. E INST. DE SEÑALIZACION DE UBICACION DE EXTINTOR DE GAS CARBONICO (AUTOADHESIVO 0.20X 0.30M)</t>
  </si>
  <si>
    <t xml:space="preserve">               SUM. E INST. DE SEÑALIZACION DE BOTIQUIN DE PRIMEROS AUXILIOS DE MATERIAL PVC (AUTOADHESIVO 0.20X 0.30M)</t>
  </si>
  <si>
    <t xml:space="preserve">               SUM. E INST. DE SEÑALIZACION DE AREA RESTRINGIDA DE MATERIAL PVC (AUTOADHESIVO 0.20X 0.30M)</t>
  </si>
  <si>
    <t xml:space="preserve">               SUM. E INST. DE SEÑALIZACION DE LUZ DE EMERGENCIA, CONECTADA A CIRCUITO, DE MATERIAL PVC (AUTOADHESIVO 0.20X 0.30M)</t>
  </si>
  <si>
    <t xml:space="preserve">               SUM. E INST. DE SEÑALIZACION DE CENTRAL DE ALARMA CONTRA INCENDIO, DE MATERIAL PVC (AUTOADHESIVO 0.20X 0.30M)</t>
  </si>
  <si>
    <t xml:space="preserve">               SUM. E INST. DE SEÑALIZACION DE DETECTOR DE TEMPERATURA</t>
  </si>
  <si>
    <t xml:space="preserve">               SUM. E INST. DE SEÑALIZACION DE DETECTOR DE HUMO</t>
  </si>
  <si>
    <t xml:space="preserve">               SUM. E INST. DE SEÑALIZACION DE LETRERO DE CAPACIDAD DE AFORO DE MATERIAL PVC AUTOADHESIVO</t>
  </si>
  <si>
    <t xml:space="preserve">               SUM. E INST. DE SEÑALIZACION DE BAÑOS DE MATERIAL DE PVC AUTOADHESIVO (0.20M x 0.30M)</t>
  </si>
  <si>
    <t xml:space="preserve">            MURO DE SOGA LADRILLO KING KONG TIPO IV</t>
  </si>
  <si>
    <t xml:space="preserve">         REVOQUES Y REVESTIMIENTO</t>
  </si>
  <si>
    <t xml:space="preserve">            PREPARACIÓN DE SUPERFICIE</t>
  </si>
  <si>
    <t xml:space="preserve">            TARRAJEO EN INTERIORES C:A 1:5 e=1.50cm</t>
  </si>
  <si>
    <t xml:space="preserve">            TARRAJEO EN EXTERIORES C:A 1:5 e=1.50cm</t>
  </si>
  <si>
    <t xml:space="preserve">            VESTIDURA DE DERRAMES C:A 1:5 e=1.5cm</t>
  </si>
  <si>
    <t xml:space="preserve">            TARRAJEO DE DUCTOS</t>
  </si>
  <si>
    <t xml:space="preserve">         CIELORRASO</t>
  </si>
  <si>
    <t xml:space="preserve">            CIELORRASO CON MEZCLA</t>
  </si>
  <si>
    <t xml:space="preserve">            SUMINISTRO E INSTALACION DE LADRILLO PASTELERO EN TECHO</t>
  </si>
  <si>
    <t xml:space="preserve">            CONTRAPISOS</t>
  </si>
  <si>
    <t xml:space="preserve">               CONTRAPISO C:A 1:5 e=4cm</t>
  </si>
  <si>
    <t xml:space="preserve">            PISOS</t>
  </si>
  <si>
    <t xml:space="preserve">               PORCELANATO COLOR GRIS</t>
  </si>
  <si>
    <t xml:space="preserve">               PORCELANATO COLOR ARENA</t>
  </si>
  <si>
    <t xml:space="preserve">               ADOQUINES DE CONCRETO</t>
  </si>
  <si>
    <t xml:space="preserve">         ZOCALOS Y CONTRAZÓCALOS</t>
  </si>
  <si>
    <t xml:space="preserve">            ZOCALOS</t>
  </si>
  <si>
    <t xml:space="preserve">               PORCELANATO</t>
  </si>
  <si>
    <t xml:space="preserve">            CONTRAZOCALOS</t>
  </si>
  <si>
    <t xml:space="preserve">               PINTADO DE CONTRAZOCALO COLOR NEGRO</t>
  </si>
  <si>
    <t xml:space="preserve">         CARPINTERIA DE MADERA Y METALICA</t>
  </si>
  <si>
    <t xml:space="preserve">            VENTANAS</t>
  </si>
  <si>
    <t xml:space="preserve">               REUBICACION Y PAVONADO DE VEMTANA V-1</t>
  </si>
  <si>
    <t xml:space="preserve">               REUBICACION DE VENTANA VA-1</t>
  </si>
  <si>
    <t xml:space="preserve">               VENTANA VA-2</t>
  </si>
  <si>
    <t xml:space="preserve">               MANTENIMIENTO Y PAVONADO DE VENTANAS</t>
  </si>
  <si>
    <t xml:space="preserve">            PUERTAS </t>
  </si>
  <si>
    <t xml:space="preserve">               PUERTA  P-01</t>
  </si>
  <si>
    <t xml:space="preserve">               PUERTA  P-02</t>
  </si>
  <si>
    <t xml:space="preserve">            MAMPARAS</t>
  </si>
  <si>
    <t xml:space="preserve">               MAMPARA-01</t>
  </si>
  <si>
    <t xml:space="preserve">         CERRAJERIA</t>
  </si>
  <si>
    <t xml:space="preserve">            BISAGRA PARA PUERTA P-01</t>
  </si>
  <si>
    <t xml:space="preserve">            BISAGRA PARA PUERTA P-02</t>
  </si>
  <si>
    <t xml:space="preserve">            CERRADURA PARA M-01</t>
  </si>
  <si>
    <t xml:space="preserve">            CERRADURA PARA P-01</t>
  </si>
  <si>
    <t xml:space="preserve">            CERRADURA PARA P-02</t>
  </si>
  <si>
    <t xml:space="preserve">         PINTURAS</t>
  </si>
  <si>
    <t xml:space="preserve">            PINTURA DE CIELOS RASOS Y PAREDES</t>
  </si>
  <si>
    <t xml:space="preserve">            ACABADO DE ESTUCADO COLOR GRIS CEMENTO</t>
  </si>
  <si>
    <t xml:space="preserve">            PINTURA DE PUERTAS</t>
  </si>
  <si>
    <t xml:space="preserve">            PINTURA DE DERRAMES</t>
  </si>
  <si>
    <t xml:space="preserve">            ACABADO DE FACHALETA H = 5CM C/LARGOS VARIABLES</t>
  </si>
  <si>
    <t xml:space="preserve">            LIMPIEZA PERMANENTE DE OBRA</t>
  </si>
  <si>
    <t xml:space="preserve">            SUMINISTRO E INSTALACIÓN DE CRUZ EN PARED</t>
  </si>
  <si>
    <t xml:space="preserve">            SUMINISTRO E INSTALACIÓN DE LOSETAS DE PIEDRA DE 0.40 X 0.40 E = 1/2'', EN MURO EXTERIOR</t>
  </si>
  <si>
    <t xml:space="preserve">            LIMPIEZA FINAL</t>
  </si>
  <si>
    <t xml:space="preserve">            EXTINTOR</t>
  </si>
  <si>
    <t xml:space="preserve">            LUCES DE SEGURIDAD</t>
  </si>
  <si>
    <t xml:space="preserve">            SEÑALES FOTOLUMINISCENTES</t>
  </si>
  <si>
    <t xml:space="preserve">            VEREDAS DE ADOQUIN</t>
  </si>
  <si>
    <t xml:space="preserve">               EXCAVACION A NIVEL DE SUB RASANTE CON EQUIPO EN TERRENO NORMAL EN VEREDA DE ADOQUIN</t>
  </si>
  <si>
    <t xml:space="preserve">               CONFORMACION Y COMPACTACIÓN DE SUBRASANTE PARA VEREDAS DE ADOQUIN</t>
  </si>
  <si>
    <t xml:space="preserve">               BASE GRANULAR E = 0.10M, C/ EQUIPO PARA VEREDAS DE ADOQUIN</t>
  </si>
  <si>
    <t xml:space="preserve">               CAMA DE ARENA h=0.05m PARA ADOQUINADO </t>
  </si>
  <si>
    <t xml:space="preserve">               ADOQUINADO DE CONCRETO (4X10X20cm) </t>
  </si>
  <si>
    <t xml:space="preserve">               ELIMINACION DE MATERIAL EXCEDENTE C/VOLQ. 15M3, D=10km </t>
  </si>
  <si>
    <t xml:space="preserve">            VEREDAS DE CONCRETO</t>
  </si>
  <si>
    <t xml:space="preserve">               EXCAVACION A NIVEL DE SUB RASANTE CON EQUIPO EN TERRENO NORMAL EN VEREDAS DE CONCRETO</t>
  </si>
  <si>
    <t xml:space="preserve">               CONFORMACION Y COMPACTACIÓN DE SUBRASANTE PARA VEREDAS DE CONCRETO</t>
  </si>
  <si>
    <t xml:space="preserve">               BASE GRANULAR E = 0.10M, C/ EQUIPO PARA VEREDAS DE CONCRETO </t>
  </si>
  <si>
    <t xml:space="preserve">               ENCOFRADO Y DESENCOFRADO EN VEREDAS DE CONCRETO</t>
  </si>
  <si>
    <t xml:space="preserve">               CONCRETO PREMEZCLADO f'c= 175 Kg/Cm2 EN VEREDAS, INCL. BRUÑADO </t>
  </si>
  <si>
    <t xml:space="preserve">               CURADO DE CONCRETO CON ADITIVO CURADOR </t>
  </si>
  <si>
    <t xml:space="preserve">         MURETES DE ALBAÑILERIA</t>
  </si>
  <si>
    <t xml:space="preserve">            MURO DE LADRILLO KING KONG H18 </t>
  </si>
  <si>
    <t xml:space="preserve">            PINTURA DE MURO EXTERIOR DE COLUMBARIOS H=2.60</t>
  </si>
  <si>
    <t xml:space="preserve">               PINTURA LATEX EN MUROS 2 MANOS </t>
  </si>
  <si>
    <t xml:space="preserve">            PINTURA DE RAMPAS</t>
  </si>
  <si>
    <t xml:space="preserve">               PINTURA ACRILICA ANTIDESLIZANTE AMARILLA </t>
  </si>
  <si>
    <t xml:space="preserve">            PINTURA DE POSTE DE SEÑALIZACION</t>
  </si>
  <si>
    <t xml:space="preserve">               REFACCION, MANTENIMIENTO Y PINTURA EN ACRILICO GRIS </t>
  </si>
  <si>
    <t xml:space="preserve">            REUBICACION DE POSTE DE SEÑALIZACION</t>
  </si>
  <si>
    <t xml:space="preserve">               EXCAVACIÓN PARA BASE DE CONCRETO 50X50X50CM</t>
  </si>
  <si>
    <t xml:space="preserve">               DADO BASE DE CONCRETO 50X50X50CM </t>
  </si>
  <si>
    <t xml:space="preserve">            DEMOLICIÓN Y CONSTRUCCIÓN DE RED Y BUZON DE AGUA</t>
  </si>
  <si>
    <t xml:space="preserve">               DEMOLICIÓN Y SELLADO DE SALIDA DE BUZÓN EXISTENTE 
PLANO</t>
  </si>
  <si>
    <t xml:space="preserve">               EXCAVACIÓN PARA NUEVA TUBERÍA Y BUZONES </t>
  </si>
  <si>
    <t xml:space="preserve">               CONSTRUCCIÓN DE NUEVOS BUZONES DE INSPECCIÓN, INC. SALIDA DE AGUA 
PLANO</t>
  </si>
  <si>
    <t xml:space="preserve">               RED DE DISTRIBUCION TUBERIA DE 2" PVC </t>
  </si>
  <si>
    <t xml:space="preserve">            SEMBRADO</t>
  </si>
  <si>
    <t xml:space="preserve">               SEMBRADO DE PLANTA PERENNE </t>
  </si>
  <si>
    <t xml:space="preserve">            LETRERO DE PABELLÓN</t>
  </si>
  <si>
    <t xml:space="preserve">               LETRERO DE PABELLÓN 1.25X.35 DE ACERO INOXIDABLE DE ACUERDO A
PLANO</t>
  </si>
  <si>
    <t xml:space="preserve">         REVOQUES Y REVESTIMIENTOS</t>
  </si>
  <si>
    <t xml:space="preserve">            MURO EXTERIOR E INTERIOR PARA COLUMBARIO</t>
  </si>
  <si>
    <t xml:space="preserve">               PREPARACIÓN DE SUPERFICIE </t>
  </si>
  <si>
    <t xml:space="preserve">               ACABADO DE CEMENTO PULIDO</t>
  </si>
  <si>
    <t xml:space="preserve">               TARRAJEO EN MUROS </t>
  </si>
  <si>
    <t xml:space="preserve">         LIMPIEZA FINAL</t>
  </si>
  <si>
    <t xml:space="preserve">      SISTEMA DE DESAGUE</t>
  </si>
  <si>
    <t xml:space="preserve">         SALIDAS</t>
  </si>
  <si>
    <t xml:space="preserve">            SALIDAS DE DESAGUE PVC Ø2"</t>
  </si>
  <si>
    <t xml:space="preserve">            SALIDAS DE DESAGUE PVC Ø4"</t>
  </si>
  <si>
    <t xml:space="preserve">            SALIDAS DE TUBERIA DE VENTILACIONPVC Ø2"</t>
  </si>
  <si>
    <t xml:space="preserve">         REDES DE DERIVACION</t>
  </si>
  <si>
    <t xml:space="preserve">            SUM E INST. DE PVC CP C-10 SP DE 2" PARA REDES DE DERIVACION</t>
  </si>
  <si>
    <t xml:space="preserve">            SUM. E INST. PVC CP C-10 SP DE 4" PARA REDES DE DERIVACION</t>
  </si>
  <si>
    <t xml:space="preserve">            SUM. E INST. PVC CP C-10 SP DE 4" PARA CONECCIONES ENTRE CAJAS</t>
  </si>
  <si>
    <t xml:space="preserve">            SUM. E INST. PVC CP C-10 SP DE 1" DESDE CAMARA DE BOMBEO DE DESAGUE HASTA CAJA DE DESAGUE EXISTENTE</t>
  </si>
  <si>
    <t xml:space="preserve">         REDES DE COLECTORAS</t>
  </si>
  <si>
    <t xml:space="preserve">            SUM. E INST. DE TUBERIA PVC SAL SP DE Ø2" PARA TUBERIA DE VENTILACION</t>
  </si>
  <si>
    <t xml:space="preserve">         ACCESORIOS DE REDES DE DERIVACION</t>
  </si>
  <si>
    <t xml:space="preserve">            SUM.E INST. DE CODO DE  90°PARA TUBERIA DE VENTILACION PVC-SAP C-10 SP DE 2"</t>
  </si>
  <si>
    <t xml:space="preserve">            SUM.E INST. DE TEE   PARA TUBERIA DE VENTILACION PVC-SAP C-10 SP DE 2"</t>
  </si>
  <si>
    <t xml:space="preserve">            SUM.E INST. DE CODO DE  45° PVC-SAP C-10 SP DE 4"</t>
  </si>
  <si>
    <t xml:space="preserve">            SUM.E INST. DE YEE CON REDUCCION DE 4" A 2" DE PVC-SAP C-10 SP </t>
  </si>
  <si>
    <t xml:space="preserve">            SUM.E INST. DE YEE  4"   DE PVC-SAP C-10 SP</t>
  </si>
  <si>
    <t xml:space="preserve">            SUM. E INST. DE SUMIDERO DE BRONCE DE 2"</t>
  </si>
  <si>
    <t xml:space="preserve">            SUM.E INST. DE CODO DE  45° PVC-SAP C-10 SP DE 1"</t>
  </si>
  <si>
    <t xml:space="preserve">         CAJAS DE DESAGUE</t>
  </si>
  <si>
    <t xml:space="preserve">            SUM. E INST. DE CAJA DE REGISTRO DE DESAGUE  (0.30 X 0.60 m)</t>
  </si>
  <si>
    <t xml:space="preserve">      SISTEMA DE AGUA FRIA</t>
  </si>
  <si>
    <t xml:space="preserve">            SALIDA DE AGUA FRIA CON TUBERIA DE PVC-SAP 1/2"</t>
  </si>
  <si>
    <t xml:space="preserve">            SALIDA DE AGUA FRIA CON TUBERIA DE PVC-SAP 1 1/4"</t>
  </si>
  <si>
    <t xml:space="preserve">            SALIDA DE AGUA FRIA CON TUBERIA DE PVC-SAP 1 1/2"</t>
  </si>
  <si>
    <t xml:space="preserve">         RAMALES DE DISTRIBUCION</t>
  </si>
  <si>
    <t xml:space="preserve">            SUM.E INST. DE TUBERIA DE PVC-SAP C-10 TR DE 1/2"</t>
  </si>
  <si>
    <t xml:space="preserve">            SUM.E INST. DE TUBERIA DE PVC-SAP C-10 TR DE 1 1/4"</t>
  </si>
  <si>
    <t xml:space="preserve">            SUM.E INST. DE TUBERIA DE PVC-SAP C-10 TR DE 1 1/2"</t>
  </si>
  <si>
    <t xml:space="preserve">         ACCESORIOS</t>
  </si>
  <si>
    <t xml:space="preserve">            SUM. E INST. DE CODO DE 90° PVC-SAP  CR  DE 1/2"</t>
  </si>
  <si>
    <t xml:space="preserve">            SUM. E INST. DE CODO DE  90° PVC-SAP  CR DE 1 1/4"</t>
  </si>
  <si>
    <t xml:space="preserve">            SUM. E INST. DE CODO DE 90°  PVC-SAP  CR  DE 1 1/2"</t>
  </si>
  <si>
    <t xml:space="preserve">            SUM. E INST. DE TEE DE  PVC-SAP  CR  DE 1 1/4"</t>
  </si>
  <si>
    <t xml:space="preserve">            SUM. E INST. DE ACCESORIO  REDUCCION DE 1 1/2"  A 1/2"</t>
  </si>
  <si>
    <t xml:space="preserve">            SUM. E INST. DE ACCESORIO  REDUCCION DE 1 1/2"  A 1 1/4"</t>
  </si>
  <si>
    <t xml:space="preserve">         VALVULAS</t>
  </si>
  <si>
    <t xml:space="preserve">            SUM. E INST. DE VALVULA DE PASO DE BRONCE DE 1 1/4" , INCL. ACCESORIOS</t>
  </si>
  <si>
    <t xml:space="preserve">      APARATOS SANITARIOS Y ACCESORIOS</t>
  </si>
  <si>
    <t xml:space="preserve">         APARATOS SANITARIOS DE SS. HH</t>
  </si>
  <si>
    <t xml:space="preserve">            SUM. E INST. DE INODORO DE LOZA BLANCA PARA SS.HH</t>
  </si>
  <si>
    <t xml:space="preserve">            SUM. E INST. DE LAVATORIO DE LOZA BLANCA   PARA SS.HH DENTRO</t>
  </si>
  <si>
    <t xml:space="preserve">            SUM. E INST. DE URINARIO DE LOZA BLANCA PARA SS.HH DE VARONES</t>
  </si>
  <si>
    <t xml:space="preserve">            SUM. E INST. DE GRIFERIA TEMPORIZADA PARA URINARIOS</t>
  </si>
  <si>
    <t xml:space="preserve">            SUM. E INST. DE GRIFERIA TEMPORIZADA PARA LAVATORIO</t>
  </si>
  <si>
    <t xml:space="preserve">            SUM.  DE PAPELERA DE PLASTICO</t>
  </si>
  <si>
    <t xml:space="preserve">            SUM. E INST. DE ACCESORIOS SANITARIOS</t>
  </si>
  <si>
    <t xml:space="preserve">         PRUEBA HIDRULICA DE RED DE DESAGUE</t>
  </si>
  <si>
    <t xml:space="preserve">         PRUEBA HIDRULICA DE RED DE AGUA</t>
  </si>
  <si>
    <t xml:space="preserve">         CAJA DE REBOSE DE CISTERNA 0.40M X 0.40M (INC. REJILLA Y SUMIDERO)</t>
  </si>
  <si>
    <t xml:space="preserve">         SUMINISTRO DE APARATOS SANITARIOS</t>
  </si>
  <si>
    <t xml:space="preserve">         SUMINISTRO DE ACCESORIOS</t>
  </si>
  <si>
    <t xml:space="preserve">         INSTALACIÓN DE APARATOS SANITARIOS</t>
  </si>
  <si>
    <t xml:space="preserve">         INSTALACIÓN DE ACCESORIOS</t>
  </si>
  <si>
    <t xml:space="preserve">         SALIDA DE AGUA FRIA</t>
  </si>
  <si>
    <t xml:space="preserve">         REDES DE ALIMENTACIÓN</t>
  </si>
  <si>
    <t xml:space="preserve">         ACCESORIOS DE REDES DE AGUA</t>
  </si>
  <si>
    <t xml:space="preserve">         VÁLVULAS</t>
  </si>
  <si>
    <t xml:space="preserve">         CONEXIÓN CON RED DE AGUA EXISTENTE</t>
  </si>
  <si>
    <t xml:space="preserve">      DESAGÜE Y VENTILACIÓN</t>
  </si>
  <si>
    <t xml:space="preserve">         SALIDA DE DESAGÜE</t>
  </si>
  <si>
    <t xml:space="preserve">         SALIDA DE DRENAJE PLUVIAL</t>
  </si>
  <si>
    <t xml:space="preserve">         EXCAVACIÓN PARA CANALETAS Y REDES</t>
  </si>
  <si>
    <t xml:space="preserve">         CANALETAS, INC. REJILLA METÁLICA Y TRAMPA PARA CONEXIÓN A DESAGÜE</t>
  </si>
  <si>
    <t xml:space="preserve">         REDES DE DERIVACIÓN</t>
  </si>
  <si>
    <t xml:space="preserve">         REDES COLECTORAS</t>
  </si>
  <si>
    <t xml:space="preserve">         ACCESORIOS DE REDES COLECTORAS</t>
  </si>
  <si>
    <t xml:space="preserve">         REUBICACIÓN DE CAJA DE CONCRETO</t>
  </si>
  <si>
    <t xml:space="preserve">      CAJAS DE PASE</t>
  </si>
  <si>
    <t xml:space="preserve">         CAJAS DE PASE DE PLANCHA GALVANIZADA DE 10cm x 10cm x 8cm (SELLADO HERMETICAMENTE), CON PROTECCION IP 65 Y DE TIPO PESADA PARA EMPOTRAR  (TIPO 1)</t>
  </si>
  <si>
    <t xml:space="preserve">         CAJAS DE PASE DE PLANCHA GALVANIZADA DE 15cm x 15cm x 8cm (SELLADO HERMETICAMENTE), CON PROTECCION IP 65 Y DE TIPO PESADA PARA EMPOTRAR  (TIPO 2)</t>
  </si>
  <si>
    <t xml:space="preserve">         CAJAS DE PASE PVC DE 30cm x 30cm x 15cm (SELLADO HERMETICAMENTE)</t>
  </si>
  <si>
    <t xml:space="preserve">      SALIDAS Y FUERZAS</t>
  </si>
  <si>
    <t xml:space="preserve">         SALIDAS ELECTRIAS DE ALUMBRADO</t>
  </si>
  <si>
    <t xml:space="preserve">            SALIDAS PARA LUMINARIA DE 20 W, 220vac</t>
  </si>
  <si>
    <t xml:space="preserve">         SALIDAS ELECTRIAS DE TOMA CORRIENTES</t>
  </si>
  <si>
    <t xml:space="preserve">            SALIDAS PARA TOMA CORRIENTE, DOBLE TOMA UNIVERSAL Y PUESTA A TIERRA</t>
  </si>
  <si>
    <t xml:space="preserve">            SALIDAS PARA TOMA CORRIENTE, DE AIRE ACONDICIONADO</t>
  </si>
  <si>
    <t xml:space="preserve">            SALIDAS PARA TOMA CORRIENTE, TRIFASICO INDUSTRIAL, CON PUESTA A TIERRA</t>
  </si>
  <si>
    <t xml:space="preserve">         SALIDAS ELECTRIAS PARA INTERRUPTOR</t>
  </si>
  <si>
    <t xml:space="preserve">            SALIDA ELECTRICA PARA INTERRUPTOR SIMPLE</t>
  </si>
  <si>
    <t xml:space="preserve">            SALIDA ELECTRICA PARA INTERRUPTOR DOBLE</t>
  </si>
  <si>
    <t xml:space="preserve">         SALIDAS PARA FUERZAS</t>
  </si>
  <si>
    <t xml:space="preserve">            SALIDA DE FUERZA PARA ELECTROBOMBA 2 HP </t>
  </si>
  <si>
    <t xml:space="preserve">            SALIDA DE FUERZA UNIDA DE CONDENSACION MULTISPLIT 12000 BTU/h</t>
  </si>
  <si>
    <t xml:space="preserve">      SALIDAS PARA COMUNICACIONES</t>
  </si>
  <si>
    <t xml:space="preserve">         SALIDA DE CONECTOR SIMPLE RJ45 CAT 6A</t>
  </si>
  <si>
    <t xml:space="preserve">         SALIDA PARA ROUTER / ACCESS POINT</t>
  </si>
  <si>
    <t xml:space="preserve">         SALIDA PARA TELEVISION</t>
  </si>
  <si>
    <t xml:space="preserve">         SALIDA PARA TELEFONO</t>
  </si>
  <si>
    <t xml:space="preserve">         SALIDA DE SENSOR DE DETECICION DE HUMO</t>
  </si>
  <si>
    <t xml:space="preserve">         SALIDA DE SISTEMA DE ALARMA SONORA</t>
  </si>
  <si>
    <t xml:space="preserve">      CANALIZACIONES, CONDUCTOS O TUBERIAS</t>
  </si>
  <si>
    <t xml:space="preserve">         CANALIZADORES DE TUBERIA DE PVC</t>
  </si>
  <si>
    <t xml:space="preserve">            CANALIZADOR DE TUBERIA PVC - SELL DE 20mm  EN INSTALACIONES Y COMUNICACIONES</t>
  </si>
  <si>
    <t xml:space="preserve">            CANALIZADOR DE TUBERIA PVC - SELL DE 25mm  EN TOMA CORRIENTES EMPOTRADAS EN EL PISO</t>
  </si>
  <si>
    <t xml:space="preserve">            CANALIZADOR DE TUBERIA PVC - SELL DE 35mm  EN INSTALACIONES Y COMUNICACIONES</t>
  </si>
  <si>
    <t xml:space="preserve">      CONDUCTORES Y CABLES DE ENERGIA</t>
  </si>
  <si>
    <t xml:space="preserve">         SUM. E INST. DE CONDUCTOR ELECTRICO DE 2 x 2.5mm2 TW + 1 x 2.5 mm 2 TW  (C-01)</t>
  </si>
  <si>
    <t xml:space="preserve">         SUM. E INST. DE CONDUCTOR ELECTRICO DE 2 x 4 mm2  TW + 1 x 4 mm2 TW  (C-03)</t>
  </si>
  <si>
    <t xml:space="preserve">         SUM. E INST. DE CONDUCTOR ELECTRICO DE 3 x 6mm2  N2XOH +1 x 6 mm2 N2XOH (C-04)</t>
  </si>
  <si>
    <t xml:space="preserve">         SUM. E INST. DE CONDUCTOR ELECTRICO DE 3 x 4mm2  N2XOH +1 x 4 mm2 N2XOH  (C-05)</t>
  </si>
  <si>
    <t xml:space="preserve">         SUM. E INST. DE CONDUCTOR ELECTRICO DE 3 x 4mm2  N2XOH +1 x 4 mm2 N2XOH (C-06)</t>
  </si>
  <si>
    <t xml:space="preserve">         SUM. E INST. DE CONDUCTOR ELECTRICO DE 3 x 4mm2  N2XOH +1 x 4 mm2 N2XOH (C-07)</t>
  </si>
  <si>
    <t xml:space="preserve">         SUM. E INST. DE CONDUCTOR ELECTRICO DE 3 x 6mm2  N2XOH +1 x 6 mm2 N2XOH (C-08)</t>
  </si>
  <si>
    <t xml:space="preserve">         SUM. E INST. DE CONDUCTOR ELECTRICO DE 3 x 4mm2  N2XOH +1 x 4 mm2 N2XOH (C-09)</t>
  </si>
  <si>
    <t xml:space="preserve">      SUM. E INST. DE EQUIPOS Y PLACAS DE TOMA CORRIENTE</t>
  </si>
  <si>
    <t xml:space="preserve">         SUM E INST. DE EQUIPOS DE ALUMBRADO</t>
  </si>
  <si>
    <t xml:space="preserve">            ALUMBRADO DE 18W TIPO LED ( DICROICO)</t>
  </si>
  <si>
    <t xml:space="preserve">            ALUMBRADO DE BRAQUETE ADOSADA 20 W</t>
  </si>
  <si>
    <t xml:space="preserve">         SUM E INST. DE PLACA DE TOMA CORRIENTE</t>
  </si>
  <si>
    <t xml:space="preserve">            TOMA CORRIENTE DOBLE</t>
  </si>
  <si>
    <t xml:space="preserve">            TOMA CORRIENTE DOBLE EN PISO</t>
  </si>
  <si>
    <t xml:space="preserve">            TOMA CORRIENTE TRIFASICO INDUSTRIAL CON PUESTA A TIERRA</t>
  </si>
  <si>
    <t xml:space="preserve">         SUM E INST. DE INTERRUPTORES</t>
  </si>
  <si>
    <t xml:space="preserve">            INTERRUPTOR SIMPLE</t>
  </si>
  <si>
    <t xml:space="preserve">            INTERRUPTOR DOBLE</t>
  </si>
  <si>
    <t xml:space="preserve">      TABLEROS ELECTRICOS</t>
  </si>
  <si>
    <t xml:space="preserve">         SUM. E INST. DE TABLERO GENERAL DE DISTRIBUCION 220 VAC - 3 Ø - 60Hz</t>
  </si>
  <si>
    <t xml:space="preserve">         SUM. E INST. DE TABLERO  DE DISTRIBUCION (TD-01) 220 VAC - 3 Ø - 60Hz</t>
  </si>
  <si>
    <t xml:space="preserve">         SUM. E INST. DE TABLERO  DE DISTRIBUCION (TD-02) 220 VAC - 3 Ø - 60Hz</t>
  </si>
  <si>
    <t xml:space="preserve">         SUM. E INST. DE TABLERO DE CONTROL DE BOMBAS 220 VAC - 3 Ø - 60Hz</t>
  </si>
  <si>
    <t xml:space="preserve">      POZO TIERRA</t>
  </si>
  <si>
    <t xml:space="preserve">         SUM. E INST. DE POZO TIERRA DE BAJA TENSION SEGÚN DISEÑO</t>
  </si>
  <si>
    <t xml:space="preserve">      ELECTROBOMBA</t>
  </si>
  <si>
    <t xml:space="preserve">         ELECTROBOMBA DE EJE VERTICAL Pot=2HP, ADT=18.00m</t>
  </si>
  <si>
    <t xml:space="preserve">      ARTEFACTOS</t>
  </si>
  <si>
    <t xml:space="preserve">         SUM. E INST. DE LUCES DE EMERGENCIA TIPO LED, AUTONOMIA DE 4 h</t>
  </si>
  <si>
    <t xml:space="preserve">         SUM E INST. DE AIRE ACONDICIONADO</t>
  </si>
  <si>
    <t xml:space="preserve">         SUM E INST. DE SENSORES CONTRA INCENDIO</t>
  </si>
  <si>
    <t xml:space="preserve">      PRUEBA ELECTRICA</t>
  </si>
  <si>
    <t xml:space="preserve">         PRUEBA ELECTRICAS: CONTINUIDAD, BAJA TENSION, MEGADO, MEDICION DE RESISTENCIA DE POZO A TIERRA, INFORME CON PROTOCOLOS DE PRUEBAS DE AISLAMIENTO Y RESISTENCIA DE POZO A TIERRA, PRUEBA DE CARGA</t>
  </si>
  <si>
    <t xml:space="preserve">      SALIDAS PARA ALUMBRADO, TOMACORRIENTES, FUERZA Y SEÑALES DÉBILES</t>
  </si>
  <si>
    <t xml:space="preserve">            SALIDA PARA ALUMBRADO EN TECHO</t>
  </si>
  <si>
    <t xml:space="preserve">            SALIDA PARA ALUMBRADO EN PARED</t>
  </si>
  <si>
    <t xml:space="preserve">            SALIDA PARA ALUMBRADO DE EMERGENCIA EN PARED</t>
  </si>
  <si>
    <t xml:space="preserve">            TAPA CIEGA PARA LUMINARIA</t>
  </si>
  <si>
    <t xml:space="preserve">            SALIDA PARA INTERRUPTOR</t>
  </si>
  <si>
    <t xml:space="preserve">            INTERRUPTOR</t>
  </si>
  <si>
    <t xml:space="preserve">            SALIDA PARA TOMACORRIENTES DE INTERIOR</t>
  </si>
  <si>
    <t xml:space="preserve">            TOMACORRIENTES DE INTERIOR</t>
  </si>
  <si>
    <t xml:space="preserve">            TOMACORRIENTES DE EXTERIOR</t>
  </si>
  <si>
    <t xml:space="preserve">            TAPA CIEGA PARA TOMACORRIENTES EN PARED</t>
  </si>
  <si>
    <t xml:space="preserve">         CANALIZACIONES, CONDUCTOS O TUBERÍAS</t>
  </si>
  <si>
    <t xml:space="preserve">            TUBERÍA PVC - P, D = 25MM</t>
  </si>
  <si>
    <t xml:space="preserve">         CONDUCTORES Y CABLES DE ENERGIA EN TUBERIAS</t>
  </si>
  <si>
    <t xml:space="preserve">            CABLE DE ENERGÍA</t>
  </si>
  <si>
    <t xml:space="preserve">         SISTEMAS DE CONDUCTOS</t>
  </si>
  <si>
    <t xml:space="preserve">            SISTEMA DE CONDUCTOS HACIA LOS PUNTOS ELÉCTRICOS</t>
  </si>
  <si>
    <t xml:space="preserve">         TABLERO ELÉCTRICO</t>
  </si>
  <si>
    <t xml:space="preserve">            MANTENIMIENTO Y LIMPIEZA DE TABLERO ELÉCTRICO</t>
  </si>
  <si>
    <t xml:space="preserve">         LUMINARIA TIPO 1</t>
  </si>
  <si>
    <t xml:space="preserve">         LUMINARIA TIPO 2</t>
  </si>
  <si>
    <t>CARTEL DE IDENTIFICACION DE LA OBRA DE 3.60X2.40 m</t>
  </si>
  <si>
    <t>CERCO PERIMETRICO PROVISIONAL DE MALLA RASCHELL H=2.10M</t>
  </si>
  <si>
    <t>CERCO PERIMETRICO PROVISIONAL METALICO H=2.10M PROVISIONAL</t>
  </si>
  <si>
    <t>ALMACEN, OFICINA Y CASETA DE GUARDIANIA DE TRIPLAY</t>
  </si>
  <si>
    <t>TRANSPORTES DE MAQUINARIAS, EQUIPO Y HERRAMIENTAS A OBRA</t>
  </si>
  <si>
    <t xml:space="preserve"> TRANSPORTES DE MATERIALES</t>
  </si>
  <si>
    <t>INSTALACIONES PROVISIONALES</t>
  </si>
  <si>
    <t>ALQUILER DE BAÑOS QUIMICOS PORTATILES</t>
  </si>
  <si>
    <t>SUM. E INST.  PARA EL PUNTO DE AGUA EN OBRA</t>
  </si>
  <si>
    <t>SUM. E INST. PARA EL PUNTO DE ENERGIA EN OBRA</t>
  </si>
  <si>
    <t>AGUA PROVISIONAL PARA LA CONSTRUCCION</t>
  </si>
  <si>
    <t>ENERGIA ELECTRICA PROVISIONAL</t>
  </si>
  <si>
    <t>CREMATORIO</t>
  </si>
  <si>
    <t>DESBROCE Y LIMPIEZA  MANUAL DEL TERRENO</t>
  </si>
  <si>
    <t>ELIMINACION DE MALEZA Y ARBUSTOS DE FACIL EXTRACCION</t>
  </si>
  <si>
    <t>VELATORIO</t>
  </si>
  <si>
    <t xml:space="preserve"> DEMOLICIÓN DE MUROS EXISTENTES</t>
  </si>
  <si>
    <t>DESMONTAJE DE APARATOS SANITARIOS EXISTENTES EN LA OFICINA DE ADMINISTRACIÓN</t>
  </si>
  <si>
    <t>RETIRO DE CERÁMICO EXISTENTE EN LA OFICINA</t>
  </si>
  <si>
    <t>RETIRO DE PISO EXISTENTE EN NUEVA ZONA DE KITCHENETTE Y CANALETAS</t>
  </si>
  <si>
    <t>DESMONTAJE DE SISTEMAS ELECTRICOS, INC. SELLADO DE SALIDAS SEGÚN PLANO</t>
  </si>
  <si>
    <t xml:space="preserve"> DESMONTAJE DE SISTEMAS DE COMUNICACIONES Y REDES</t>
  </si>
  <si>
    <t>ELIMINACION DE MATERIAL EXCEDENTE C/VOLQ. 15M3, D=10km</t>
  </si>
  <si>
    <t>COLUMBARIO</t>
  </si>
  <si>
    <t>SEGURIDAD Y SALUD EN EL TRABAJO</t>
  </si>
  <si>
    <t>ELABORACIÓN, IMPLEMENTACIÓN Y ADMINISTRACIÓN DEL PLAN DE SEGURIDAD Y SALUD EN EL TRABAJO</t>
  </si>
  <si>
    <t>SEÑALIZACIÓN TEMPORAL DE SEGURIDAD</t>
  </si>
  <si>
    <t>RECURSOS PARA RESPUESTAS ANTE EMERGENCIAS</t>
  </si>
  <si>
    <t>PLAN DE MANEJO AMBIENTAL</t>
  </si>
  <si>
    <t>PROGRAMA DE PREVENCION Y MITIGACION AMBIENTAL</t>
  </si>
  <si>
    <t>JUNTA DE DILATACION CON TECNOPORT DE 1" e=2.5cm, CON MATERIAL SELLANTE</t>
  </si>
  <si>
    <t>CONSTRUCCIONES PROVISIONALES</t>
  </si>
  <si>
    <t>TRAZO NIVELACION Y REPLANTEO INICIAL</t>
  </si>
  <si>
    <t>ING. JOSE ISMAEL MOSCOSO PINGO</t>
  </si>
  <si>
    <t>ING.  JOSE ISMAEL MOSCOSO PINGO</t>
  </si>
  <si>
    <t>perfecto VLIZACION 01</t>
  </si>
  <si>
    <t>adelantada</t>
  </si>
  <si>
    <t>SUSTENTO DE METRADOS EJECUTADOS DURANTE EL PERIODO</t>
  </si>
  <si>
    <t>LARGO</t>
  </si>
  <si>
    <t xml:space="preserve">ANCHO </t>
  </si>
  <si>
    <t xml:space="preserve">ALTURA </t>
  </si>
  <si>
    <t xml:space="preserve">Nº DE VECES </t>
  </si>
  <si>
    <t>PARCIAL</t>
  </si>
  <si>
    <t>TOTAL</t>
  </si>
  <si>
    <t>01</t>
  </si>
  <si>
    <t>02.04</t>
  </si>
  <si>
    <t>AVANCE DE EJECUCIÓN</t>
  </si>
  <si>
    <t>MONTO TOTAL A PAGAR AL CONTRATISTA</t>
  </si>
  <si>
    <t>5.3</t>
  </si>
  <si>
    <t>TOTAL A PAGAR AL CONTRATISTA (VN+IGV-R)</t>
  </si>
  <si>
    <t>Plazo de ejecución, en d. c.</t>
  </si>
  <si>
    <t>CIP N°259230</t>
  </si>
  <si>
    <t>CONSTRUCCION DE CREMATORIO, COLUMBARIO Y VELATORIO EN EL CEMENTERIO MUNICIPAL DE SURCO</t>
  </si>
  <si>
    <t>VALORIZACIÓN N° 02 (PERIODO 01 AL 30 DE NOVIEMBRE 2025)</t>
  </si>
  <si>
    <t>VALORIZACIÓN N° 0 (PERIODO 01 AL 30 DE NOVIEMBRE 2025)</t>
  </si>
  <si>
    <t>área =</t>
  </si>
  <si>
    <t>vol =</t>
  </si>
  <si>
    <t>COLUMNA C-01</t>
  </si>
  <si>
    <t>COLUMNA C-02</t>
  </si>
  <si>
    <t>COLUMNA C-03</t>
  </si>
  <si>
    <t>COLUMNA C-04</t>
  </si>
  <si>
    <t>PLACA PL-1</t>
  </si>
  <si>
    <t>VP-01 A4</t>
  </si>
  <si>
    <t>VP-01 eje 4 entre a-b</t>
  </si>
  <si>
    <t>VP-01 eje 4 entre b-c</t>
  </si>
  <si>
    <t>VP-01 eje 4 entre c-d</t>
  </si>
  <si>
    <t>VP-01 eje 4 entre d-e</t>
  </si>
  <si>
    <t>VP-02 eje 2 entre a-b</t>
  </si>
  <si>
    <t>VP-02 eje 2 entre b-c</t>
  </si>
  <si>
    <t>VP-03 eje 1 entre a-b</t>
  </si>
  <si>
    <t>VP-03 eje 1 entre b-c</t>
  </si>
  <si>
    <t>VP-03 eje 1 entre c-d</t>
  </si>
  <si>
    <t>VP-03 eje 1 entre d-e</t>
  </si>
  <si>
    <t>VP-04 eje a entre 1-2</t>
  </si>
  <si>
    <t>VP-04 eje a entre 2-3</t>
  </si>
  <si>
    <t>VP-04 eje a entre 3.4</t>
  </si>
  <si>
    <t>VP-05 eje b entre 1-2</t>
  </si>
  <si>
    <t>VP-05 eje b entre 2-3</t>
  </si>
  <si>
    <t>VP-06 eje b entre 1-2</t>
  </si>
  <si>
    <t>VP-06 eje b entre 2-3</t>
  </si>
  <si>
    <t>VP-07</t>
  </si>
  <si>
    <t>VP-08</t>
  </si>
  <si>
    <t>VG-CH</t>
  </si>
  <si>
    <t>Va</t>
  </si>
  <si>
    <t xml:space="preserve">entre eje a-b y 1-2 </t>
  </si>
  <si>
    <t xml:space="preserve">entre eje b-c y 1-2 </t>
  </si>
  <si>
    <t>entre eje a-b y 2-3</t>
  </si>
  <si>
    <t>entre eje b-c y 2-3</t>
  </si>
  <si>
    <t>entre eje c-d y 2-4</t>
  </si>
  <si>
    <t>entre eje c-d y 1-2</t>
  </si>
  <si>
    <t>entre ejes d-e  y 1-4</t>
  </si>
  <si>
    <t>losa de cisterna</t>
  </si>
  <si>
    <t>pared de cisterna</t>
  </si>
  <si>
    <t xml:space="preserve"> -muro</t>
  </si>
  <si>
    <t>en el kitchemette y canaletas</t>
  </si>
  <si>
    <t xml:space="preserve">en la antesala </t>
  </si>
  <si>
    <t>area</t>
  </si>
  <si>
    <t>excavacion de cimentacion en el kitchenette</t>
  </si>
  <si>
    <t xml:space="preserve">excavacion por factor de esponjamiento </t>
  </si>
  <si>
    <t xml:space="preserve">volumen </t>
  </si>
  <si>
    <t>bloque 1</t>
  </si>
  <si>
    <t>bloque 2</t>
  </si>
  <si>
    <t>bloque 3</t>
  </si>
  <si>
    <t>P-01</t>
  </si>
  <si>
    <t>P-02</t>
  </si>
  <si>
    <t>P-03</t>
  </si>
  <si>
    <t xml:space="preserve">             BLOQUE 1</t>
  </si>
  <si>
    <t xml:space="preserve">             LOSA E=0.10m</t>
  </si>
  <si>
    <t xml:space="preserve">             LOSA E=0.20m</t>
  </si>
  <si>
    <t xml:space="preserve">            BLOQUE 2</t>
  </si>
  <si>
    <t xml:space="preserve">            LOSA E=0.10m</t>
  </si>
  <si>
    <t xml:space="preserve">            LOSA E=0.20m</t>
  </si>
  <si>
    <t xml:space="preserve">            BLOQUE 3</t>
  </si>
  <si>
    <t xml:space="preserve">            HORNO PARA CREMACION DE HUMANOS</t>
  </si>
  <si>
    <t xml:space="preserve">             EQUIPO PARA CREMACION DE HUMANOS</t>
  </si>
  <si>
    <t xml:space="preserve">             EQUIPO MOLEDOR DE HUESOS</t>
  </si>
  <si>
    <t xml:space="preserve">             RASTRILLOS</t>
  </si>
  <si>
    <t xml:space="preserve">             BANDEJA DE CENIZAS</t>
  </si>
  <si>
    <t xml:space="preserve">              CAMMILLA RODANTE PORTA FERETROS</t>
  </si>
  <si>
    <t xml:space="preserve">              CARRITO DE ELEVACION CUERPOS</t>
  </si>
  <si>
    <t xml:space="preserve">               CAMARA MORTUORIA FRIGORIFICA</t>
  </si>
  <si>
    <t>LOSA E=0.1M</t>
  </si>
  <si>
    <t>LOSA E=0.20M</t>
  </si>
  <si>
    <t>longitud</t>
  </si>
  <si>
    <t>#VAR</t>
  </si>
  <si>
    <t>KG7M</t>
  </si>
  <si>
    <t>RETENCIONES 10 % (YA SE COMPLETÓ)</t>
  </si>
  <si>
    <t>CONTROL GENERAL DE AVANCE DE OBRA (01 AL 31 DE DICIEMBRE)</t>
  </si>
  <si>
    <t>DICIEMBRE 2025</t>
  </si>
  <si>
    <t>RESUMEN DE LA VALORIZACIÓN N° 03 (01 AL 31 DE DICIEMBRE 2025)</t>
  </si>
  <si>
    <t>VALORIZACIÓN N° 03 (01 AL 31 DE DICIEMBRE DE 2025)</t>
  </si>
  <si>
    <t xml:space="preserve">VALORIZACIÓN CONTRACTUAL DE OBRA Nº 03
(01 al 31 de DICIEMBRE)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</si>
</sst>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-* #,##0.00_-;\-* #,##0.00_-;_-* &quot;-&quot;??_-;_-@_-"/>
    <numFmt numFmtId="164" formatCode="_-&quot;S/&quot;* #,##0.00_-;\-&quot;S/&quot;* #,##0.00_-;_-&quot;S/&quot;* &quot;-&quot;??_-;_-@_-"/>
    <numFmt numFmtId="165" formatCode="&quot;S/.&quot;\ #,##0.00;[Red]&quot;S/.&quot;\ \-#,##0.00"/>
    <numFmt numFmtId="166" formatCode="_ * #,##0.00_ ;_ * \-#,##0.00_ ;_ * &quot;-&quot;??_ ;_ @_ "/>
    <numFmt numFmtId="167" formatCode="#.00"/>
    <numFmt numFmtId="168" formatCode="###,###,###,##0.00"/>
    <numFmt numFmtId="169" formatCode="_(* #,##0.00_);_(* \(#,##0.00\);_(* &quot;-&quot;??_);_(@_)"/>
    <numFmt numFmtId="170" formatCode="_-* #,##0.00\ _€_-;\-* #,##0.00\ _€_-;_-* &quot;-&quot;??\ _€_-;_-@_-"/>
    <numFmt numFmtId="171" formatCode="0.0"/>
    <numFmt numFmtId="172" formatCode="_-[$S/-280A]\ * #,##0.00_-;\-[$S/-280A]\ * #,##0.00_-;_-[$S/-280A]\ * &quot;-&quot;??_-;_-@_-"/>
    <numFmt numFmtId="173" formatCode="[$-C0A]mmmm\-yy;@"/>
    <numFmt numFmtId="174" formatCode="0.000"/>
    <numFmt numFmtId="175" formatCode="0.000%"/>
    <numFmt numFmtId="176" formatCode="[$S/.-280A]\ #,##0.00"/>
    <numFmt numFmtId="177" formatCode="00"/>
    <numFmt numFmtId="178" formatCode="_(* #,##0.000_);_(* \(#,##0.000\);_(* &quot;-&quot;??_);_(@_)"/>
  </numFmts>
  <fonts count="11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11"/>
      <color indexed="10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8"/>
      <name val="Arial"/>
      <family val="2"/>
    </font>
    <font>
      <sz val="10"/>
      <color indexed="8"/>
      <name val="MS Sans Serif"/>
    </font>
    <font>
      <sz val="12"/>
      <name val="Arial Narrow"/>
      <family val="2"/>
    </font>
    <font>
      <b/>
      <sz val="12"/>
      <name val="Arial Narrow"/>
      <family val="2"/>
    </font>
    <font>
      <sz val="14"/>
      <name val="Arial Narrow"/>
      <family val="2"/>
    </font>
    <font>
      <b/>
      <sz val="14"/>
      <name val="Arial Narrow"/>
      <family val="2"/>
    </font>
    <font>
      <sz val="11"/>
      <name val="Arial Narrow"/>
      <family val="2"/>
    </font>
    <font>
      <b/>
      <sz val="16"/>
      <name val="Arial Narrow"/>
      <family val="2"/>
    </font>
    <font>
      <sz val="10"/>
      <name val="Swis721 LtCn BT"/>
      <family val="2"/>
    </font>
    <font>
      <b/>
      <sz val="10"/>
      <name val="Swis721 LtCn BT"/>
      <family val="2"/>
    </font>
    <font>
      <sz val="9"/>
      <name val="Arial Narrow"/>
      <family val="2"/>
    </font>
    <font>
      <sz val="10"/>
      <color indexed="12"/>
      <name val="Swis721 LtCn BT"/>
      <family val="2"/>
    </font>
    <font>
      <b/>
      <sz val="9"/>
      <name val="Arial Narrow"/>
      <family val="2"/>
    </font>
    <font>
      <sz val="11"/>
      <color theme="1"/>
      <name val="Calibri"/>
      <family val="2"/>
      <scheme val="minor"/>
    </font>
    <font>
      <sz val="12"/>
      <color rgb="FF000000"/>
      <name val="Arial Narrow"/>
      <family val="2"/>
    </font>
    <font>
      <sz val="11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0"/>
      <color theme="1"/>
      <name val="Arial Narrow"/>
      <family val="2"/>
    </font>
    <font>
      <i/>
      <sz val="12"/>
      <color rgb="FF000000"/>
      <name val="Arial Narrow"/>
      <family val="2"/>
    </font>
    <font>
      <b/>
      <sz val="12"/>
      <color rgb="FF000000"/>
      <name val="Arial Narrow"/>
      <family val="2"/>
    </font>
    <font>
      <b/>
      <sz val="12"/>
      <color rgb="FF800080"/>
      <name val="Arial Narrow"/>
      <family val="2"/>
    </font>
    <font>
      <sz val="10"/>
      <color theme="1"/>
      <name val="Arial Narrow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name val="Arial Narrow"/>
      <family val="2"/>
    </font>
    <font>
      <b/>
      <sz val="26"/>
      <name val="Arial Narrow"/>
      <family val="2"/>
    </font>
    <font>
      <sz val="10"/>
      <color indexed="8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1"/>
      <color indexed="8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sz val="10"/>
      <color indexed="8"/>
      <name val="MS Sans Serif"/>
      <family val="2"/>
    </font>
    <font>
      <sz val="9"/>
      <name val="Century Gothic"/>
      <family val="2"/>
    </font>
    <font>
      <sz val="8"/>
      <color rgb="FF000000"/>
      <name val="Arial Narrow"/>
      <family val="2"/>
    </font>
    <font>
      <sz val="10"/>
      <color indexed="10"/>
      <name val="Arial Narrow"/>
      <family val="2"/>
    </font>
    <font>
      <b/>
      <sz val="10"/>
      <color rgb="FFFF0000"/>
      <name val="Arial Narrow"/>
      <family val="2"/>
    </font>
    <font>
      <i/>
      <sz val="10"/>
      <name val="Arial Narrow"/>
      <family val="2"/>
    </font>
    <font>
      <b/>
      <sz val="8"/>
      <color theme="5" tint="-0.249977111117893"/>
      <name val="Arial Narrow"/>
      <family val="2"/>
    </font>
    <font>
      <sz val="9"/>
      <color theme="4" tint="-0.249977111117893"/>
      <name val="Arial Narrow"/>
      <family val="2"/>
    </font>
    <font>
      <sz val="10"/>
      <color indexed="20"/>
      <name val="Arial Narrow"/>
      <family val="2"/>
    </font>
    <font>
      <b/>
      <i/>
      <u/>
      <sz val="10"/>
      <name val="Arial Narrow"/>
      <family val="2"/>
    </font>
    <font>
      <b/>
      <sz val="8"/>
      <name val="Arial Narrow"/>
      <family val="2"/>
    </font>
    <font>
      <b/>
      <sz val="9"/>
      <color theme="1"/>
      <name val="Arial Narrow"/>
      <family val="2"/>
    </font>
    <font>
      <sz val="9"/>
      <color theme="1"/>
      <name val="Arial Narrow"/>
      <family val="2"/>
    </font>
    <font>
      <i/>
      <sz val="9"/>
      <name val="Arial Narrow"/>
      <family val="2"/>
    </font>
    <font>
      <sz val="9"/>
      <color rgb="FF000000"/>
      <name val="Arial Narrow"/>
      <family val="2"/>
    </font>
    <font>
      <sz val="9"/>
      <color indexed="8"/>
      <name val="Arial Narrow"/>
      <family val="2"/>
    </font>
    <font>
      <sz val="10"/>
      <color rgb="FFFF0000"/>
      <name val="Swis721 LtCn BT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sz val="14"/>
      <color rgb="FF000000"/>
      <name val="Arial"/>
      <family val="2"/>
    </font>
    <font>
      <b/>
      <sz val="8"/>
      <name val="Arial"/>
      <family val="2"/>
    </font>
    <font>
      <sz val="10"/>
      <color rgb="FF002060"/>
      <name val="Arial"/>
      <family val="2"/>
    </font>
    <font>
      <sz val="10"/>
      <color rgb="FFFF0000"/>
      <name val="Arial Narrow"/>
      <family val="2"/>
    </font>
    <font>
      <b/>
      <sz val="13"/>
      <name val="Arial Narrow"/>
      <family val="2"/>
    </font>
    <font>
      <b/>
      <sz val="18"/>
      <color theme="1"/>
      <name val="Calibri"/>
      <family val="2"/>
      <scheme val="minor"/>
    </font>
    <font>
      <sz val="10"/>
      <color rgb="FF004E9A"/>
      <name val="Swis721 LtCn BT"/>
      <family val="2"/>
    </font>
    <font>
      <b/>
      <sz val="8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indexed="10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8"/>
      <name val="Century Gothic"/>
      <family val="2"/>
    </font>
    <font>
      <b/>
      <sz val="8"/>
      <color indexed="10"/>
      <name val="Century Gothic"/>
      <family val="2"/>
    </font>
    <font>
      <b/>
      <sz val="8"/>
      <name val="Century Gothic"/>
      <family val="2"/>
    </font>
    <font>
      <b/>
      <sz val="8"/>
      <color indexed="10"/>
      <name val="Book Antiqua"/>
      <family val="1"/>
    </font>
    <font>
      <sz val="8"/>
      <name val="Book Antiqua"/>
      <family val="1"/>
    </font>
    <font>
      <b/>
      <sz val="8"/>
      <name val="Book Antiqua"/>
      <family val="1"/>
    </font>
    <font>
      <b/>
      <sz val="8"/>
      <color rgb="FFFF0000"/>
      <name val="Century Gothic"/>
      <family val="2"/>
    </font>
    <font>
      <b/>
      <sz val="8"/>
      <color rgb="FFFF0000"/>
      <name val="Book Antiqua"/>
      <family val="1"/>
    </font>
    <font>
      <b/>
      <sz val="8"/>
      <color rgb="FFFF0000"/>
      <name val="Arial Narrow"/>
      <family val="2"/>
    </font>
    <font>
      <b/>
      <sz val="8"/>
      <color theme="4"/>
      <name val="Arial"/>
      <family val="2"/>
    </font>
    <font>
      <b/>
      <sz val="8"/>
      <color theme="4"/>
      <name val="Arial Narrow"/>
      <family val="2"/>
    </font>
    <font>
      <b/>
      <sz val="8"/>
      <color theme="5" tint="-0.249977111117893"/>
      <name val="Arial"/>
      <family val="2"/>
    </font>
    <font>
      <sz val="8"/>
      <color indexed="8"/>
      <name val="Arial Narrow"/>
      <family val="2"/>
    </font>
    <font>
      <b/>
      <sz val="8"/>
      <color indexed="8"/>
      <name val="Arial"/>
      <family val="2"/>
    </font>
    <font>
      <b/>
      <sz val="8"/>
      <color indexed="8"/>
      <name val="Arial Narrow"/>
      <family val="2"/>
    </font>
    <font>
      <b/>
      <sz val="8"/>
      <color rgb="FF7030A0"/>
      <name val="Arial"/>
      <family val="2"/>
    </font>
    <font>
      <b/>
      <sz val="8"/>
      <color rgb="FF7030A0"/>
      <name val="Arial Narrow"/>
      <family val="2"/>
    </font>
    <font>
      <sz val="8"/>
      <color indexed="8"/>
      <name val="Arial"/>
      <family val="2"/>
    </font>
    <font>
      <b/>
      <sz val="8"/>
      <color rgb="FF000000"/>
      <name val="Arial Narrow"/>
      <family val="2"/>
    </font>
    <font>
      <b/>
      <sz val="8"/>
      <color theme="1"/>
      <name val="Century Gothic"/>
      <family val="2"/>
    </font>
    <font>
      <sz val="8"/>
      <color indexed="8"/>
      <name val="Century Gothic"/>
      <family val="2"/>
    </font>
    <font>
      <b/>
      <sz val="11"/>
      <name val="Swis721 LtCn BT"/>
      <family val="2"/>
    </font>
    <font>
      <sz val="11"/>
      <name val="Swis721 LtCn BT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6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3FCB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9FEB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C6D5D6"/>
        <bgColor indexed="64"/>
      </patternFill>
    </fill>
  </fills>
  <borders count="8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83">
    <xf numFmtId="0" fontId="0" fillId="0" borderId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8" borderId="0" applyNumberFormat="0" applyBorder="0" applyAlignment="0" applyProtection="0"/>
    <xf numFmtId="0" fontId="1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3" borderId="0" applyNumberFormat="0" applyBorder="0" applyAlignment="0" applyProtection="0"/>
    <xf numFmtId="0" fontId="4" fillId="8" borderId="0" applyNumberFormat="0" applyBorder="0" applyAlignment="0" applyProtection="0"/>
    <xf numFmtId="0" fontId="4" fillId="4" borderId="0" applyNumberFormat="0" applyBorder="0" applyAlignment="0" applyProtection="0"/>
    <xf numFmtId="0" fontId="5" fillId="8" borderId="0" applyNumberFormat="0" applyBorder="0" applyAlignment="0" applyProtection="0"/>
    <xf numFmtId="0" fontId="14" fillId="13" borderId="1" applyNumberFormat="0" applyAlignment="0" applyProtection="0"/>
    <xf numFmtId="0" fontId="6" fillId="14" borderId="2" applyNumberFormat="0" applyAlignment="0" applyProtection="0"/>
    <xf numFmtId="0" fontId="10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4" fillId="15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7" borderId="0" applyNumberFormat="0" applyBorder="0" applyAlignment="0" applyProtection="0"/>
    <xf numFmtId="0" fontId="4" fillId="12" borderId="0" applyNumberFormat="0" applyBorder="0" applyAlignment="0" applyProtection="0"/>
    <xf numFmtId="0" fontId="4" fillId="16" borderId="0" applyNumberFormat="0" applyBorder="0" applyAlignment="0" applyProtection="0"/>
    <xf numFmtId="0" fontId="7" fillId="9" borderId="1" applyNumberFormat="0" applyAlignment="0" applyProtection="0"/>
    <xf numFmtId="167" fontId="20" fillId="0" borderId="0">
      <protection locked="0"/>
    </xf>
    <xf numFmtId="167" fontId="20" fillId="0" borderId="0">
      <protection locked="0"/>
    </xf>
    <xf numFmtId="167" fontId="21" fillId="0" borderId="0">
      <protection locked="0"/>
    </xf>
    <xf numFmtId="167" fontId="20" fillId="0" borderId="0">
      <protection locked="0"/>
    </xf>
    <xf numFmtId="167" fontId="20" fillId="0" borderId="0">
      <protection locked="0"/>
    </xf>
    <xf numFmtId="167" fontId="20" fillId="0" borderId="0">
      <protection locked="0"/>
    </xf>
    <xf numFmtId="167" fontId="21" fillId="0" borderId="0">
      <protection locked="0"/>
    </xf>
    <xf numFmtId="0" fontId="8" fillId="6" borderId="0" applyNumberFormat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3" fillId="0" borderId="0" applyFont="0" applyFill="0" applyBorder="0" applyAlignment="0" applyProtection="0"/>
    <xf numFmtId="169" fontId="13" fillId="0" borderId="0" applyFont="0" applyFill="0" applyBorder="0" applyAlignment="0" applyProtection="0">
      <alignment vertical="center"/>
    </xf>
    <xf numFmtId="169" fontId="13" fillId="0" borderId="0" applyFont="0" applyFill="0" applyBorder="0" applyAlignment="0" applyProtection="0"/>
    <xf numFmtId="0" fontId="16" fillId="9" borderId="0" applyNumberFormat="0" applyBorder="0" applyAlignment="0" applyProtection="0"/>
    <xf numFmtId="0" fontId="2" fillId="0" borderId="0">
      <alignment vertical="top"/>
    </xf>
    <xf numFmtId="0" fontId="22" fillId="0" borderId="0">
      <alignment vertical="center"/>
    </xf>
    <xf numFmtId="0" fontId="13" fillId="0" borderId="0"/>
    <xf numFmtId="0" fontId="23" fillId="0" borderId="0"/>
    <xf numFmtId="0" fontId="2" fillId="0" borderId="0">
      <alignment vertical="top"/>
    </xf>
    <xf numFmtId="0" fontId="22" fillId="0" borderId="0">
      <alignment vertical="center"/>
    </xf>
    <xf numFmtId="0" fontId="13" fillId="5" borderId="4" applyNumberFormat="0" applyFont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0" fontId="9" fillId="13" borderId="5" applyNumberForma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5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2" fillId="0" borderId="9" applyNumberFormat="0" applyFill="0" applyAlignment="0" applyProtection="0"/>
    <xf numFmtId="0" fontId="56" fillId="0" borderId="0"/>
    <xf numFmtId="43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22" fillId="0" borderId="0">
      <alignment vertical="center"/>
    </xf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5" fillId="0" borderId="0"/>
    <xf numFmtId="43" fontId="57" fillId="0" borderId="0" applyFont="0" applyFill="0" applyBorder="0" applyAlignment="0" applyProtection="0"/>
    <xf numFmtId="0" fontId="35" fillId="0" borderId="0"/>
    <xf numFmtId="9" fontId="57" fillId="0" borderId="0" applyFont="0" applyFill="0" applyBorder="0" applyAlignment="0" applyProtection="0"/>
    <xf numFmtId="0" fontId="58" fillId="0" borderId="0"/>
    <xf numFmtId="0" fontId="13" fillId="0" borderId="0"/>
    <xf numFmtId="0" fontId="59" fillId="0" borderId="0"/>
    <xf numFmtId="9" fontId="13" fillId="0" borderId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top"/>
    </xf>
    <xf numFmtId="0" fontId="13" fillId="0" borderId="0" applyFont="0" applyFill="0" applyBorder="0" applyAlignment="0" applyProtection="0"/>
    <xf numFmtId="166" fontId="35" fillId="0" borderId="0" applyFont="0" applyFill="0" applyBorder="0" applyAlignment="0" applyProtection="0"/>
    <xf numFmtId="164" fontId="35" fillId="0" borderId="0" applyFont="0" applyFill="0" applyBorder="0" applyAlignment="0" applyProtection="0"/>
  </cellStyleXfs>
  <cellXfs count="733">
    <xf numFmtId="0" fontId="0" fillId="0" borderId="0" xfId="0"/>
    <xf numFmtId="0" fontId="24" fillId="0" borderId="0" xfId="50" applyFont="1">
      <alignment vertical="center"/>
    </xf>
    <xf numFmtId="0" fontId="24" fillId="0" borderId="0" xfId="50" applyFont="1" applyAlignment="1">
      <alignment vertical="top"/>
    </xf>
    <xf numFmtId="0" fontId="36" fillId="0" borderId="0" xfId="50" applyFont="1" applyAlignment="1">
      <alignment horizontal="center" vertical="center"/>
    </xf>
    <xf numFmtId="0" fontId="36" fillId="0" borderId="0" xfId="50" applyFont="1" applyAlignment="1">
      <alignment horizontal="center"/>
    </xf>
    <xf numFmtId="0" fontId="36" fillId="0" borderId="0" xfId="50" applyFont="1" applyAlignment="1"/>
    <xf numFmtId="0" fontId="24" fillId="0" borderId="0" xfId="50" applyFont="1" applyAlignment="1">
      <alignment horizontal="center" vertical="center"/>
    </xf>
    <xf numFmtId="0" fontId="37" fillId="0" borderId="0" xfId="0" applyFont="1"/>
    <xf numFmtId="0" fontId="38" fillId="0" borderId="0" xfId="0" applyFont="1"/>
    <xf numFmtId="0" fontId="39" fillId="0" borderId="24" xfId="0" applyFont="1" applyBorder="1" applyAlignment="1">
      <alignment horizontal="center" vertical="center"/>
    </xf>
    <xf numFmtId="171" fontId="38" fillId="0" borderId="21" xfId="0" applyNumberFormat="1" applyFont="1" applyBorder="1" applyAlignment="1">
      <alignment horizontal="center" vertical="center"/>
    </xf>
    <xf numFmtId="0" fontId="38" fillId="0" borderId="21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171" fontId="38" fillId="0" borderId="20" xfId="0" applyNumberFormat="1" applyFont="1" applyBorder="1" applyAlignment="1">
      <alignment horizontal="center" vertical="center"/>
    </xf>
    <xf numFmtId="0" fontId="38" fillId="0" borderId="16" xfId="0" applyFont="1" applyBorder="1" applyAlignment="1">
      <alignment horizontal="center" vertical="center"/>
    </xf>
    <xf numFmtId="171" fontId="38" fillId="0" borderId="22" xfId="0" applyNumberFormat="1" applyFont="1" applyBorder="1" applyAlignment="1">
      <alignment horizontal="center" vertical="center"/>
    </xf>
    <xf numFmtId="171" fontId="38" fillId="0" borderId="24" xfId="0" applyNumberFormat="1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/>
    </xf>
    <xf numFmtId="0" fontId="39" fillId="0" borderId="21" xfId="0" applyFont="1" applyBorder="1" applyAlignment="1">
      <alignment horizontal="center"/>
    </xf>
    <xf numFmtId="0" fontId="39" fillId="0" borderId="15" xfId="0" applyFont="1" applyBorder="1" applyAlignment="1">
      <alignment horizontal="center"/>
    </xf>
    <xf numFmtId="0" fontId="37" fillId="0" borderId="0" xfId="0" applyFont="1" applyAlignment="1">
      <alignment vertical="center"/>
    </xf>
    <xf numFmtId="0" fontId="40" fillId="0" borderId="24" xfId="0" applyFont="1" applyBorder="1" applyAlignment="1">
      <alignment horizontal="center" vertical="center" wrapText="1"/>
    </xf>
    <xf numFmtId="0" fontId="40" fillId="0" borderId="21" xfId="0" applyFont="1" applyBorder="1" applyAlignment="1">
      <alignment horizontal="center" vertical="center" wrapText="1"/>
    </xf>
    <xf numFmtId="0" fontId="40" fillId="0" borderId="15" xfId="0" applyFont="1" applyBorder="1" applyAlignment="1">
      <alignment horizontal="center" vertical="center" wrapText="1"/>
    </xf>
    <xf numFmtId="0" fontId="36" fillId="0" borderId="0" xfId="50" applyFont="1" applyAlignment="1">
      <alignment horizontal="left" vertical="top" wrapText="1"/>
    </xf>
    <xf numFmtId="0" fontId="24" fillId="0" borderId="0" xfId="50" applyFont="1" applyAlignment="1">
      <alignment horizontal="center"/>
    </xf>
    <xf numFmtId="0" fontId="24" fillId="0" borderId="0" xfId="50" applyFont="1" applyAlignment="1"/>
    <xf numFmtId="0" fontId="42" fillId="0" borderId="0" xfId="50" applyFont="1" applyAlignment="1">
      <alignment horizontal="left" vertical="center" wrapText="1"/>
    </xf>
    <xf numFmtId="0" fontId="36" fillId="0" borderId="0" xfId="50" applyFont="1" applyAlignment="1">
      <alignment horizontal="right" vertical="top"/>
    </xf>
    <xf numFmtId="166" fontId="42" fillId="0" borderId="0" xfId="50" applyNumberFormat="1" applyFont="1" applyAlignment="1">
      <alignment horizontal="center" vertical="top"/>
    </xf>
    <xf numFmtId="4" fontId="43" fillId="0" borderId="0" xfId="50" applyNumberFormat="1" applyFont="1" applyAlignment="1">
      <alignment horizontal="right"/>
    </xf>
    <xf numFmtId="4" fontId="25" fillId="0" borderId="0" xfId="50" applyNumberFormat="1" applyFont="1" applyAlignment="1">
      <alignment vertical="top"/>
    </xf>
    <xf numFmtId="10" fontId="35" fillId="0" borderId="29" xfId="52" applyNumberFormat="1" applyFont="1" applyBorder="1" applyAlignment="1">
      <alignment horizontal="center"/>
    </xf>
    <xf numFmtId="10" fontId="35" fillId="0" borderId="13" xfId="52" applyNumberFormat="1" applyFont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0" fontId="31" fillId="18" borderId="43" xfId="47" applyFont="1" applyFill="1" applyBorder="1" applyAlignment="1">
      <alignment vertical="center"/>
    </xf>
    <xf numFmtId="0" fontId="31" fillId="18" borderId="44" xfId="47" applyFont="1" applyFill="1" applyBorder="1" applyAlignment="1">
      <alignment vertical="center" wrapText="1"/>
    </xf>
    <xf numFmtId="0" fontId="31" fillId="18" borderId="44" xfId="47" applyFont="1" applyFill="1" applyBorder="1" applyAlignment="1">
      <alignment vertical="center"/>
    </xf>
    <xf numFmtId="0" fontId="37" fillId="0" borderId="24" xfId="0" applyFont="1" applyBorder="1" applyAlignment="1">
      <alignment horizontal="center" vertical="center"/>
    </xf>
    <xf numFmtId="4" fontId="38" fillId="0" borderId="17" xfId="0" applyNumberFormat="1" applyFont="1" applyBorder="1" applyAlignment="1">
      <alignment horizontal="center" vertical="center"/>
    </xf>
    <xf numFmtId="4" fontId="37" fillId="0" borderId="24" xfId="0" applyNumberFormat="1" applyFont="1" applyBorder="1" applyAlignment="1">
      <alignment horizontal="center" vertical="center"/>
    </xf>
    <xf numFmtId="10" fontId="37" fillId="0" borderId="25" xfId="0" applyNumberFormat="1" applyFont="1" applyBorder="1" applyAlignment="1">
      <alignment horizontal="center" vertical="center"/>
    </xf>
    <xf numFmtId="10" fontId="37" fillId="0" borderId="29" xfId="0" applyNumberFormat="1" applyFont="1" applyBorder="1" applyAlignment="1">
      <alignment horizontal="center" vertical="center"/>
    </xf>
    <xf numFmtId="4" fontId="37" fillId="0" borderId="21" xfId="0" applyNumberFormat="1" applyFont="1" applyBorder="1" applyAlignment="1">
      <alignment horizontal="center" vertical="center"/>
    </xf>
    <xf numFmtId="10" fontId="37" fillId="0" borderId="12" xfId="0" applyNumberFormat="1" applyFont="1" applyBorder="1" applyAlignment="1">
      <alignment horizontal="center" vertical="center"/>
    </xf>
    <xf numFmtId="10" fontId="37" fillId="0" borderId="13" xfId="0" applyNumberFormat="1" applyFont="1" applyBorder="1" applyAlignment="1">
      <alignment horizontal="center" vertical="center"/>
    </xf>
    <xf numFmtId="4" fontId="38" fillId="0" borderId="29" xfId="0" applyNumberFormat="1" applyFont="1" applyBorder="1" applyAlignment="1">
      <alignment horizontal="center" vertical="center"/>
    </xf>
    <xf numFmtId="4" fontId="38" fillId="0" borderId="13" xfId="0" applyNumberFormat="1" applyFont="1" applyBorder="1" applyAlignment="1">
      <alignment horizontal="center" vertical="center"/>
    </xf>
    <xf numFmtId="4" fontId="38" fillId="0" borderId="11" xfId="0" applyNumberFormat="1" applyFont="1" applyBorder="1" applyAlignment="1">
      <alignment horizontal="center" vertical="center"/>
    </xf>
    <xf numFmtId="4" fontId="38" fillId="0" borderId="13" xfId="39" applyNumberFormat="1" applyFont="1" applyBorder="1" applyAlignment="1">
      <alignment horizontal="center" vertical="center"/>
    </xf>
    <xf numFmtId="4" fontId="38" fillId="0" borderId="47" xfId="0" applyNumberFormat="1" applyFont="1" applyBorder="1" applyAlignment="1">
      <alignment horizontal="center" vertical="center"/>
    </xf>
    <xf numFmtId="172" fontId="25" fillId="0" borderId="0" xfId="50" applyNumberFormat="1" applyFont="1">
      <alignment vertical="center"/>
    </xf>
    <xf numFmtId="172" fontId="24" fillId="0" borderId="0" xfId="50" applyNumberFormat="1" applyFont="1">
      <alignment vertical="center"/>
    </xf>
    <xf numFmtId="0" fontId="25" fillId="0" borderId="0" xfId="50" applyFont="1">
      <alignment vertical="center"/>
    </xf>
    <xf numFmtId="10" fontId="24" fillId="0" borderId="0" xfId="52" applyNumberFormat="1" applyFont="1" applyAlignment="1">
      <alignment vertical="center"/>
    </xf>
    <xf numFmtId="10" fontId="24" fillId="0" borderId="0" xfId="50" applyNumberFormat="1" applyFont="1">
      <alignment vertical="center"/>
    </xf>
    <xf numFmtId="4" fontId="37" fillId="0" borderId="0" xfId="0" applyNumberFormat="1" applyFont="1"/>
    <xf numFmtId="0" fontId="37" fillId="0" borderId="13" xfId="0" applyFont="1" applyBorder="1" applyAlignment="1">
      <alignment horizontal="center" vertical="center" wrapText="1"/>
    </xf>
    <xf numFmtId="10" fontId="35" fillId="0" borderId="0" xfId="52" applyNumberFormat="1" applyFont="1" applyBorder="1" applyAlignment="1">
      <alignment horizontal="center"/>
    </xf>
    <xf numFmtId="10" fontId="0" fillId="0" borderId="0" xfId="0" applyNumberFormat="1" applyAlignment="1">
      <alignment horizontal="center"/>
    </xf>
    <xf numFmtId="4" fontId="38" fillId="0" borderId="19" xfId="0" applyNumberFormat="1" applyFont="1" applyBorder="1" applyAlignment="1">
      <alignment horizontal="center" vertical="center"/>
    </xf>
    <xf numFmtId="0" fontId="38" fillId="22" borderId="18" xfId="0" applyFont="1" applyFill="1" applyBorder="1" applyAlignment="1">
      <alignment horizontal="center" vertical="center"/>
    </xf>
    <xf numFmtId="0" fontId="38" fillId="22" borderId="12" xfId="0" applyFont="1" applyFill="1" applyBorder="1" applyAlignment="1">
      <alignment horizontal="center" vertical="center" wrapText="1"/>
    </xf>
    <xf numFmtId="0" fontId="38" fillId="22" borderId="10" xfId="0" applyFont="1" applyFill="1" applyBorder="1" applyAlignment="1">
      <alignment horizontal="center" vertical="center"/>
    </xf>
    <xf numFmtId="0" fontId="38" fillId="22" borderId="25" xfId="0" applyFont="1" applyFill="1" applyBorder="1" applyAlignment="1">
      <alignment horizontal="center" vertical="center"/>
    </xf>
    <xf numFmtId="0" fontId="38" fillId="22" borderId="12" xfId="0" applyFont="1" applyFill="1" applyBorder="1" applyAlignment="1">
      <alignment horizontal="center" vertical="center"/>
    </xf>
    <xf numFmtId="4" fontId="45" fillId="0" borderId="0" xfId="50" applyNumberFormat="1" applyFont="1" applyAlignment="1">
      <alignment vertical="top"/>
    </xf>
    <xf numFmtId="4" fontId="24" fillId="0" borderId="0" xfId="50" applyNumberFormat="1" applyFont="1" applyAlignment="1">
      <alignment vertical="top"/>
    </xf>
    <xf numFmtId="0" fontId="46" fillId="0" borderId="0" xfId="50" applyFont="1" applyAlignment="1">
      <alignment vertical="top"/>
    </xf>
    <xf numFmtId="4" fontId="45" fillId="0" borderId="0" xfId="50" applyNumberFormat="1" applyFont="1">
      <alignment vertical="center"/>
    </xf>
    <xf numFmtId="0" fontId="25" fillId="24" borderId="0" xfId="50" applyFont="1" applyFill="1" applyAlignment="1">
      <alignment vertical="top"/>
    </xf>
    <xf numFmtId="0" fontId="48" fillId="20" borderId="11" xfId="0" applyFont="1" applyFill="1" applyBorder="1" applyAlignment="1">
      <alignment horizontal="center" vertical="center" wrapText="1"/>
    </xf>
    <xf numFmtId="0" fontId="48" fillId="19" borderId="22" xfId="0" applyFont="1" applyFill="1" applyBorder="1" applyAlignment="1">
      <alignment horizontal="center" vertical="center" wrapText="1"/>
    </xf>
    <xf numFmtId="0" fontId="48" fillId="19" borderId="19" xfId="0" applyFont="1" applyFill="1" applyBorder="1" applyAlignment="1">
      <alignment horizontal="center" vertical="center" wrapText="1"/>
    </xf>
    <xf numFmtId="0" fontId="48" fillId="0" borderId="54" xfId="0" applyFont="1" applyBorder="1" applyAlignment="1">
      <alignment horizontal="center"/>
    </xf>
    <xf numFmtId="17" fontId="48" fillId="0" borderId="41" xfId="0" applyNumberFormat="1" applyFont="1" applyBorder="1" applyAlignment="1">
      <alignment horizontal="center"/>
    </xf>
    <xf numFmtId="0" fontId="48" fillId="20" borderId="19" xfId="0" applyFont="1" applyFill="1" applyBorder="1" applyAlignment="1">
      <alignment horizontal="center" vertical="center" wrapText="1"/>
    </xf>
    <xf numFmtId="10" fontId="35" fillId="0" borderId="24" xfId="52" applyNumberFormat="1" applyFont="1" applyBorder="1" applyAlignment="1">
      <alignment horizontal="center"/>
    </xf>
    <xf numFmtId="10" fontId="35" fillId="0" borderId="21" xfId="52" applyNumberFormat="1" applyFont="1" applyBorder="1" applyAlignment="1">
      <alignment horizontal="center"/>
    </xf>
    <xf numFmtId="17" fontId="37" fillId="0" borderId="0" xfId="0" applyNumberFormat="1" applyFont="1" applyAlignment="1">
      <alignment horizontal="center" vertical="center"/>
    </xf>
    <xf numFmtId="0" fontId="28" fillId="0" borderId="0" xfId="64" applyFont="1"/>
    <xf numFmtId="0" fontId="51" fillId="0" borderId="12" xfId="77" applyFont="1" applyBorder="1" applyAlignment="1">
      <alignment vertical="center"/>
    </xf>
    <xf numFmtId="0" fontId="63" fillId="0" borderId="0" xfId="64" applyFont="1"/>
    <xf numFmtId="0" fontId="55" fillId="0" borderId="12" xfId="77" applyFont="1" applyBorder="1"/>
    <xf numFmtId="0" fontId="55" fillId="0" borderId="21" xfId="64" applyFont="1" applyBorder="1"/>
    <xf numFmtId="0" fontId="55" fillId="0" borderId="15" xfId="77" applyFont="1" applyBorder="1" applyAlignment="1">
      <alignment horizontal="left" vertical="top"/>
    </xf>
    <xf numFmtId="0" fontId="55" fillId="0" borderId="10" xfId="77" applyFont="1" applyBorder="1" applyAlignment="1">
      <alignment horizontal="center"/>
    </xf>
    <xf numFmtId="0" fontId="52" fillId="0" borderId="0" xfId="64" applyFont="1"/>
    <xf numFmtId="0" fontId="64" fillId="0" borderId="0" xfId="64" applyFont="1" applyAlignment="1">
      <alignment horizontal="center"/>
    </xf>
    <xf numFmtId="174" fontId="65" fillId="0" borderId="0" xfId="64" applyNumberFormat="1" applyFont="1" applyAlignment="1">
      <alignment horizontal="center" vertical="center"/>
    </xf>
    <xf numFmtId="0" fontId="65" fillId="0" borderId="0" xfId="64" applyFont="1"/>
    <xf numFmtId="0" fontId="32" fillId="0" borderId="0" xfId="64" applyFont="1"/>
    <xf numFmtId="0" fontId="27" fillId="0" borderId="0" xfId="77" applyFont="1" applyAlignment="1">
      <alignment vertical="center"/>
    </xf>
    <xf numFmtId="0" fontId="66" fillId="0" borderId="0" xfId="64" applyFont="1" applyAlignment="1">
      <alignment horizontal="left"/>
    </xf>
    <xf numFmtId="0" fontId="61" fillId="0" borderId="0" xfId="64" applyFont="1" applyAlignment="1">
      <alignment horizontal="left"/>
    </xf>
    <xf numFmtId="0" fontId="61" fillId="0" borderId="0" xfId="64" applyFont="1"/>
    <xf numFmtId="0" fontId="53" fillId="0" borderId="0" xfId="64" applyFont="1" applyAlignment="1">
      <alignment vertical="top" wrapText="1"/>
    </xf>
    <xf numFmtId="0" fontId="53" fillId="0" borderId="0" xfId="77" applyFont="1" applyAlignment="1">
      <alignment horizontal="left" vertical="top"/>
    </xf>
    <xf numFmtId="0" fontId="53" fillId="0" borderId="0" xfId="77" applyFont="1" applyAlignment="1">
      <alignment horizontal="center"/>
    </xf>
    <xf numFmtId="14" fontId="53" fillId="0" borderId="0" xfId="77" applyNumberFormat="1" applyFont="1" applyAlignment="1">
      <alignment horizontal="center"/>
    </xf>
    <xf numFmtId="0" fontId="67" fillId="0" borderId="0" xfId="77" applyFont="1" applyAlignment="1">
      <alignment horizontal="left"/>
    </xf>
    <xf numFmtId="0" fontId="52" fillId="0" borderId="0" xfId="77" applyFont="1"/>
    <xf numFmtId="0" fontId="51" fillId="0" borderId="0" xfId="77" applyFont="1" applyAlignment="1">
      <alignment vertical="center"/>
    </xf>
    <xf numFmtId="0" fontId="53" fillId="0" borderId="31" xfId="77" applyFont="1" applyBorder="1" applyAlignment="1">
      <alignment horizontal="center" vertical="center" wrapText="1"/>
    </xf>
    <xf numFmtId="0" fontId="53" fillId="0" borderId="71" xfId="77" applyFont="1" applyBorder="1" applyAlignment="1">
      <alignment horizontal="center" vertical="center" wrapText="1"/>
    </xf>
    <xf numFmtId="0" fontId="53" fillId="0" borderId="30" xfId="77" applyFont="1" applyBorder="1" applyAlignment="1">
      <alignment horizontal="center" vertical="center" wrapText="1"/>
    </xf>
    <xf numFmtId="0" fontId="53" fillId="24" borderId="12" xfId="77" applyFont="1" applyFill="1" applyBorder="1" applyAlignment="1">
      <alignment horizontal="center" vertical="center" wrapText="1"/>
    </xf>
    <xf numFmtId="0" fontId="53" fillId="26" borderId="12" xfId="77" applyFont="1" applyFill="1" applyBorder="1" applyAlignment="1">
      <alignment horizontal="center" vertical="center" wrapText="1"/>
    </xf>
    <xf numFmtId="0" fontId="53" fillId="0" borderId="12" xfId="77" applyFont="1" applyBorder="1" applyAlignment="1">
      <alignment horizontal="center"/>
    </xf>
    <xf numFmtId="0" fontId="53" fillId="0" borderId="0" xfId="77" applyFont="1"/>
    <xf numFmtId="174" fontId="53" fillId="0" borderId="12" xfId="77" applyNumberFormat="1" applyFont="1" applyBorder="1" applyAlignment="1">
      <alignment horizontal="center"/>
    </xf>
    <xf numFmtId="2" fontId="52" fillId="27" borderId="12" xfId="77" applyNumberFormat="1" applyFont="1" applyFill="1" applyBorder="1" applyAlignment="1">
      <alignment horizontal="center"/>
    </xf>
    <xf numFmtId="0" fontId="52" fillId="0" borderId="18" xfId="77" applyFont="1" applyBorder="1" applyAlignment="1">
      <alignment horizontal="center"/>
    </xf>
    <xf numFmtId="174" fontId="52" fillId="0" borderId="12" xfId="77" applyNumberFormat="1" applyFont="1" applyBorder="1" applyAlignment="1">
      <alignment horizontal="center"/>
    </xf>
    <xf numFmtId="0" fontId="52" fillId="0" borderId="12" xfId="77" applyFont="1" applyBorder="1" applyAlignment="1">
      <alignment horizontal="center"/>
    </xf>
    <xf numFmtId="177" fontId="52" fillId="0" borderId="34" xfId="77" applyNumberFormat="1" applyFont="1" applyBorder="1" applyAlignment="1">
      <alignment horizontal="center" vertical="center"/>
    </xf>
    <xf numFmtId="175" fontId="52" fillId="0" borderId="12" xfId="78" applyNumberFormat="1" applyFont="1" applyFill="1" applyBorder="1" applyAlignment="1">
      <alignment horizontal="center" vertical="center"/>
    </xf>
    <xf numFmtId="10" fontId="53" fillId="0" borderId="0" xfId="77" applyNumberFormat="1" applyFont="1"/>
    <xf numFmtId="0" fontId="53" fillId="0" borderId="0" xfId="64" applyFont="1"/>
    <xf numFmtId="0" fontId="53" fillId="0" borderId="0" xfId="64" applyFont="1" applyAlignment="1">
      <alignment horizontal="center"/>
    </xf>
    <xf numFmtId="0" fontId="53" fillId="0" borderId="0" xfId="77" applyFont="1" applyAlignment="1">
      <alignment vertical="center" wrapText="1"/>
    </xf>
    <xf numFmtId="4" fontId="52" fillId="0" borderId="0" xfId="77" applyNumberFormat="1" applyFont="1"/>
    <xf numFmtId="0" fontId="53" fillId="22" borderId="0" xfId="64" applyFont="1" applyFill="1" applyAlignment="1">
      <alignment horizontal="center"/>
    </xf>
    <xf numFmtId="0" fontId="52" fillId="0" borderId="54" xfId="64" applyFont="1" applyBorder="1"/>
    <xf numFmtId="0" fontId="52" fillId="22" borderId="38" xfId="77" applyFont="1" applyFill="1" applyBorder="1" applyAlignment="1">
      <alignment horizontal="center"/>
    </xf>
    <xf numFmtId="4" fontId="52" fillId="22" borderId="56" xfId="77" quotePrefix="1" applyNumberFormat="1" applyFont="1" applyFill="1" applyBorder="1" applyAlignment="1">
      <alignment horizontal="center"/>
    </xf>
    <xf numFmtId="4" fontId="52" fillId="22" borderId="57" xfId="77" quotePrefix="1" applyNumberFormat="1" applyFont="1" applyFill="1" applyBorder="1" applyAlignment="1">
      <alignment horizontal="center"/>
    </xf>
    <xf numFmtId="178" fontId="52" fillId="22" borderId="12" xfId="77" applyNumberFormat="1" applyFont="1" applyFill="1" applyBorder="1" applyAlignment="1">
      <alignment horizontal="center" vertical="center"/>
    </xf>
    <xf numFmtId="4" fontId="53" fillId="22" borderId="27" xfId="77" applyNumberFormat="1" applyFont="1" applyFill="1" applyBorder="1" applyAlignment="1">
      <alignment horizontal="center"/>
    </xf>
    <xf numFmtId="178" fontId="53" fillId="22" borderId="27" xfId="77" applyNumberFormat="1" applyFont="1" applyFill="1" applyBorder="1" applyAlignment="1">
      <alignment horizontal="center"/>
    </xf>
    <xf numFmtId="169" fontId="53" fillId="22" borderId="27" xfId="77" applyNumberFormat="1" applyFont="1" applyFill="1" applyBorder="1" applyAlignment="1">
      <alignment horizontal="center"/>
    </xf>
    <xf numFmtId="169" fontId="53" fillId="22" borderId="28" xfId="77" applyNumberFormat="1" applyFont="1" applyFill="1" applyBorder="1" applyAlignment="1">
      <alignment horizontal="center"/>
    </xf>
    <xf numFmtId="2" fontId="52" fillId="0" borderId="0" xfId="64" applyNumberFormat="1" applyFont="1"/>
    <xf numFmtId="0" fontId="52" fillId="0" borderId="33" xfId="64" applyFont="1" applyBorder="1"/>
    <xf numFmtId="0" fontId="52" fillId="0" borderId="34" xfId="64" applyFont="1" applyBorder="1"/>
    <xf numFmtId="0" fontId="52" fillId="0" borderId="33" xfId="64" applyFont="1" applyBorder="1" applyAlignment="1">
      <alignment horizontal="right"/>
    </xf>
    <xf numFmtId="4" fontId="52" fillId="22" borderId="34" xfId="64" applyNumberFormat="1" applyFont="1" applyFill="1" applyBorder="1" applyAlignment="1">
      <alignment horizontal="right"/>
    </xf>
    <xf numFmtId="166" fontId="52" fillId="0" borderId="0" xfId="64" applyNumberFormat="1" applyFont="1"/>
    <xf numFmtId="4" fontId="52" fillId="0" borderId="0" xfId="64" applyNumberFormat="1" applyFont="1"/>
    <xf numFmtId="0" fontId="53" fillId="0" borderId="33" xfId="64" applyFont="1" applyBorder="1"/>
    <xf numFmtId="0" fontId="53" fillId="0" borderId="33" xfId="64" applyFont="1" applyBorder="1" applyAlignment="1">
      <alignment horizontal="right"/>
    </xf>
    <xf numFmtId="4" fontId="53" fillId="22" borderId="34" xfId="64" applyNumberFormat="1" applyFont="1" applyFill="1" applyBorder="1" applyAlignment="1">
      <alignment horizontal="right"/>
    </xf>
    <xf numFmtId="4" fontId="53" fillId="0" borderId="0" xfId="64" applyNumberFormat="1" applyFont="1"/>
    <xf numFmtId="0" fontId="52" fillId="22" borderId="36" xfId="64" applyFont="1" applyFill="1" applyBorder="1"/>
    <xf numFmtId="0" fontId="52" fillId="22" borderId="74" xfId="64" applyFont="1" applyFill="1" applyBorder="1"/>
    <xf numFmtId="0" fontId="52" fillId="22" borderId="37" xfId="64" applyFont="1" applyFill="1" applyBorder="1"/>
    <xf numFmtId="0" fontId="52" fillId="22" borderId="0" xfId="64" applyFont="1" applyFill="1"/>
    <xf numFmtId="0" fontId="52" fillId="22" borderId="69" xfId="64" applyFont="1" applyFill="1" applyBorder="1"/>
    <xf numFmtId="0" fontId="52" fillId="22" borderId="63" xfId="64" applyFont="1" applyFill="1" applyBorder="1"/>
    <xf numFmtId="17" fontId="52" fillId="22" borderId="69" xfId="64" applyNumberFormat="1" applyFont="1" applyFill="1" applyBorder="1"/>
    <xf numFmtId="4" fontId="52" fillId="22" borderId="0" xfId="64" applyNumberFormat="1" applyFont="1" applyFill="1"/>
    <xf numFmtId="4" fontId="52" fillId="22" borderId="63" xfId="64" applyNumberFormat="1" applyFont="1" applyFill="1" applyBorder="1"/>
    <xf numFmtId="0" fontId="52" fillId="22" borderId="31" xfId="64" applyFont="1" applyFill="1" applyBorder="1"/>
    <xf numFmtId="0" fontId="52" fillId="22" borderId="71" xfId="64" applyFont="1" applyFill="1" applyBorder="1"/>
    <xf numFmtId="0" fontId="52" fillId="22" borderId="30" xfId="64" applyFont="1" applyFill="1" applyBorder="1"/>
    <xf numFmtId="4" fontId="68" fillId="24" borderId="55" xfId="77" applyNumberFormat="1" applyFont="1" applyFill="1" applyBorder="1" applyAlignment="1">
      <alignment horizontal="center"/>
    </xf>
    <xf numFmtId="4" fontId="68" fillId="24" borderId="68" xfId="77" applyNumberFormat="1" applyFont="1" applyFill="1" applyBorder="1" applyAlignment="1">
      <alignment horizontal="center"/>
    </xf>
    <xf numFmtId="4" fontId="68" fillId="24" borderId="0" xfId="77" applyNumberFormat="1" applyFont="1" applyFill="1" applyAlignment="1">
      <alignment horizontal="center"/>
    </xf>
    <xf numFmtId="4" fontId="68" fillId="24" borderId="70" xfId="77" applyNumberFormat="1" applyFont="1" applyFill="1" applyBorder="1" applyAlignment="1">
      <alignment horizontal="center"/>
    </xf>
    <xf numFmtId="4" fontId="68" fillId="24" borderId="73" xfId="77" quotePrefix="1" applyNumberFormat="1" applyFont="1" applyFill="1" applyBorder="1" applyAlignment="1">
      <alignment horizontal="center"/>
    </xf>
    <xf numFmtId="4" fontId="68" fillId="24" borderId="44" xfId="77" quotePrefix="1" applyNumberFormat="1" applyFont="1" applyFill="1" applyBorder="1" applyAlignment="1">
      <alignment horizontal="center"/>
    </xf>
    <xf numFmtId="4" fontId="68" fillId="28" borderId="64" xfId="77" applyNumberFormat="1" applyFont="1" applyFill="1" applyBorder="1" applyAlignment="1">
      <alignment horizontal="center"/>
    </xf>
    <xf numFmtId="4" fontId="68" fillId="28" borderId="75" xfId="77" applyNumberFormat="1" applyFont="1" applyFill="1" applyBorder="1" applyAlignment="1">
      <alignment horizontal="center"/>
    </xf>
    <xf numFmtId="4" fontId="68" fillId="28" borderId="47" xfId="77" quotePrefix="1" applyNumberFormat="1" applyFont="1" applyFill="1" applyBorder="1" applyAlignment="1">
      <alignment horizontal="center"/>
    </xf>
    <xf numFmtId="169" fontId="53" fillId="22" borderId="27" xfId="77" applyNumberFormat="1" applyFont="1" applyFill="1" applyBorder="1" applyAlignment="1">
      <alignment horizontal="center" vertical="center"/>
    </xf>
    <xf numFmtId="17" fontId="28" fillId="0" borderId="77" xfId="64" applyNumberFormat="1" applyFont="1" applyBorder="1"/>
    <xf numFmtId="17" fontId="52" fillId="0" borderId="21" xfId="64" applyNumberFormat="1" applyFont="1" applyBorder="1" applyAlignment="1">
      <alignment horizontal="center" vertical="center"/>
    </xf>
    <xf numFmtId="0" fontId="53" fillId="22" borderId="12" xfId="77" applyFont="1" applyFill="1" applyBorder="1" applyAlignment="1">
      <alignment horizontal="center" vertical="center"/>
    </xf>
    <xf numFmtId="4" fontId="52" fillId="22" borderId="12" xfId="77" applyNumberFormat="1" applyFont="1" applyFill="1" applyBorder="1" applyAlignment="1">
      <alignment horizontal="center" vertical="center"/>
    </xf>
    <xf numFmtId="4" fontId="52" fillId="0" borderId="12" xfId="77" applyNumberFormat="1" applyFont="1" applyBorder="1" applyAlignment="1">
      <alignment horizontal="center" vertical="center"/>
    </xf>
    <xf numFmtId="4" fontId="52" fillId="22" borderId="13" xfId="77" applyNumberFormat="1" applyFont="1" applyFill="1" applyBorder="1" applyAlignment="1">
      <alignment horizontal="center" vertical="center"/>
    </xf>
    <xf numFmtId="0" fontId="37" fillId="0" borderId="75" xfId="0" applyFont="1" applyBorder="1" applyAlignment="1">
      <alignment horizontal="center" vertical="center" wrapText="1"/>
    </xf>
    <xf numFmtId="14" fontId="0" fillId="0" borderId="0" xfId="0" applyNumberFormat="1"/>
    <xf numFmtId="2" fontId="0" fillId="0" borderId="0" xfId="0" applyNumberFormat="1"/>
    <xf numFmtId="0" fontId="48" fillId="0" borderId="78" xfId="0" applyFont="1" applyBorder="1" applyAlignment="1">
      <alignment horizontal="center"/>
    </xf>
    <xf numFmtId="10" fontId="35" fillId="0" borderId="21" xfId="52" applyNumberFormat="1" applyFont="1" applyBorder="1" applyAlignment="1">
      <alignment horizontal="center" vertical="center"/>
    </xf>
    <xf numFmtId="17" fontId="37" fillId="0" borderId="29" xfId="0" applyNumberFormat="1" applyFont="1" applyBorder="1" applyAlignment="1">
      <alignment horizontal="center" vertical="center"/>
    </xf>
    <xf numFmtId="0" fontId="37" fillId="0" borderId="15" xfId="0" applyFont="1" applyBorder="1" applyAlignment="1">
      <alignment horizontal="center" vertical="center"/>
    </xf>
    <xf numFmtId="17" fontId="37" fillId="0" borderId="11" xfId="0" applyNumberFormat="1" applyFont="1" applyBorder="1" applyAlignment="1">
      <alignment horizontal="center" vertical="center"/>
    </xf>
    <xf numFmtId="177" fontId="52" fillId="0" borderId="12" xfId="77" applyNumberFormat="1" applyFont="1" applyBorder="1" applyAlignment="1">
      <alignment horizontal="center" vertical="center"/>
    </xf>
    <xf numFmtId="0" fontId="32" fillId="0" borderId="0" xfId="50" applyFont="1">
      <alignment vertical="center"/>
    </xf>
    <xf numFmtId="0" fontId="72" fillId="0" borderId="41" xfId="0" applyFont="1" applyBorder="1" applyAlignment="1">
      <alignment horizontal="center" vertical="center"/>
    </xf>
    <xf numFmtId="0" fontId="72" fillId="0" borderId="32" xfId="0" applyFont="1" applyBorder="1" applyAlignment="1">
      <alignment horizontal="center" vertical="center"/>
    </xf>
    <xf numFmtId="0" fontId="72" fillId="0" borderId="35" xfId="0" applyFont="1" applyBorder="1" applyAlignment="1">
      <alignment horizontal="center" vertical="center"/>
    </xf>
    <xf numFmtId="4" fontId="73" fillId="0" borderId="12" xfId="0" applyNumberFormat="1" applyFont="1" applyBorder="1" applyAlignment="1">
      <alignment horizontal="center" vertical="top"/>
    </xf>
    <xf numFmtId="4" fontId="70" fillId="0" borderId="12" xfId="0" applyNumberFormat="1" applyFont="1" applyBorder="1" applyAlignment="1">
      <alignment horizontal="center" vertical="top"/>
    </xf>
    <xf numFmtId="4" fontId="70" fillId="0" borderId="12" xfId="0" applyNumberFormat="1" applyFont="1" applyBorder="1" applyAlignment="1">
      <alignment horizontal="center" vertical="center"/>
    </xf>
    <xf numFmtId="0" fontId="32" fillId="0" borderId="12" xfId="50" applyFont="1" applyBorder="1" applyAlignment="1">
      <alignment vertical="top"/>
    </xf>
    <xf numFmtId="172" fontId="32" fillId="0" borderId="12" xfId="46" applyNumberFormat="1" applyFont="1" applyBorder="1" applyAlignment="1">
      <alignment vertical="top"/>
    </xf>
    <xf numFmtId="0" fontId="70" fillId="0" borderId="12" xfId="0" applyFont="1" applyBorder="1" applyAlignment="1">
      <alignment horizontal="center" vertical="top"/>
    </xf>
    <xf numFmtId="4" fontId="69" fillId="0" borderId="12" xfId="0" applyNumberFormat="1" applyFont="1" applyBorder="1" applyAlignment="1">
      <alignment horizontal="center" vertical="center"/>
    </xf>
    <xf numFmtId="4" fontId="73" fillId="24" borderId="12" xfId="0" applyNumberFormat="1" applyFont="1" applyFill="1" applyBorder="1" applyAlignment="1">
      <alignment horizontal="center" vertical="top"/>
    </xf>
    <xf numFmtId="4" fontId="70" fillId="24" borderId="12" xfId="0" applyNumberFormat="1" applyFont="1" applyFill="1" applyBorder="1" applyAlignment="1">
      <alignment horizontal="center" vertical="top"/>
    </xf>
    <xf numFmtId="4" fontId="70" fillId="24" borderId="12" xfId="0" applyNumberFormat="1" applyFont="1" applyFill="1" applyBorder="1" applyAlignment="1">
      <alignment horizontal="center" vertical="center"/>
    </xf>
    <xf numFmtId="0" fontId="32" fillId="24" borderId="12" xfId="50" applyFont="1" applyFill="1" applyBorder="1" applyAlignment="1">
      <alignment vertical="top"/>
    </xf>
    <xf numFmtId="172" fontId="32" fillId="24" borderId="12" xfId="46" applyNumberFormat="1" applyFont="1" applyFill="1" applyBorder="1" applyAlignment="1">
      <alignment vertical="top"/>
    </xf>
    <xf numFmtId="0" fontId="24" fillId="29" borderId="0" xfId="50" applyFont="1" applyFill="1">
      <alignment vertical="center"/>
    </xf>
    <xf numFmtId="0" fontId="24" fillId="30" borderId="0" xfId="50" applyFont="1" applyFill="1">
      <alignment vertical="center"/>
    </xf>
    <xf numFmtId="0" fontId="24" fillId="22" borderId="0" xfId="50" applyFont="1" applyFill="1">
      <alignment vertical="center"/>
    </xf>
    <xf numFmtId="4" fontId="28" fillId="0" borderId="34" xfId="0" applyNumberFormat="1" applyFont="1" applyBorder="1" applyAlignment="1">
      <alignment horizontal="center" vertical="center"/>
    </xf>
    <xf numFmtId="4" fontId="28" fillId="0" borderId="12" xfId="0" applyNumberFormat="1" applyFont="1" applyBorder="1" applyAlignment="1">
      <alignment horizontal="center" vertical="center"/>
    </xf>
    <xf numFmtId="10" fontId="28" fillId="0" borderId="12" xfId="0" applyNumberFormat="1" applyFont="1" applyBorder="1" applyAlignment="1">
      <alignment horizontal="center" vertical="center"/>
    </xf>
    <xf numFmtId="10" fontId="28" fillId="0" borderId="33" xfId="0" applyNumberFormat="1" applyFont="1" applyBorder="1" applyAlignment="1">
      <alignment horizontal="center" vertical="center"/>
    </xf>
    <xf numFmtId="0" fontId="51" fillId="33" borderId="12" xfId="77" applyFont="1" applyFill="1" applyBorder="1" applyAlignment="1">
      <alignment vertical="center"/>
    </xf>
    <xf numFmtId="43" fontId="24" fillId="0" borderId="0" xfId="50" applyNumberFormat="1" applyFont="1" applyAlignment="1">
      <alignment vertical="top"/>
    </xf>
    <xf numFmtId="0" fontId="30" fillId="21" borderId="55" xfId="47" applyFont="1" applyFill="1" applyBorder="1" applyAlignment="1">
      <alignment horizontal="center" vertical="top"/>
    </xf>
    <xf numFmtId="15" fontId="30" fillId="18" borderId="44" xfId="47" quotePrefix="1" applyNumberFormat="1" applyFont="1" applyFill="1" applyBorder="1" applyAlignment="1">
      <alignment vertical="center"/>
    </xf>
    <xf numFmtId="15" fontId="30" fillId="18" borderId="48" xfId="47" quotePrefix="1" applyNumberFormat="1" applyFont="1" applyFill="1" applyBorder="1" applyAlignment="1">
      <alignment vertical="center"/>
    </xf>
    <xf numFmtId="0" fontId="30" fillId="21" borderId="12" xfId="0" applyFont="1" applyFill="1" applyBorder="1" applyAlignment="1">
      <alignment vertical="center"/>
    </xf>
    <xf numFmtId="0" fontId="30" fillId="22" borderId="12" xfId="47" applyFont="1" applyFill="1" applyBorder="1" applyAlignment="1">
      <alignment vertical="center"/>
    </xf>
    <xf numFmtId="10" fontId="38" fillId="0" borderId="76" xfId="0" applyNumberFormat="1" applyFont="1" applyBorder="1"/>
    <xf numFmtId="4" fontId="52" fillId="27" borderId="21" xfId="50" applyNumberFormat="1" applyFont="1" applyFill="1" applyBorder="1" applyAlignment="1">
      <alignment vertical="top"/>
    </xf>
    <xf numFmtId="4" fontId="13" fillId="27" borderId="12" xfId="0" applyNumberFormat="1" applyFont="1" applyFill="1" applyBorder="1" applyAlignment="1" applyProtection="1">
      <alignment vertical="center"/>
      <protection locked="0"/>
    </xf>
    <xf numFmtId="10" fontId="52" fillId="27" borderId="13" xfId="54" applyNumberFormat="1" applyFont="1" applyFill="1" applyBorder="1" applyAlignment="1">
      <alignment vertical="top"/>
    </xf>
    <xf numFmtId="4" fontId="53" fillId="0" borderId="38" xfId="50" applyNumberFormat="1" applyFont="1" applyBorder="1" applyAlignment="1">
      <alignment horizontal="right" vertical="center"/>
    </xf>
    <xf numFmtId="10" fontId="53" fillId="0" borderId="29" xfId="54" applyNumberFormat="1" applyFont="1" applyBorder="1" applyAlignment="1">
      <alignment horizontal="right" vertical="center"/>
    </xf>
    <xf numFmtId="4" fontId="53" fillId="22" borderId="29" xfId="50" applyNumberFormat="1" applyFont="1" applyFill="1" applyBorder="1" applyAlignment="1">
      <alignment horizontal="right" vertical="center"/>
    </xf>
    <xf numFmtId="168" fontId="53" fillId="22" borderId="39" xfId="50" applyNumberFormat="1" applyFont="1" applyFill="1" applyBorder="1" applyAlignment="1">
      <alignment horizontal="center" vertical="center"/>
    </xf>
    <xf numFmtId="172" fontId="53" fillId="22" borderId="29" xfId="50" applyNumberFormat="1" applyFont="1" applyFill="1" applyBorder="1">
      <alignment vertical="center"/>
    </xf>
    <xf numFmtId="0" fontId="53" fillId="0" borderId="24" xfId="50" applyFont="1" applyBorder="1">
      <alignment vertical="center"/>
    </xf>
    <xf numFmtId="4" fontId="53" fillId="0" borderId="65" xfId="50" applyNumberFormat="1" applyFont="1" applyBorder="1" applyAlignment="1">
      <alignment horizontal="right" vertical="center"/>
    </xf>
    <xf numFmtId="10" fontId="75" fillId="0" borderId="13" xfId="54" applyNumberFormat="1" applyFont="1" applyBorder="1" applyAlignment="1">
      <alignment horizontal="right" vertical="center"/>
    </xf>
    <xf numFmtId="166" fontId="75" fillId="22" borderId="13" xfId="50" applyNumberFormat="1" applyFont="1" applyFill="1" applyBorder="1" applyAlignment="1">
      <alignment horizontal="right" vertical="center"/>
    </xf>
    <xf numFmtId="0" fontId="52" fillId="22" borderId="34" xfId="50" applyFont="1" applyFill="1" applyBorder="1">
      <alignment vertical="center"/>
    </xf>
    <xf numFmtId="0" fontId="52" fillId="22" borderId="13" xfId="50" applyFont="1" applyFill="1" applyBorder="1">
      <alignment vertical="center"/>
    </xf>
    <xf numFmtId="0" fontId="52" fillId="0" borderId="21" xfId="50" applyFont="1" applyBorder="1">
      <alignment vertical="center"/>
    </xf>
    <xf numFmtId="4" fontId="52" fillId="0" borderId="12" xfId="50" applyNumberFormat="1" applyFont="1" applyBorder="1" applyAlignment="1">
      <alignment horizontal="right" vertical="center"/>
    </xf>
    <xf numFmtId="10" fontId="53" fillId="0" borderId="13" xfId="54" applyNumberFormat="1" applyFont="1" applyBorder="1" applyAlignment="1">
      <alignment horizontal="right" vertical="center"/>
    </xf>
    <xf numFmtId="4" fontId="53" fillId="22" borderId="13" xfId="50" applyNumberFormat="1" applyFont="1" applyFill="1" applyBorder="1" applyAlignment="1">
      <alignment horizontal="right" vertical="center"/>
    </xf>
    <xf numFmtId="0" fontId="53" fillId="22" borderId="34" xfId="50" applyFont="1" applyFill="1" applyBorder="1">
      <alignment vertical="center"/>
    </xf>
    <xf numFmtId="0" fontId="53" fillId="22" borderId="13" xfId="50" applyFont="1" applyFill="1" applyBorder="1">
      <alignment vertical="center"/>
    </xf>
    <xf numFmtId="0" fontId="53" fillId="0" borderId="21" xfId="50" applyFont="1" applyBorder="1">
      <alignment vertical="center"/>
    </xf>
    <xf numFmtId="4" fontId="53" fillId="0" borderId="12" xfId="50" applyNumberFormat="1" applyFont="1" applyBorder="1" applyAlignment="1">
      <alignment horizontal="right" vertical="center"/>
    </xf>
    <xf numFmtId="10" fontId="53" fillId="0" borderId="11" xfId="54" applyNumberFormat="1" applyFont="1" applyBorder="1" applyAlignment="1">
      <alignment horizontal="right" vertical="center"/>
    </xf>
    <xf numFmtId="4" fontId="53" fillId="22" borderId="23" xfId="50" applyNumberFormat="1" applyFont="1" applyFill="1" applyBorder="1" applyAlignment="1">
      <alignment horizontal="right" vertical="center"/>
    </xf>
    <xf numFmtId="4" fontId="53" fillId="22" borderId="11" xfId="50" applyNumberFormat="1" applyFont="1" applyFill="1" applyBorder="1" applyAlignment="1">
      <alignment horizontal="right" vertical="center"/>
    </xf>
    <xf numFmtId="0" fontId="53" fillId="22" borderId="14" xfId="50" applyFont="1" applyFill="1" applyBorder="1">
      <alignment vertical="center"/>
    </xf>
    <xf numFmtId="10" fontId="53" fillId="22" borderId="11" xfId="54" applyNumberFormat="1" applyFont="1" applyFill="1" applyBorder="1" applyAlignment="1">
      <alignment vertical="center"/>
    </xf>
    <xf numFmtId="0" fontId="53" fillId="0" borderId="15" xfId="50" applyFont="1" applyBorder="1">
      <alignment vertical="center"/>
    </xf>
    <xf numFmtId="4" fontId="53" fillId="0" borderId="10" xfId="50" applyNumberFormat="1" applyFont="1" applyBorder="1" applyAlignment="1">
      <alignment horizontal="right" vertical="center"/>
    </xf>
    <xf numFmtId="4" fontId="13" fillId="0" borderId="12" xfId="0" applyNumberFormat="1" applyFont="1" applyBorder="1" applyAlignment="1" applyProtection="1">
      <alignment vertical="center"/>
      <protection locked="0"/>
    </xf>
    <xf numFmtId="10" fontId="52" fillId="0" borderId="13" xfId="54" applyNumberFormat="1" applyFont="1" applyFill="1" applyBorder="1" applyAlignment="1">
      <alignment horizontal="center" vertical="center"/>
    </xf>
    <xf numFmtId="4" fontId="13" fillId="34" borderId="12" xfId="0" applyNumberFormat="1" applyFont="1" applyFill="1" applyBorder="1" applyAlignment="1" applyProtection="1">
      <alignment vertical="center"/>
      <protection locked="0"/>
    </xf>
    <xf numFmtId="10" fontId="52" fillId="34" borderId="13" xfId="54" applyNumberFormat="1" applyFont="1" applyFill="1" applyBorder="1" applyAlignment="1">
      <alignment vertical="top"/>
    </xf>
    <xf numFmtId="10" fontId="52" fillId="22" borderId="13" xfId="54" applyNumberFormat="1" applyFont="1" applyFill="1" applyBorder="1" applyAlignment="1">
      <alignment vertical="top"/>
    </xf>
    <xf numFmtId="43" fontId="53" fillId="22" borderId="24" xfId="40" applyFont="1" applyFill="1" applyBorder="1" applyAlignment="1">
      <alignment vertical="center"/>
    </xf>
    <xf numFmtId="0" fontId="53" fillId="22" borderId="29" xfId="50" applyFont="1" applyFill="1" applyBorder="1">
      <alignment vertical="center"/>
    </xf>
    <xf numFmtId="0" fontId="52" fillId="22" borderId="21" xfId="50" applyFont="1" applyFill="1" applyBorder="1">
      <alignment vertical="center"/>
    </xf>
    <xf numFmtId="4" fontId="62" fillId="22" borderId="21" xfId="50" applyNumberFormat="1" applyFont="1" applyFill="1" applyBorder="1" applyAlignment="1">
      <alignment horizontal="right"/>
    </xf>
    <xf numFmtId="0" fontId="53" fillId="22" borderId="15" xfId="50" applyFont="1" applyFill="1" applyBorder="1">
      <alignment vertical="center"/>
    </xf>
    <xf numFmtId="0" fontId="53" fillId="22" borderId="11" xfId="50" applyFont="1" applyFill="1" applyBorder="1">
      <alignment vertical="center"/>
    </xf>
    <xf numFmtId="0" fontId="52" fillId="22" borderId="0" xfId="50" applyFont="1" applyFill="1">
      <alignment vertical="center"/>
    </xf>
    <xf numFmtId="10" fontId="53" fillId="0" borderId="45" xfId="54" applyNumberFormat="1" applyFont="1" applyFill="1" applyBorder="1" applyAlignment="1">
      <alignment horizontal="center" vertical="center"/>
    </xf>
    <xf numFmtId="10" fontId="53" fillId="0" borderId="0" xfId="54" applyNumberFormat="1" applyFont="1" applyFill="1" applyBorder="1" applyAlignment="1">
      <alignment horizontal="center" vertical="center"/>
    </xf>
    <xf numFmtId="10" fontId="53" fillId="30" borderId="45" xfId="54" applyNumberFormat="1" applyFont="1" applyFill="1" applyBorder="1" applyAlignment="1">
      <alignment horizontal="center" vertical="center"/>
    </xf>
    <xf numFmtId="0" fontId="53" fillId="22" borderId="0" xfId="50" applyFont="1" applyFill="1">
      <alignment vertical="center"/>
    </xf>
    <xf numFmtId="0" fontId="53" fillId="0" borderId="0" xfId="50" applyFont="1">
      <alignment vertical="center"/>
    </xf>
    <xf numFmtId="10" fontId="53" fillId="0" borderId="66" xfId="54" applyNumberFormat="1" applyFont="1" applyBorder="1" applyAlignment="1">
      <alignment horizontal="center" vertical="center"/>
    </xf>
    <xf numFmtId="0" fontId="80" fillId="22" borderId="0" xfId="50" applyFont="1" applyFill="1" applyAlignment="1">
      <alignment horizontal="center" vertical="center" wrapText="1"/>
    </xf>
    <xf numFmtId="10" fontId="53" fillId="0" borderId="49" xfId="50" applyNumberFormat="1" applyFont="1" applyBorder="1" applyAlignment="1">
      <alignment horizontal="center" vertical="center"/>
    </xf>
    <xf numFmtId="10" fontId="53" fillId="22" borderId="49" xfId="50" applyNumberFormat="1" applyFont="1" applyFill="1" applyBorder="1" applyAlignment="1">
      <alignment horizontal="center" vertical="center"/>
    </xf>
    <xf numFmtId="10" fontId="53" fillId="0" borderId="49" xfId="54" applyNumberFormat="1" applyFont="1" applyBorder="1" applyAlignment="1">
      <alignment horizontal="center" vertical="center"/>
    </xf>
    <xf numFmtId="10" fontId="35" fillId="0" borderId="22" xfId="52" applyNumberFormat="1" applyFont="1" applyBorder="1" applyAlignment="1">
      <alignment horizontal="center"/>
    </xf>
    <xf numFmtId="10" fontId="0" fillId="0" borderId="22" xfId="0" applyNumberFormat="1" applyBorder="1" applyAlignment="1">
      <alignment horizontal="center" vertical="center"/>
    </xf>
    <xf numFmtId="17" fontId="48" fillId="33" borderId="49" xfId="0" applyNumberFormat="1" applyFont="1" applyFill="1" applyBorder="1" applyAlignment="1">
      <alignment horizontal="center"/>
    </xf>
    <xf numFmtId="10" fontId="0" fillId="33" borderId="11" xfId="0" applyNumberFormat="1" applyFill="1" applyBorder="1" applyAlignment="1">
      <alignment horizontal="center"/>
    </xf>
    <xf numFmtId="0" fontId="38" fillId="0" borderId="43" xfId="0" quotePrefix="1" applyFont="1" applyBorder="1" applyAlignment="1">
      <alignment horizontal="center" vertical="center"/>
    </xf>
    <xf numFmtId="0" fontId="38" fillId="0" borderId="72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0" fontId="30" fillId="0" borderId="13" xfId="0" applyFont="1" applyBorder="1" applyAlignment="1">
      <alignment vertical="center"/>
    </xf>
    <xf numFmtId="15" fontId="32" fillId="22" borderId="13" xfId="47" applyNumberFormat="1" applyFont="1" applyFill="1" applyBorder="1" applyAlignment="1">
      <alignment horizontal="center" vertical="center"/>
    </xf>
    <xf numFmtId="173" fontId="30" fillId="0" borderId="13" xfId="47" applyNumberFormat="1" applyFont="1" applyBorder="1" applyAlignment="1">
      <alignment horizontal="center" vertical="center"/>
    </xf>
    <xf numFmtId="4" fontId="38" fillId="0" borderId="42" xfId="0" applyNumberFormat="1" applyFont="1" applyBorder="1" applyAlignment="1">
      <alignment horizontal="center"/>
    </xf>
    <xf numFmtId="0" fontId="38" fillId="0" borderId="22" xfId="0" applyFont="1" applyBorder="1" applyAlignment="1">
      <alignment horizontal="center" vertical="center"/>
    </xf>
    <xf numFmtId="0" fontId="38" fillId="0" borderId="18" xfId="0" applyFont="1" applyBorder="1" applyAlignment="1">
      <alignment horizontal="center" vertical="center"/>
    </xf>
    <xf numFmtId="0" fontId="38" fillId="0" borderId="21" xfId="0" quotePrefix="1" applyFont="1" applyBorder="1" applyAlignment="1">
      <alignment horizontal="center" vertical="center"/>
    </xf>
    <xf numFmtId="10" fontId="0" fillId="33" borderId="15" xfId="52" applyNumberFormat="1" applyFont="1" applyFill="1" applyBorder="1" applyAlignment="1">
      <alignment horizontal="center"/>
    </xf>
    <xf numFmtId="2" fontId="13" fillId="34" borderId="79" xfId="0" applyNumberFormat="1" applyFont="1" applyFill="1" applyBorder="1" applyAlignment="1">
      <alignment horizontal="right" vertical="top" shrinkToFit="1"/>
    </xf>
    <xf numFmtId="2" fontId="13" fillId="22" borderId="79" xfId="0" applyNumberFormat="1" applyFont="1" applyFill="1" applyBorder="1" applyAlignment="1">
      <alignment horizontal="right" vertical="top" shrinkToFit="1"/>
    </xf>
    <xf numFmtId="0" fontId="0" fillId="0" borderId="53" xfId="0" applyBorder="1"/>
    <xf numFmtId="4" fontId="39" fillId="35" borderId="28" xfId="0" applyNumberFormat="1" applyFont="1" applyFill="1" applyBorder="1" applyAlignment="1">
      <alignment horizontal="center" vertical="center"/>
    </xf>
    <xf numFmtId="0" fontId="25" fillId="35" borderId="26" xfId="0" applyFont="1" applyFill="1" applyBorder="1" applyAlignment="1">
      <alignment horizontal="center" vertical="center"/>
    </xf>
    <xf numFmtId="0" fontId="25" fillId="35" borderId="27" xfId="0" applyFont="1" applyFill="1" applyBorder="1" applyAlignment="1">
      <alignment horizontal="center" vertical="center"/>
    </xf>
    <xf numFmtId="0" fontId="25" fillId="35" borderId="28" xfId="0" applyFont="1" applyFill="1" applyBorder="1" applyAlignment="1">
      <alignment horizontal="center" vertical="center"/>
    </xf>
    <xf numFmtId="0" fontId="83" fillId="18" borderId="40" xfId="47" applyFont="1" applyFill="1" applyBorder="1" applyAlignment="1">
      <alignment horizontal="center" vertical="center"/>
    </xf>
    <xf numFmtId="4" fontId="13" fillId="35" borderId="12" xfId="0" applyNumberFormat="1" applyFont="1" applyFill="1" applyBorder="1" applyAlignment="1" applyProtection="1">
      <alignment vertical="center"/>
      <protection locked="0"/>
    </xf>
    <xf numFmtId="10" fontId="0" fillId="0" borderId="0" xfId="0" applyNumberFormat="1"/>
    <xf numFmtId="9" fontId="0" fillId="0" borderId="0" xfId="52" applyFont="1"/>
    <xf numFmtId="0" fontId="13" fillId="35" borderId="16" xfId="0" applyFont="1" applyFill="1" applyBorder="1" applyAlignment="1" applyProtection="1">
      <alignment horizontal="center" vertical="center"/>
      <protection locked="0"/>
    </xf>
    <xf numFmtId="0" fontId="32" fillId="34" borderId="0" xfId="50" applyFont="1" applyFill="1">
      <alignment vertical="center"/>
    </xf>
    <xf numFmtId="17" fontId="0" fillId="0" borderId="0" xfId="0" applyNumberFormat="1" applyAlignment="1">
      <alignment horizontal="center"/>
    </xf>
    <xf numFmtId="17" fontId="48" fillId="33" borderId="76" xfId="0" applyNumberFormat="1" applyFont="1" applyFill="1" applyBorder="1" applyAlignment="1">
      <alignment horizontal="center"/>
    </xf>
    <xf numFmtId="10" fontId="53" fillId="36" borderId="45" xfId="54" applyNumberFormat="1" applyFont="1" applyFill="1" applyBorder="1" applyAlignment="1">
      <alignment horizontal="center" vertical="center"/>
    </xf>
    <xf numFmtId="0" fontId="38" fillId="22" borderId="76" xfId="0" applyFont="1" applyFill="1" applyBorder="1"/>
    <xf numFmtId="15" fontId="74" fillId="18" borderId="12" xfId="47" quotePrefix="1" applyNumberFormat="1" applyFont="1" applyFill="1" applyBorder="1" applyAlignment="1">
      <alignment vertical="center"/>
    </xf>
    <xf numFmtId="15" fontId="74" fillId="18" borderId="13" xfId="47" quotePrefix="1" applyNumberFormat="1" applyFont="1" applyFill="1" applyBorder="1" applyAlignment="1">
      <alignment vertical="center"/>
    </xf>
    <xf numFmtId="10" fontId="74" fillId="18" borderId="13" xfId="47" applyNumberFormat="1" applyFont="1" applyFill="1" applyBorder="1" applyAlignment="1">
      <alignment vertical="center"/>
    </xf>
    <xf numFmtId="0" fontId="88" fillId="0" borderId="21" xfId="0" applyFont="1" applyBorder="1" applyAlignment="1" applyProtection="1">
      <alignment vertical="center"/>
      <protection locked="0"/>
    </xf>
    <xf numFmtId="0" fontId="90" fillId="0" borderId="21" xfId="0" applyFont="1" applyBorder="1" applyAlignment="1" applyProtection="1">
      <alignment vertical="center"/>
      <protection locked="0"/>
    </xf>
    <xf numFmtId="0" fontId="94" fillId="0" borderId="12" xfId="0" applyFont="1" applyBorder="1" applyAlignment="1" applyProtection="1">
      <alignment horizontal="left" vertical="center"/>
      <protection locked="0"/>
    </xf>
    <xf numFmtId="0" fontId="94" fillId="0" borderId="12" xfId="0" applyFont="1" applyBorder="1" applyAlignment="1" applyProtection="1">
      <alignment vertical="center"/>
      <protection locked="0"/>
    </xf>
    <xf numFmtId="0" fontId="94" fillId="0" borderId="12" xfId="0" applyFont="1" applyBorder="1" applyAlignment="1" applyProtection="1">
      <alignment vertical="center" wrapText="1"/>
      <protection locked="0"/>
    </xf>
    <xf numFmtId="0" fontId="88" fillId="39" borderId="12" xfId="0" applyFont="1" applyFill="1" applyBorder="1" applyAlignment="1" applyProtection="1">
      <alignment horizontal="center" vertical="center"/>
      <protection locked="0"/>
    </xf>
    <xf numFmtId="4" fontId="88" fillId="39" borderId="12" xfId="0" applyNumberFormat="1" applyFont="1" applyFill="1" applyBorder="1" applyAlignment="1" applyProtection="1">
      <alignment vertical="center"/>
      <protection locked="0"/>
    </xf>
    <xf numFmtId="0" fontId="92" fillId="38" borderId="21" xfId="0" applyFont="1" applyFill="1" applyBorder="1" applyAlignment="1" applyProtection="1">
      <alignment vertical="center"/>
      <protection locked="0"/>
    </xf>
    <xf numFmtId="0" fontId="95" fillId="38" borderId="12" xfId="0" applyFont="1" applyFill="1" applyBorder="1" applyAlignment="1" applyProtection="1">
      <alignment vertical="center"/>
      <protection locked="0"/>
    </xf>
    <xf numFmtId="0" fontId="88" fillId="38" borderId="12" xfId="0" applyFont="1" applyFill="1" applyBorder="1" applyAlignment="1" applyProtection="1">
      <alignment horizontal="center" vertical="center"/>
      <protection locked="0"/>
    </xf>
    <xf numFmtId="4" fontId="88" fillId="38" borderId="12" xfId="0" applyNumberFormat="1" applyFont="1" applyFill="1" applyBorder="1" applyAlignment="1" applyProtection="1">
      <alignment vertical="center"/>
      <protection locked="0"/>
    </xf>
    <xf numFmtId="2" fontId="13" fillId="38" borderId="79" xfId="0" applyNumberFormat="1" applyFont="1" applyFill="1" applyBorder="1" applyAlignment="1">
      <alignment horizontal="right" vertical="top" shrinkToFit="1"/>
    </xf>
    <xf numFmtId="4" fontId="13" fillId="38" borderId="12" xfId="0" applyNumberFormat="1" applyFont="1" applyFill="1" applyBorder="1" applyAlignment="1" applyProtection="1">
      <alignment vertical="center"/>
      <protection locked="0"/>
    </xf>
    <xf numFmtId="0" fontId="94" fillId="38" borderId="12" xfId="0" applyFont="1" applyFill="1" applyBorder="1" applyAlignment="1" applyProtection="1">
      <alignment vertical="center"/>
      <protection locked="0"/>
    </xf>
    <xf numFmtId="0" fontId="96" fillId="0" borderId="21" xfId="0" applyFont="1" applyBorder="1" applyAlignment="1" applyProtection="1">
      <alignment vertical="center"/>
      <protection locked="0"/>
    </xf>
    <xf numFmtId="0" fontId="97" fillId="38" borderId="12" xfId="0" applyFont="1" applyFill="1" applyBorder="1" applyAlignment="1" applyProtection="1">
      <alignment vertical="center"/>
      <protection locked="0"/>
    </xf>
    <xf numFmtId="0" fontId="96" fillId="38" borderId="21" xfId="0" applyFont="1" applyFill="1" applyBorder="1" applyAlignment="1" applyProtection="1">
      <alignment vertical="center"/>
      <protection locked="0"/>
    </xf>
    <xf numFmtId="0" fontId="95" fillId="38" borderId="12" xfId="0" applyFont="1" applyFill="1" applyBorder="1" applyAlignment="1" applyProtection="1">
      <alignment horizontal="left" vertical="center"/>
      <protection locked="0"/>
    </xf>
    <xf numFmtId="0" fontId="92" fillId="38" borderId="21" xfId="0" applyFont="1" applyFill="1" applyBorder="1" applyAlignment="1" applyProtection="1">
      <alignment horizontal="left" vertical="center"/>
      <protection locked="0"/>
    </xf>
    <xf numFmtId="0" fontId="93" fillId="38" borderId="12" xfId="0" applyFont="1" applyFill="1" applyBorder="1" applyAlignment="1" applyProtection="1">
      <alignment vertical="center"/>
      <protection locked="0"/>
    </xf>
    <xf numFmtId="0" fontId="91" fillId="38" borderId="21" xfId="0" applyFont="1" applyFill="1" applyBorder="1" applyAlignment="1" applyProtection="1">
      <alignment vertical="center"/>
      <protection locked="0"/>
    </xf>
    <xf numFmtId="0" fontId="87" fillId="38" borderId="12" xfId="0" applyFont="1" applyFill="1" applyBorder="1" applyAlignment="1" applyProtection="1">
      <alignment horizontal="center" vertical="center"/>
      <protection locked="0"/>
    </xf>
    <xf numFmtId="4" fontId="87" fillId="38" borderId="12" xfId="0" applyNumberFormat="1" applyFont="1" applyFill="1" applyBorder="1" applyAlignment="1" applyProtection="1">
      <alignment vertical="center"/>
      <protection locked="0"/>
    </xf>
    <xf numFmtId="0" fontId="89" fillId="38" borderId="12" xfId="0" applyFont="1" applyFill="1" applyBorder="1" applyAlignment="1" applyProtection="1">
      <alignment horizontal="center" vertical="center"/>
      <protection locked="0"/>
    </xf>
    <xf numFmtId="4" fontId="89" fillId="38" borderId="12" xfId="0" applyNumberFormat="1" applyFont="1" applyFill="1" applyBorder="1" applyAlignment="1" applyProtection="1">
      <alignment vertical="center"/>
      <protection locked="0"/>
    </xf>
    <xf numFmtId="0" fontId="90" fillId="38" borderId="21" xfId="0" applyFont="1" applyFill="1" applyBorder="1" applyAlignment="1" applyProtection="1">
      <alignment vertical="center"/>
      <protection locked="0"/>
    </xf>
    <xf numFmtId="10" fontId="52" fillId="38" borderId="13" xfId="54" applyNumberFormat="1" applyFont="1" applyFill="1" applyBorder="1" applyAlignment="1">
      <alignment horizontal="center" vertical="center"/>
    </xf>
    <xf numFmtId="10" fontId="52" fillId="38" borderId="13" xfId="54" applyNumberFormat="1" applyFont="1" applyFill="1" applyBorder="1" applyAlignment="1">
      <alignment vertical="top"/>
    </xf>
    <xf numFmtId="43" fontId="52" fillId="38" borderId="21" xfId="50" applyNumberFormat="1" applyFont="1" applyFill="1" applyBorder="1" applyAlignment="1">
      <alignment vertical="top"/>
    </xf>
    <xf numFmtId="4" fontId="52" fillId="38" borderId="21" xfId="50" applyNumberFormat="1" applyFont="1" applyFill="1" applyBorder="1" applyAlignment="1">
      <alignment vertical="top"/>
    </xf>
    <xf numFmtId="0" fontId="13" fillId="38" borderId="37" xfId="0" applyFont="1" applyFill="1" applyBorder="1" applyAlignment="1" applyProtection="1">
      <alignment horizontal="center" vertical="center"/>
      <protection locked="0"/>
    </xf>
    <xf numFmtId="4" fontId="13" fillId="38" borderId="18" xfId="0" applyNumberFormat="1" applyFont="1" applyFill="1" applyBorder="1" applyAlignment="1" applyProtection="1">
      <alignment vertical="center"/>
      <protection locked="0"/>
    </xf>
    <xf numFmtId="4" fontId="13" fillId="38" borderId="33" xfId="0" applyNumberFormat="1" applyFont="1" applyFill="1" applyBorder="1" applyAlignment="1" applyProtection="1">
      <alignment vertical="center"/>
      <protection locked="0"/>
    </xf>
    <xf numFmtId="4" fontId="13" fillId="38" borderId="37" xfId="0" applyNumberFormat="1" applyFont="1" applyFill="1" applyBorder="1" applyAlignment="1" applyProtection="1">
      <alignment horizontal="center" vertical="center"/>
      <protection locked="0"/>
    </xf>
    <xf numFmtId="4" fontId="22" fillId="38" borderId="16" xfId="0" applyNumberFormat="1" applyFont="1" applyFill="1" applyBorder="1" applyAlignment="1" applyProtection="1">
      <alignment vertical="center"/>
      <protection locked="0"/>
    </xf>
    <xf numFmtId="0" fontId="27" fillId="38" borderId="20" xfId="46" applyFont="1" applyFill="1" applyBorder="1" applyAlignment="1">
      <alignment horizontal="right" vertical="center"/>
    </xf>
    <xf numFmtId="4" fontId="78" fillId="38" borderId="16" xfId="0" applyNumberFormat="1" applyFont="1" applyFill="1" applyBorder="1" applyAlignment="1" applyProtection="1">
      <alignment vertical="center"/>
      <protection locked="0"/>
    </xf>
    <xf numFmtId="10" fontId="27" fillId="38" borderId="17" xfId="54" applyNumberFormat="1" applyFont="1" applyFill="1" applyBorder="1" applyAlignment="1">
      <alignment vertical="top"/>
    </xf>
    <xf numFmtId="0" fontId="0" fillId="38" borderId="80" xfId="0" applyFill="1" applyBorder="1" applyAlignment="1">
      <alignment horizontal="left" wrapText="1"/>
    </xf>
    <xf numFmtId="0" fontId="27" fillId="38" borderId="17" xfId="50" applyFont="1" applyFill="1" applyBorder="1" applyAlignment="1">
      <alignment vertical="top"/>
    </xf>
    <xf numFmtId="0" fontId="27" fillId="38" borderId="20" xfId="50" applyFont="1" applyFill="1" applyBorder="1" applyAlignment="1">
      <alignment vertical="top"/>
    </xf>
    <xf numFmtId="2" fontId="26" fillId="38" borderId="21" xfId="50" applyNumberFormat="1" applyFont="1" applyFill="1" applyBorder="1" applyAlignment="1">
      <alignment horizontal="center" vertical="center"/>
    </xf>
    <xf numFmtId="4" fontId="78" fillId="38" borderId="12" xfId="0" applyNumberFormat="1" applyFont="1" applyFill="1" applyBorder="1" applyAlignment="1" applyProtection="1">
      <alignment vertical="center"/>
      <protection locked="0"/>
    </xf>
    <xf numFmtId="10" fontId="26" fillId="38" borderId="13" xfId="54" applyNumberFormat="1" applyFont="1" applyFill="1" applyBorder="1" applyAlignment="1">
      <alignment vertical="top"/>
    </xf>
    <xf numFmtId="2" fontId="77" fillId="38" borderId="79" xfId="0" applyNumberFormat="1" applyFont="1" applyFill="1" applyBorder="1" applyAlignment="1">
      <alignment horizontal="right" vertical="top" shrinkToFit="1"/>
    </xf>
    <xf numFmtId="4" fontId="26" fillId="38" borderId="21" xfId="50" applyNumberFormat="1" applyFont="1" applyFill="1" applyBorder="1" applyAlignment="1">
      <alignment vertical="top"/>
    </xf>
    <xf numFmtId="0" fontId="84" fillId="38" borderId="12" xfId="0" applyFont="1" applyFill="1" applyBorder="1" applyAlignment="1">
      <alignment vertical="top"/>
    </xf>
    <xf numFmtId="4" fontId="98" fillId="38" borderId="12" xfId="0" applyNumberFormat="1" applyFont="1" applyFill="1" applyBorder="1" applyAlignment="1">
      <alignment horizontal="right" vertical="top"/>
    </xf>
    <xf numFmtId="0" fontId="99" fillId="38" borderId="12" xfId="0" applyFont="1" applyFill="1" applyBorder="1" applyAlignment="1">
      <alignment vertical="top"/>
    </xf>
    <xf numFmtId="4" fontId="100" fillId="38" borderId="12" xfId="0" applyNumberFormat="1" applyFont="1" applyFill="1" applyBorder="1" applyAlignment="1">
      <alignment horizontal="right" vertical="top"/>
    </xf>
    <xf numFmtId="0" fontId="101" fillId="38" borderId="12" xfId="0" applyFont="1" applyFill="1" applyBorder="1" applyAlignment="1">
      <alignment vertical="top"/>
    </xf>
    <xf numFmtId="4" fontId="64" fillId="38" borderId="12" xfId="0" applyNumberFormat="1" applyFont="1" applyFill="1" applyBorder="1" applyAlignment="1">
      <alignment horizontal="right" vertical="top"/>
    </xf>
    <xf numFmtId="0" fontId="103" fillId="38" borderId="12" xfId="0" applyFont="1" applyFill="1" applyBorder="1" applyAlignment="1">
      <alignment vertical="top"/>
    </xf>
    <xf numFmtId="4" fontId="104" fillId="38" borderId="12" xfId="0" applyNumberFormat="1" applyFont="1" applyFill="1" applyBorder="1" applyAlignment="1">
      <alignment horizontal="right" vertical="top"/>
    </xf>
    <xf numFmtId="0" fontId="99" fillId="38" borderId="12" xfId="0" applyFont="1" applyFill="1" applyBorder="1" applyAlignment="1">
      <alignment vertical="center"/>
    </xf>
    <xf numFmtId="4" fontId="100" fillId="38" borderId="12" xfId="0" applyNumberFormat="1" applyFont="1" applyFill="1" applyBorder="1" applyAlignment="1">
      <alignment horizontal="right" vertical="center"/>
    </xf>
    <xf numFmtId="0" fontId="105" fillId="38" borderId="12" xfId="0" applyFont="1" applyFill="1" applyBorder="1" applyAlignment="1">
      <alignment vertical="top"/>
    </xf>
    <xf numFmtId="4" fontId="106" fillId="38" borderId="12" xfId="0" applyNumberFormat="1" applyFont="1" applyFill="1" applyBorder="1" applyAlignment="1">
      <alignment horizontal="right" vertical="top"/>
    </xf>
    <xf numFmtId="0" fontId="107" fillId="38" borderId="12" xfId="0" applyFont="1" applyFill="1" applyBorder="1" applyAlignment="1">
      <alignment vertical="top"/>
    </xf>
    <xf numFmtId="4" fontId="102" fillId="39" borderId="12" xfId="0" applyNumberFormat="1" applyFont="1" applyFill="1" applyBorder="1" applyAlignment="1">
      <alignment horizontal="right" vertical="top"/>
    </xf>
    <xf numFmtId="4" fontId="102" fillId="39" borderId="12" xfId="0" applyNumberFormat="1" applyFont="1" applyFill="1" applyBorder="1" applyAlignment="1">
      <alignment vertical="center"/>
    </xf>
    <xf numFmtId="4" fontId="102" fillId="39" borderId="12" xfId="0" applyNumberFormat="1" applyFont="1" applyFill="1" applyBorder="1" applyAlignment="1">
      <alignment horizontal="right" vertical="center"/>
    </xf>
    <xf numFmtId="164" fontId="109" fillId="37" borderId="12" xfId="82" applyFont="1" applyFill="1" applyBorder="1" applyAlignment="1">
      <alignment horizontal="center" vertical="center"/>
    </xf>
    <xf numFmtId="164" fontId="110" fillId="37" borderId="12" xfId="82" applyFont="1" applyFill="1" applyBorder="1" applyAlignment="1">
      <alignment horizontal="center" vertical="center"/>
    </xf>
    <xf numFmtId="10" fontId="108" fillId="0" borderId="12" xfId="50" applyNumberFormat="1" applyFont="1" applyBorder="1" applyAlignment="1">
      <alignment horizontal="left"/>
    </xf>
    <xf numFmtId="4" fontId="68" fillId="0" borderId="11" xfId="50" applyNumberFormat="1" applyFont="1" applyBorder="1" applyAlignment="1">
      <alignment horizontal="right" vertical="center"/>
    </xf>
    <xf numFmtId="10" fontId="0" fillId="0" borderId="13" xfId="52" applyNumberFormat="1" applyFont="1" applyBorder="1" applyAlignment="1">
      <alignment horizontal="center" vertical="center"/>
    </xf>
    <xf numFmtId="10" fontId="30" fillId="0" borderId="12" xfId="47" applyNumberFormat="1" applyFont="1" applyBorder="1" applyAlignment="1">
      <alignment horizontal="left" vertical="center"/>
    </xf>
    <xf numFmtId="10" fontId="34" fillId="0" borderId="12" xfId="47" applyNumberFormat="1" applyFont="1" applyBorder="1" applyAlignment="1">
      <alignment horizontal="center" vertical="center"/>
    </xf>
    <xf numFmtId="0" fontId="30" fillId="0" borderId="12" xfId="47" applyFont="1" applyBorder="1" applyAlignment="1">
      <alignment vertical="center"/>
    </xf>
    <xf numFmtId="0" fontId="30" fillId="18" borderId="0" xfId="47" applyFont="1" applyFill="1" applyAlignment="1">
      <alignment horizontal="center" vertical="center"/>
    </xf>
    <xf numFmtId="0" fontId="111" fillId="18" borderId="40" xfId="47" applyFont="1" applyFill="1" applyBorder="1" applyAlignment="1">
      <alignment vertical="center"/>
    </xf>
    <xf numFmtId="0" fontId="112" fillId="18" borderId="40" xfId="47" applyFont="1" applyFill="1" applyBorder="1" applyAlignment="1">
      <alignment horizontal="left" vertical="center"/>
    </xf>
    <xf numFmtId="0" fontId="111" fillId="18" borderId="40" xfId="47" applyFont="1" applyFill="1" applyBorder="1" applyAlignment="1">
      <alignment vertical="center" wrapText="1"/>
    </xf>
    <xf numFmtId="2" fontId="111" fillId="18" borderId="40" xfId="47" applyNumberFormat="1" applyFont="1" applyFill="1" applyBorder="1" applyAlignment="1">
      <alignment vertical="center" wrapText="1"/>
    </xf>
    <xf numFmtId="0" fontId="33" fillId="18" borderId="0" xfId="47" applyFont="1" applyFill="1" applyAlignment="1">
      <alignment horizontal="center" vertical="center"/>
    </xf>
    <xf numFmtId="2" fontId="114" fillId="0" borderId="12" xfId="0" applyNumberFormat="1" applyFont="1" applyBorder="1" applyAlignment="1">
      <alignment horizontal="center" vertical="center"/>
    </xf>
    <xf numFmtId="2" fontId="115" fillId="0" borderId="12" xfId="0" applyNumberFormat="1" applyFont="1" applyBorder="1" applyAlignment="1">
      <alignment horizontal="center" vertical="center"/>
    </xf>
    <xf numFmtId="0" fontId="92" fillId="38" borderId="21" xfId="0" quotePrefix="1" applyFont="1" applyFill="1" applyBorder="1" applyAlignment="1" applyProtection="1">
      <alignment vertical="center"/>
      <protection locked="0"/>
    </xf>
    <xf numFmtId="0" fontId="72" fillId="0" borderId="12" xfId="0" applyFont="1" applyBorder="1" applyAlignment="1">
      <alignment horizontal="center" vertical="center"/>
    </xf>
    <xf numFmtId="2" fontId="113" fillId="0" borderId="12" xfId="0" applyNumberFormat="1" applyFont="1" applyBorder="1" applyAlignment="1">
      <alignment horizontal="center" vertical="center"/>
    </xf>
    <xf numFmtId="2" fontId="114" fillId="0" borderId="12" xfId="0" applyNumberFormat="1" applyFont="1" applyBorder="1" applyAlignment="1">
      <alignment horizontal="center" vertical="center" wrapText="1"/>
    </xf>
    <xf numFmtId="0" fontId="95" fillId="38" borderId="16" xfId="0" applyFont="1" applyFill="1" applyBorder="1" applyAlignment="1" applyProtection="1">
      <alignment vertical="center"/>
      <protection locked="0"/>
    </xf>
    <xf numFmtId="0" fontId="84" fillId="38" borderId="16" xfId="0" applyFont="1" applyFill="1" applyBorder="1" applyAlignment="1">
      <alignment vertical="top"/>
    </xf>
    <xf numFmtId="4" fontId="98" fillId="38" borderId="16" xfId="0" applyNumberFormat="1" applyFont="1" applyFill="1" applyBorder="1" applyAlignment="1">
      <alignment horizontal="right" vertical="top"/>
    </xf>
    <xf numFmtId="0" fontId="38" fillId="0" borderId="40" xfId="0" applyFont="1" applyBorder="1" applyAlignment="1">
      <alignment horizontal="center" vertical="center"/>
    </xf>
    <xf numFmtId="0" fontId="38" fillId="0" borderId="63" xfId="0" applyFont="1" applyBorder="1" applyAlignment="1">
      <alignment horizontal="center" vertical="center"/>
    </xf>
    <xf numFmtId="4" fontId="38" fillId="0" borderId="64" xfId="0" applyNumberFormat="1" applyFont="1" applyBorder="1" applyAlignment="1">
      <alignment horizontal="center" vertical="center"/>
    </xf>
    <xf numFmtId="4" fontId="37" fillId="0" borderId="12" xfId="0" applyNumberFormat="1" applyFont="1" applyBorder="1" applyAlignment="1">
      <alignment horizontal="center" vertical="center"/>
    </xf>
    <xf numFmtId="4" fontId="37" fillId="0" borderId="25" xfId="0" applyNumberFormat="1" applyFont="1" applyBorder="1" applyAlignment="1">
      <alignment horizontal="center" vertical="center"/>
    </xf>
    <xf numFmtId="10" fontId="0" fillId="33" borderId="35" xfId="52" applyNumberFormat="1" applyFont="1" applyFill="1" applyBorder="1" applyAlignment="1">
      <alignment horizontal="center"/>
    </xf>
    <xf numFmtId="0" fontId="48" fillId="20" borderId="22" xfId="0" applyFont="1" applyFill="1" applyBorder="1" applyAlignment="1">
      <alignment horizontal="center" vertical="center" wrapText="1"/>
    </xf>
    <xf numFmtId="10" fontId="0" fillId="33" borderId="11" xfId="52" applyNumberFormat="1" applyFont="1" applyFill="1" applyBorder="1" applyAlignment="1">
      <alignment horizontal="center"/>
    </xf>
    <xf numFmtId="4" fontId="28" fillId="0" borderId="12" xfId="54" applyNumberFormat="1" applyFont="1" applyBorder="1" applyAlignment="1">
      <alignment horizontal="center" vertical="center"/>
    </xf>
    <xf numFmtId="4" fontId="28" fillId="0" borderId="10" xfId="0" applyNumberFormat="1" applyFont="1" applyBorder="1" applyAlignment="1">
      <alignment horizontal="center" vertical="center"/>
    </xf>
    <xf numFmtId="10" fontId="28" fillId="0" borderId="10" xfId="0" applyNumberFormat="1" applyFont="1" applyBorder="1" applyAlignment="1">
      <alignment horizontal="center" vertical="center"/>
    </xf>
    <xf numFmtId="0" fontId="37" fillId="0" borderId="12" xfId="0" applyFont="1" applyBorder="1"/>
    <xf numFmtId="10" fontId="28" fillId="0" borderId="23" xfId="0" applyNumberFormat="1" applyFont="1" applyBorder="1" applyAlignment="1">
      <alignment horizontal="center" vertical="center"/>
    </xf>
    <xf numFmtId="0" fontId="37" fillId="0" borderId="21" xfId="0" applyFont="1" applyBorder="1"/>
    <xf numFmtId="0" fontId="37" fillId="0" borderId="13" xfId="0" applyFont="1" applyBorder="1"/>
    <xf numFmtId="0" fontId="37" fillId="0" borderId="15" xfId="0" applyFont="1" applyBorder="1"/>
    <xf numFmtId="0" fontId="37" fillId="0" borderId="10" xfId="0" applyFont="1" applyBorder="1"/>
    <xf numFmtId="0" fontId="37" fillId="0" borderId="11" xfId="0" applyFont="1" applyBorder="1"/>
    <xf numFmtId="4" fontId="28" fillId="0" borderId="14" xfId="0" applyNumberFormat="1" applyFont="1" applyBorder="1" applyAlignment="1">
      <alignment horizontal="center" vertical="center"/>
    </xf>
    <xf numFmtId="0" fontId="37" fillId="0" borderId="21" xfId="0" applyFont="1" applyBorder="1" applyAlignment="1">
      <alignment horizontal="center" vertical="center"/>
    </xf>
    <xf numFmtId="17" fontId="37" fillId="0" borderId="13" xfId="0" applyNumberFormat="1" applyFont="1" applyBorder="1" applyAlignment="1">
      <alignment horizontal="center" vertical="center"/>
    </xf>
    <xf numFmtId="0" fontId="37" fillId="0" borderId="59" xfId="0" applyFont="1" applyBorder="1"/>
    <xf numFmtId="0" fontId="37" fillId="0" borderId="61" xfId="0" applyFont="1" applyBorder="1"/>
    <xf numFmtId="0" fontId="37" fillId="0" borderId="12" xfId="0" applyFont="1" applyBorder="1" applyAlignment="1">
      <alignment vertical="center"/>
    </xf>
    <xf numFmtId="0" fontId="37" fillId="0" borderId="59" xfId="0" applyFont="1" applyBorder="1" applyAlignment="1">
      <alignment horizontal="center" vertical="center"/>
    </xf>
    <xf numFmtId="10" fontId="37" fillId="0" borderId="24" xfId="0" applyNumberFormat="1" applyFont="1" applyBorder="1" applyAlignment="1">
      <alignment horizontal="center" vertical="center"/>
    </xf>
    <xf numFmtId="0" fontId="37" fillId="0" borderId="13" xfId="0" applyFont="1" applyBorder="1" applyAlignment="1">
      <alignment vertical="center"/>
    </xf>
    <xf numFmtId="0" fontId="37" fillId="0" borderId="10" xfId="0" applyFont="1" applyBorder="1" applyAlignment="1">
      <alignment vertical="center"/>
    </xf>
    <xf numFmtId="0" fontId="37" fillId="0" borderId="11" xfId="0" applyFont="1" applyBorder="1" applyAlignment="1">
      <alignment vertical="center"/>
    </xf>
    <xf numFmtId="0" fontId="37" fillId="0" borderId="54" xfId="0" applyFont="1" applyBorder="1"/>
    <xf numFmtId="0" fontId="37" fillId="0" borderId="58" xfId="0" applyFont="1" applyBorder="1"/>
    <xf numFmtId="10" fontId="37" fillId="0" borderId="21" xfId="0" applyNumberFormat="1" applyFont="1" applyBorder="1" applyAlignment="1">
      <alignment horizontal="center" vertical="center"/>
    </xf>
    <xf numFmtId="10" fontId="37" fillId="0" borderId="15" xfId="0" applyNumberFormat="1" applyFont="1" applyBorder="1" applyAlignment="1">
      <alignment horizontal="center" vertical="center"/>
    </xf>
    <xf numFmtId="0" fontId="48" fillId="20" borderId="15" xfId="0" applyFont="1" applyFill="1" applyBorder="1" applyAlignment="1">
      <alignment horizontal="center" vertical="center" wrapText="1"/>
    </xf>
    <xf numFmtId="0" fontId="24" fillId="31" borderId="0" xfId="50" applyFont="1" applyFill="1" applyAlignment="1">
      <alignment horizontal="center" vertical="center"/>
    </xf>
    <xf numFmtId="0" fontId="0" fillId="31" borderId="80" xfId="0" applyFill="1" applyBorder="1" applyAlignment="1">
      <alignment horizontal="center" wrapText="1"/>
    </xf>
    <xf numFmtId="2" fontId="77" fillId="31" borderId="79" xfId="0" applyNumberFormat="1" applyFont="1" applyFill="1" applyBorder="1" applyAlignment="1">
      <alignment horizontal="center" vertical="top" shrinkToFit="1"/>
    </xf>
    <xf numFmtId="2" fontId="13" fillId="31" borderId="79" xfId="0" applyNumberFormat="1" applyFont="1" applyFill="1" applyBorder="1" applyAlignment="1">
      <alignment horizontal="center" vertical="top" shrinkToFit="1"/>
    </xf>
    <xf numFmtId="4" fontId="88" fillId="31" borderId="12" xfId="0" applyNumberFormat="1" applyFont="1" applyFill="1" applyBorder="1" applyAlignment="1" applyProtection="1">
      <alignment horizontal="center" vertical="center"/>
      <protection locked="0"/>
    </xf>
    <xf numFmtId="2" fontId="79" fillId="31" borderId="79" xfId="0" applyNumberFormat="1" applyFont="1" applyFill="1" applyBorder="1" applyAlignment="1">
      <alignment horizontal="center" vertical="top" shrinkToFit="1"/>
    </xf>
    <xf numFmtId="4" fontId="13" fillId="31" borderId="18" xfId="0" applyNumberFormat="1" applyFont="1" applyFill="1" applyBorder="1" applyAlignment="1" applyProtection="1">
      <alignment horizontal="center" vertical="center"/>
      <protection locked="0"/>
    </xf>
    <xf numFmtId="43" fontId="53" fillId="0" borderId="24" xfId="50" applyNumberFormat="1" applyFont="1" applyBorder="1" applyAlignment="1">
      <alignment horizontal="center" vertical="top"/>
    </xf>
    <xf numFmtId="43" fontId="52" fillId="0" borderId="21" xfId="50" applyNumberFormat="1" applyFont="1" applyBorder="1" applyAlignment="1">
      <alignment horizontal="center" vertical="top"/>
    </xf>
    <xf numFmtId="43" fontId="53" fillId="0" borderId="21" xfId="50" applyNumberFormat="1" applyFont="1" applyBorder="1" applyAlignment="1">
      <alignment horizontal="center" vertical="top"/>
    </xf>
    <xf numFmtId="43" fontId="53" fillId="0" borderId="15" xfId="50" applyNumberFormat="1" applyFont="1" applyBorder="1" applyAlignment="1">
      <alignment horizontal="center" vertical="top"/>
    </xf>
    <xf numFmtId="0" fontId="53" fillId="0" borderId="0" xfId="50" applyFont="1" applyAlignment="1">
      <alignment horizontal="center" vertical="center"/>
    </xf>
    <xf numFmtId="0" fontId="92" fillId="0" borderId="12" xfId="0" applyFont="1" applyBorder="1" applyAlignment="1" applyProtection="1">
      <alignment vertical="center"/>
      <protection locked="0"/>
    </xf>
    <xf numFmtId="0" fontId="95" fillId="0" borderId="12" xfId="0" applyFont="1" applyBorder="1" applyAlignment="1" applyProtection="1">
      <alignment vertical="center"/>
      <protection locked="0"/>
    </xf>
    <xf numFmtId="0" fontId="88" fillId="0" borderId="12" xfId="0" applyFont="1" applyBorder="1" applyAlignment="1" applyProtection="1">
      <alignment horizontal="center" vertical="center"/>
      <protection locked="0"/>
    </xf>
    <xf numFmtId="0" fontId="0" fillId="0" borderId="12" xfId="0" applyBorder="1"/>
    <xf numFmtId="0" fontId="90" fillId="0" borderId="12" xfId="0" applyFont="1" applyBorder="1" applyAlignment="1" applyProtection="1">
      <alignment vertical="center"/>
      <protection locked="0"/>
    </xf>
    <xf numFmtId="0" fontId="96" fillId="0" borderId="12" xfId="0" applyFont="1" applyBorder="1" applyAlignment="1" applyProtection="1">
      <alignment vertical="center"/>
      <protection locked="0"/>
    </xf>
    <xf numFmtId="0" fontId="97" fillId="0" borderId="12" xfId="0" applyFont="1" applyBorder="1" applyAlignment="1" applyProtection="1">
      <alignment vertical="center"/>
      <protection locked="0"/>
    </xf>
    <xf numFmtId="4" fontId="88" fillId="0" borderId="12" xfId="0" applyNumberFormat="1" applyFont="1" applyBorder="1" applyAlignment="1" applyProtection="1">
      <alignment vertical="center"/>
      <protection locked="0"/>
    </xf>
    <xf numFmtId="0" fontId="92" fillId="0" borderId="12" xfId="0" applyFont="1" applyBorder="1" applyAlignment="1" applyProtection="1">
      <alignment horizontal="left" vertical="center"/>
      <protection locked="0"/>
    </xf>
    <xf numFmtId="0" fontId="87" fillId="0" borderId="12" xfId="0" applyFont="1" applyBorder="1" applyAlignment="1" applyProtection="1">
      <alignment horizontal="center" vertical="center"/>
      <protection locked="0"/>
    </xf>
    <xf numFmtId="4" fontId="87" fillId="0" borderId="12" xfId="0" applyNumberFormat="1" applyFont="1" applyBorder="1" applyAlignment="1" applyProtection="1">
      <alignment vertical="center"/>
      <protection locked="0"/>
    </xf>
    <xf numFmtId="0" fontId="89" fillId="0" borderId="12" xfId="0" applyFont="1" applyBorder="1" applyAlignment="1" applyProtection="1">
      <alignment horizontal="center" vertical="center"/>
      <protection locked="0"/>
    </xf>
    <xf numFmtId="4" fontId="89" fillId="0" borderId="12" xfId="0" applyNumberFormat="1" applyFont="1" applyBorder="1" applyAlignment="1" applyProtection="1">
      <alignment vertical="center"/>
      <protection locked="0"/>
    </xf>
    <xf numFmtId="0" fontId="91" fillId="0" borderId="12" xfId="0" applyFont="1" applyBorder="1" applyAlignment="1" applyProtection="1">
      <alignment vertical="center"/>
      <protection locked="0"/>
    </xf>
    <xf numFmtId="0" fontId="93" fillId="0" borderId="12" xfId="0" applyFont="1" applyBorder="1" applyAlignment="1" applyProtection="1">
      <alignment vertical="center"/>
      <protection locked="0"/>
    </xf>
    <xf numFmtId="0" fontId="0" fillId="0" borderId="12" xfId="0" applyBorder="1" applyAlignment="1">
      <alignment horizontal="right" vertical="center"/>
    </xf>
    <xf numFmtId="4" fontId="88" fillId="0" borderId="12" xfId="0" applyNumberFormat="1" applyFont="1" applyBorder="1" applyAlignment="1" applyProtection="1">
      <alignment horizontal="left" vertical="center"/>
      <protection locked="0"/>
    </xf>
    <xf numFmtId="2" fontId="115" fillId="0" borderId="12" xfId="0" applyNumberFormat="1" applyFont="1" applyBorder="1" applyAlignment="1">
      <alignment vertical="center"/>
    </xf>
    <xf numFmtId="2" fontId="115" fillId="0" borderId="12" xfId="0" quotePrefix="1" applyNumberFormat="1" applyFont="1" applyBorder="1" applyAlignment="1">
      <alignment horizontal="center" vertical="center"/>
    </xf>
    <xf numFmtId="2" fontId="115" fillId="0" borderId="0" xfId="0" applyNumberFormat="1" applyFont="1" applyAlignment="1">
      <alignment horizontal="center" vertical="center"/>
    </xf>
    <xf numFmtId="2" fontId="113" fillId="0" borderId="0" xfId="0" applyNumberFormat="1" applyFont="1"/>
    <xf numFmtId="2" fontId="0" fillId="0" borderId="12" xfId="0" applyNumberFormat="1" applyBorder="1"/>
    <xf numFmtId="2" fontId="115" fillId="0" borderId="12" xfId="0" applyNumberFormat="1" applyFont="1" applyBorder="1" applyAlignment="1">
      <alignment horizontal="right" vertical="center"/>
    </xf>
    <xf numFmtId="4" fontId="88" fillId="0" borderId="12" xfId="0" applyNumberFormat="1" applyFont="1" applyFill="1" applyBorder="1" applyAlignment="1" applyProtection="1">
      <alignment vertical="center"/>
      <protection locked="0"/>
    </xf>
    <xf numFmtId="0" fontId="94" fillId="0" borderId="12" xfId="0" applyFont="1" applyFill="1" applyBorder="1" applyAlignment="1" applyProtection="1">
      <alignment vertical="center"/>
      <protection locked="0"/>
    </xf>
    <xf numFmtId="4" fontId="37" fillId="0" borderId="12" xfId="0" applyNumberFormat="1" applyFont="1" applyBorder="1" applyAlignment="1">
      <alignment horizontal="center" vertical="center"/>
    </xf>
    <xf numFmtId="16" fontId="24" fillId="0" borderId="0" xfId="50" applyNumberFormat="1" applyFont="1" applyFill="1" applyAlignment="1">
      <alignment horizontal="center"/>
    </xf>
    <xf numFmtId="14" fontId="24" fillId="0" borderId="0" xfId="50" applyNumberFormat="1" applyFont="1" applyFill="1" applyAlignment="1">
      <alignment horizontal="center"/>
    </xf>
    <xf numFmtId="2" fontId="24" fillId="0" borderId="0" xfId="50" applyNumberFormat="1" applyFont="1" applyFill="1" applyAlignment="1"/>
    <xf numFmtId="0" fontId="24" fillId="0" borderId="0" xfId="50" applyFont="1" applyFill="1">
      <alignment vertical="center"/>
    </xf>
    <xf numFmtId="10" fontId="24" fillId="0" borderId="0" xfId="52" applyNumberFormat="1" applyFont="1" applyFill="1" applyAlignment="1">
      <alignment vertical="center"/>
    </xf>
    <xf numFmtId="0" fontId="24" fillId="0" borderId="0" xfId="50" applyFont="1" applyFill="1" applyAlignment="1">
      <alignment horizontal="center" vertical="center"/>
    </xf>
    <xf numFmtId="0" fontId="41" fillId="0" borderId="0" xfId="0" applyFont="1" applyFill="1" applyAlignment="1">
      <alignment horizontal="left"/>
    </xf>
    <xf numFmtId="0" fontId="42" fillId="0" borderId="0" xfId="50" applyFont="1" applyFill="1" applyAlignment="1">
      <alignment horizontal="center"/>
    </xf>
    <xf numFmtId="0" fontId="41" fillId="0" borderId="0" xfId="0" applyFont="1" applyFill="1" applyAlignment="1">
      <alignment horizontal="right"/>
    </xf>
    <xf numFmtId="0" fontId="36" fillId="0" borderId="12" xfId="0" applyFont="1" applyFill="1" applyBorder="1" applyAlignment="1">
      <alignment horizontal="center"/>
    </xf>
    <xf numFmtId="0" fontId="81" fillId="0" borderId="12" xfId="50" applyFont="1" applyFill="1" applyBorder="1">
      <alignment vertical="center"/>
    </xf>
    <xf numFmtId="10" fontId="81" fillId="0" borderId="12" xfId="54" applyNumberFormat="1" applyFont="1" applyFill="1" applyBorder="1" applyAlignment="1">
      <alignment vertical="center"/>
    </xf>
    <xf numFmtId="0" fontId="81" fillId="0" borderId="12" xfId="50" applyFont="1" applyFill="1" applyBorder="1" applyAlignment="1">
      <alignment horizontal="center" vertical="center"/>
    </xf>
    <xf numFmtId="0" fontId="81" fillId="0" borderId="12" xfId="50" applyFont="1" applyFill="1" applyBorder="1" applyAlignment="1">
      <alignment vertical="top"/>
    </xf>
    <xf numFmtId="0" fontId="81" fillId="0" borderId="12" xfId="46" applyFont="1" applyFill="1" applyBorder="1" applyAlignment="1">
      <alignment vertical="top"/>
    </xf>
    <xf numFmtId="10" fontId="81" fillId="0" borderId="12" xfId="54" applyNumberFormat="1" applyFont="1" applyFill="1" applyBorder="1" applyAlignment="1">
      <alignment vertical="top"/>
    </xf>
    <xf numFmtId="0" fontId="81" fillId="0" borderId="12" xfId="46" applyFont="1" applyFill="1" applyBorder="1" applyAlignment="1">
      <alignment horizontal="center" vertical="top"/>
    </xf>
    <xf numFmtId="0" fontId="81" fillId="0" borderId="12" xfId="46" applyFont="1" applyFill="1" applyBorder="1" applyAlignment="1" applyProtection="1">
      <alignment horizontal="center" vertical="center"/>
      <protection locked="0"/>
    </xf>
    <xf numFmtId="168" fontId="81" fillId="0" borderId="12" xfId="46" applyNumberFormat="1" applyFont="1" applyFill="1" applyBorder="1" applyAlignment="1" applyProtection="1">
      <alignment horizontal="center" vertical="center"/>
      <protection locked="0"/>
    </xf>
    <xf numFmtId="168" fontId="81" fillId="0" borderId="12" xfId="46" applyNumberFormat="1" applyFont="1" applyFill="1" applyBorder="1" applyAlignment="1" applyProtection="1">
      <alignment horizontal="center" vertical="center" wrapText="1"/>
      <protection locked="0"/>
    </xf>
    <xf numFmtId="0" fontId="81" fillId="0" borderId="12" xfId="46" applyFont="1" applyFill="1" applyBorder="1" applyAlignment="1">
      <alignment horizontal="center" vertical="center" wrapText="1"/>
    </xf>
    <xf numFmtId="10" fontId="81" fillId="0" borderId="12" xfId="54" applyNumberFormat="1" applyFont="1" applyFill="1" applyBorder="1" applyAlignment="1">
      <alignment horizontal="center" vertical="center"/>
    </xf>
    <xf numFmtId="0" fontId="81" fillId="0" borderId="12" xfId="46" applyFont="1" applyFill="1" applyBorder="1" applyAlignment="1">
      <alignment horizontal="center" vertical="center"/>
    </xf>
    <xf numFmtId="2" fontId="13" fillId="31" borderId="79" xfId="0" applyNumberFormat="1" applyFont="1" applyFill="1" applyBorder="1" applyAlignment="1">
      <alignment horizontal="center" vertical="center" shrinkToFit="1"/>
    </xf>
    <xf numFmtId="0" fontId="83" fillId="21" borderId="54" xfId="47" applyFont="1" applyFill="1" applyBorder="1" applyAlignment="1">
      <alignment horizontal="center" vertical="center"/>
    </xf>
    <xf numFmtId="0" fontId="111" fillId="21" borderId="54" xfId="47" applyFont="1" applyFill="1" applyBorder="1" applyAlignment="1">
      <alignment vertical="center"/>
    </xf>
    <xf numFmtId="0" fontId="90" fillId="0" borderId="21" xfId="0" applyFont="1" applyFill="1" applyBorder="1" applyAlignment="1" applyProtection="1">
      <alignment vertical="center"/>
      <protection locked="0"/>
    </xf>
    <xf numFmtId="0" fontId="38" fillId="0" borderId="54" xfId="0" applyFont="1" applyBorder="1" applyAlignment="1">
      <alignment horizontal="center" vertical="center"/>
    </xf>
    <xf numFmtId="0" fontId="38" fillId="0" borderId="67" xfId="0" applyFont="1" applyBorder="1" applyAlignment="1">
      <alignment horizontal="center" vertical="center"/>
    </xf>
    <xf numFmtId="17" fontId="38" fillId="0" borderId="10" xfId="0" applyNumberFormat="1" applyFont="1" applyBorder="1" applyAlignment="1">
      <alignment horizontal="center"/>
    </xf>
    <xf numFmtId="0" fontId="38" fillId="0" borderId="11" xfId="0" applyFont="1" applyBorder="1" applyAlignment="1">
      <alignment horizontal="center"/>
    </xf>
    <xf numFmtId="0" fontId="38" fillId="0" borderId="43" xfId="0" applyFont="1" applyBorder="1" applyAlignment="1">
      <alignment horizontal="center" vertical="center"/>
    </xf>
    <xf numFmtId="0" fontId="38" fillId="0" borderId="72" xfId="0" applyFont="1" applyBorder="1" applyAlignment="1">
      <alignment horizontal="center" vertical="center"/>
    </xf>
    <xf numFmtId="0" fontId="39" fillId="35" borderId="50" xfId="0" applyFont="1" applyFill="1" applyBorder="1" applyAlignment="1">
      <alignment horizontal="center" vertical="center"/>
    </xf>
    <xf numFmtId="0" fontId="39" fillId="35" borderId="52" xfId="0" applyFont="1" applyFill="1" applyBorder="1" applyAlignment="1">
      <alignment horizontal="center" vertical="center"/>
    </xf>
    <xf numFmtId="0" fontId="25" fillId="35" borderId="50" xfId="0" applyFont="1" applyFill="1" applyBorder="1" applyAlignment="1">
      <alignment horizontal="center" vertical="center"/>
    </xf>
    <xf numFmtId="0" fontId="25" fillId="35" borderId="51" xfId="0" applyFont="1" applyFill="1" applyBorder="1" applyAlignment="1">
      <alignment horizontal="center" vertical="center"/>
    </xf>
    <xf numFmtId="0" fontId="25" fillId="35" borderId="53" xfId="0" applyFont="1" applyFill="1" applyBorder="1" applyAlignment="1">
      <alignment horizontal="center" vertical="center"/>
    </xf>
    <xf numFmtId="0" fontId="38" fillId="0" borderId="25" xfId="0" applyFont="1" applyBorder="1" applyAlignment="1">
      <alignment horizontal="center" vertical="center" wrapText="1"/>
    </xf>
    <xf numFmtId="0" fontId="38" fillId="0" borderId="29" xfId="0" applyFont="1" applyBorder="1" applyAlignment="1">
      <alignment horizontal="center" vertical="center" wrapText="1"/>
    </xf>
    <xf numFmtId="0" fontId="38" fillId="0" borderId="12" xfId="0" applyFont="1" applyBorder="1" applyAlignment="1">
      <alignment horizontal="center"/>
    </xf>
    <xf numFmtId="0" fontId="38" fillId="0" borderId="13" xfId="0" applyFont="1" applyBorder="1" applyAlignment="1">
      <alignment horizontal="center"/>
    </xf>
    <xf numFmtId="0" fontId="38" fillId="22" borderId="12" xfId="0" applyFont="1" applyFill="1" applyBorder="1" applyAlignment="1">
      <alignment horizontal="center"/>
    </xf>
    <xf numFmtId="0" fontId="38" fillId="22" borderId="13" xfId="0" applyFont="1" applyFill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3" xfId="0" applyBorder="1" applyAlignment="1">
      <alignment horizontal="center"/>
    </xf>
    <xf numFmtId="49" fontId="29" fillId="35" borderId="50" xfId="47" applyNumberFormat="1" applyFont="1" applyFill="1" applyBorder="1" applyAlignment="1">
      <alignment horizontal="center" vertical="center"/>
    </xf>
    <xf numFmtId="49" fontId="29" fillId="35" borderId="51" xfId="47" applyNumberFormat="1" applyFont="1" applyFill="1" applyBorder="1" applyAlignment="1">
      <alignment horizontal="center" vertical="center"/>
    </xf>
    <xf numFmtId="49" fontId="29" fillId="35" borderId="53" xfId="47" applyNumberFormat="1" applyFont="1" applyFill="1" applyBorder="1" applyAlignment="1">
      <alignment horizontal="center" vertical="center"/>
    </xf>
    <xf numFmtId="15" fontId="30" fillId="0" borderId="12" xfId="47" applyNumberFormat="1" applyFont="1" applyBorder="1" applyAlignment="1">
      <alignment horizontal="left" vertical="center"/>
    </xf>
    <xf numFmtId="15" fontId="30" fillId="0" borderId="13" xfId="47" applyNumberFormat="1" applyFont="1" applyBorder="1" applyAlignment="1">
      <alignment horizontal="left" vertical="center"/>
    </xf>
    <xf numFmtId="15" fontId="30" fillId="18" borderId="12" xfId="47" applyNumberFormat="1" applyFont="1" applyFill="1" applyBorder="1" applyAlignment="1">
      <alignment horizontal="left" vertical="center"/>
    </xf>
    <xf numFmtId="15" fontId="30" fillId="18" borderId="13" xfId="47" applyNumberFormat="1" applyFont="1" applyFill="1" applyBorder="1" applyAlignment="1">
      <alignment horizontal="left" vertical="center"/>
    </xf>
    <xf numFmtId="15" fontId="30" fillId="18" borderId="12" xfId="47" quotePrefix="1" applyNumberFormat="1" applyFont="1" applyFill="1" applyBorder="1" applyAlignment="1">
      <alignment horizontal="left" vertical="center"/>
    </xf>
    <xf numFmtId="15" fontId="30" fillId="18" borderId="13" xfId="47" quotePrefix="1" applyNumberFormat="1" applyFont="1" applyFill="1" applyBorder="1" applyAlignment="1">
      <alignment horizontal="left" vertical="center"/>
    </xf>
    <xf numFmtId="0" fontId="30" fillId="22" borderId="12" xfId="47" applyFont="1" applyFill="1" applyBorder="1" applyAlignment="1">
      <alignment horizontal="left" vertical="center"/>
    </xf>
    <xf numFmtId="0" fontId="30" fillId="22" borderId="13" xfId="47" applyFont="1" applyFill="1" applyBorder="1" applyAlignment="1">
      <alignment horizontal="left" vertical="center"/>
    </xf>
    <xf numFmtId="165" fontId="30" fillId="0" borderId="12" xfId="47" applyNumberFormat="1" applyFont="1" applyBorder="1" applyAlignment="1">
      <alignment horizontal="left" vertical="center"/>
    </xf>
    <xf numFmtId="165" fontId="30" fillId="0" borderId="13" xfId="47" applyNumberFormat="1" applyFont="1" applyBorder="1" applyAlignment="1">
      <alignment horizontal="left" vertical="center"/>
    </xf>
    <xf numFmtId="165" fontId="30" fillId="18" borderId="12" xfId="47" applyNumberFormat="1" applyFont="1" applyFill="1" applyBorder="1" applyAlignment="1">
      <alignment horizontal="left" vertical="center"/>
    </xf>
    <xf numFmtId="165" fontId="30" fillId="18" borderId="13" xfId="47" applyNumberFormat="1" applyFont="1" applyFill="1" applyBorder="1" applyAlignment="1">
      <alignment horizontal="left" vertical="center"/>
    </xf>
    <xf numFmtId="0" fontId="30" fillId="18" borderId="12" xfId="47" applyFont="1" applyFill="1" applyBorder="1" applyAlignment="1">
      <alignment horizontal="left" vertical="center"/>
    </xf>
    <xf numFmtId="0" fontId="30" fillId="18" borderId="13" xfId="47" applyFont="1" applyFill="1" applyBorder="1" applyAlignment="1">
      <alignment horizontal="left" vertical="center"/>
    </xf>
    <xf numFmtId="2" fontId="30" fillId="22" borderId="12" xfId="47" applyNumberFormat="1" applyFont="1" applyFill="1" applyBorder="1" applyAlignment="1">
      <alignment horizontal="left" vertical="center"/>
    </xf>
    <xf numFmtId="2" fontId="30" fillId="22" borderId="13" xfId="47" applyNumberFormat="1" applyFont="1" applyFill="1" applyBorder="1" applyAlignment="1">
      <alignment horizontal="left" vertical="center"/>
    </xf>
    <xf numFmtId="2" fontId="30" fillId="18" borderId="12" xfId="47" applyNumberFormat="1" applyFont="1" applyFill="1" applyBorder="1" applyAlignment="1">
      <alignment horizontal="left" vertical="center"/>
    </xf>
    <xf numFmtId="2" fontId="30" fillId="18" borderId="13" xfId="47" applyNumberFormat="1" applyFont="1" applyFill="1" applyBorder="1" applyAlignment="1">
      <alignment horizontal="left" vertical="center"/>
    </xf>
    <xf numFmtId="0" fontId="30" fillId="23" borderId="12" xfId="0" applyFont="1" applyFill="1" applyBorder="1" applyAlignment="1">
      <alignment horizontal="left" vertical="center"/>
    </xf>
    <xf numFmtId="0" fontId="30" fillId="23" borderId="13" xfId="0" applyFont="1" applyFill="1" applyBorder="1" applyAlignment="1">
      <alignment horizontal="left" vertical="center"/>
    </xf>
    <xf numFmtId="0" fontId="30" fillId="0" borderId="12" xfId="47" applyFont="1" applyBorder="1" applyAlignment="1">
      <alignment horizontal="left" vertical="center" wrapText="1"/>
    </xf>
    <xf numFmtId="0" fontId="30" fillId="0" borderId="13" xfId="47" applyFont="1" applyBorder="1" applyAlignment="1">
      <alignment horizontal="left" vertical="center" wrapText="1"/>
    </xf>
    <xf numFmtId="0" fontId="25" fillId="25" borderId="54" xfId="47" applyFont="1" applyFill="1" applyBorder="1" applyAlignment="1">
      <alignment horizontal="center" vertical="center" wrapText="1"/>
    </xf>
    <xf numFmtId="0" fontId="25" fillId="25" borderId="55" xfId="47" applyFont="1" applyFill="1" applyBorder="1" applyAlignment="1">
      <alignment horizontal="center" vertical="center" wrapText="1"/>
    </xf>
    <xf numFmtId="49" fontId="29" fillId="25" borderId="55" xfId="47" applyNumberFormat="1" applyFont="1" applyFill="1" applyBorder="1" applyAlignment="1">
      <alignment horizontal="center" vertical="center"/>
    </xf>
    <xf numFmtId="49" fontId="29" fillId="25" borderId="58" xfId="47" applyNumberFormat="1" applyFont="1" applyFill="1" applyBorder="1" applyAlignment="1">
      <alignment horizontal="center" vertical="center"/>
    </xf>
    <xf numFmtId="0" fontId="30" fillId="18" borderId="25" xfId="47" applyFont="1" applyFill="1" applyBorder="1" applyAlignment="1">
      <alignment horizontal="left" vertical="center" wrapText="1"/>
    </xf>
    <xf numFmtId="0" fontId="30" fillId="18" borderId="29" xfId="47" applyFont="1" applyFill="1" applyBorder="1" applyAlignment="1">
      <alignment horizontal="left" vertical="center" wrapText="1"/>
    </xf>
    <xf numFmtId="0" fontId="30" fillId="0" borderId="12" xfId="0" applyFont="1" applyBorder="1" applyAlignment="1">
      <alignment horizontal="left" vertical="center" wrapText="1"/>
    </xf>
    <xf numFmtId="0" fontId="30" fillId="0" borderId="13" xfId="0" applyFont="1" applyBorder="1" applyAlignment="1">
      <alignment horizontal="left" vertical="center" wrapText="1"/>
    </xf>
    <xf numFmtId="0" fontId="44" fillId="0" borderId="12" xfId="0" applyFont="1" applyBorder="1" applyAlignment="1">
      <alignment horizontal="center" vertical="center" wrapText="1"/>
    </xf>
    <xf numFmtId="0" fontId="44" fillId="0" borderId="33" xfId="0" applyFont="1" applyBorder="1" applyAlignment="1">
      <alignment horizontal="center" vertical="center" wrapText="1"/>
    </xf>
    <xf numFmtId="0" fontId="40" fillId="32" borderId="24" xfId="0" applyFont="1" applyFill="1" applyBorder="1" applyAlignment="1">
      <alignment horizontal="center" vertical="center"/>
    </xf>
    <xf numFmtId="0" fontId="40" fillId="32" borderId="21" xfId="0" applyFont="1" applyFill="1" applyBorder="1" applyAlignment="1">
      <alignment horizontal="center" vertical="center"/>
    </xf>
    <xf numFmtId="0" fontId="40" fillId="32" borderId="22" xfId="0" applyFont="1" applyFill="1" applyBorder="1" applyAlignment="1">
      <alignment horizontal="center" vertical="center"/>
    </xf>
    <xf numFmtId="0" fontId="40" fillId="32" borderId="29" xfId="0" applyFont="1" applyFill="1" applyBorder="1" applyAlignment="1">
      <alignment horizontal="center" vertical="center"/>
    </xf>
    <xf numFmtId="0" fontId="40" fillId="32" borderId="13" xfId="0" applyFont="1" applyFill="1" applyBorder="1" applyAlignment="1">
      <alignment horizontal="center" vertical="center"/>
    </xf>
    <xf numFmtId="0" fontId="40" fillId="32" borderId="19" xfId="0" applyFont="1" applyFill="1" applyBorder="1" applyAlignment="1">
      <alignment horizontal="center" vertical="center"/>
    </xf>
    <xf numFmtId="0" fontId="40" fillId="32" borderId="24" xfId="0" applyFont="1" applyFill="1" applyBorder="1" applyAlignment="1">
      <alignment horizontal="center" vertical="center" wrapText="1"/>
    </xf>
    <xf numFmtId="0" fontId="40" fillId="32" borderId="25" xfId="0" applyFont="1" applyFill="1" applyBorder="1" applyAlignment="1">
      <alignment horizontal="center" vertical="center" wrapText="1"/>
    </xf>
    <xf numFmtId="0" fontId="40" fillId="32" borderId="29" xfId="0" applyFont="1" applyFill="1" applyBorder="1" applyAlignment="1">
      <alignment horizontal="center" vertical="center" wrapText="1"/>
    </xf>
    <xf numFmtId="15" fontId="37" fillId="0" borderId="10" xfId="0" applyNumberFormat="1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37" fillId="0" borderId="11" xfId="0" applyFont="1" applyBorder="1" applyAlignment="1">
      <alignment horizontal="center" vertical="center"/>
    </xf>
    <xf numFmtId="15" fontId="37" fillId="0" borderId="12" xfId="0" applyNumberFormat="1" applyFont="1" applyBorder="1" applyAlignment="1">
      <alignment horizontal="center" vertical="center"/>
    </xf>
    <xf numFmtId="0" fontId="37" fillId="0" borderId="12" xfId="0" applyFont="1" applyBorder="1" applyAlignment="1">
      <alignment horizontal="center" vertical="center"/>
    </xf>
    <xf numFmtId="0" fontId="37" fillId="0" borderId="13" xfId="0" applyFont="1" applyBorder="1" applyAlignment="1">
      <alignment horizontal="center" vertical="center"/>
    </xf>
    <xf numFmtId="0" fontId="40" fillId="32" borderId="34" xfId="0" applyFont="1" applyFill="1" applyBorder="1" applyAlignment="1">
      <alignment horizontal="center" vertical="center"/>
    </xf>
    <xf numFmtId="0" fontId="40" fillId="32" borderId="37" xfId="0" applyFont="1" applyFill="1" applyBorder="1" applyAlignment="1">
      <alignment horizontal="center" vertical="center"/>
    </xf>
    <xf numFmtId="0" fontId="40" fillId="32" borderId="39" xfId="0" applyFont="1" applyFill="1" applyBorder="1" applyAlignment="1">
      <alignment horizontal="center" vertical="center"/>
    </xf>
    <xf numFmtId="0" fontId="40" fillId="32" borderId="25" xfId="0" applyFont="1" applyFill="1" applyBorder="1" applyAlignment="1">
      <alignment horizontal="center" vertical="center"/>
    </xf>
    <xf numFmtId="0" fontId="40" fillId="32" borderId="38" xfId="0" applyFont="1" applyFill="1" applyBorder="1" applyAlignment="1">
      <alignment horizontal="center" vertical="center"/>
    </xf>
    <xf numFmtId="0" fontId="40" fillId="32" borderId="33" xfId="0" applyFont="1" applyFill="1" applyBorder="1" applyAlignment="1">
      <alignment horizontal="center" vertical="center" wrapText="1"/>
    </xf>
    <xf numFmtId="0" fontId="40" fillId="32" borderId="36" xfId="0" applyFont="1" applyFill="1" applyBorder="1" applyAlignment="1">
      <alignment horizontal="center" vertical="center" wrapText="1"/>
    </xf>
    <xf numFmtId="0" fontId="40" fillId="32" borderId="12" xfId="0" applyFont="1" applyFill="1" applyBorder="1" applyAlignment="1">
      <alignment horizontal="center" vertical="center"/>
    </xf>
    <xf numFmtId="0" fontId="40" fillId="32" borderId="18" xfId="0" applyFont="1" applyFill="1" applyBorder="1" applyAlignment="1">
      <alignment horizontal="center" vertical="center"/>
    </xf>
    <xf numFmtId="0" fontId="44" fillId="0" borderId="25" xfId="0" applyFont="1" applyBorder="1" applyAlignment="1">
      <alignment horizontal="center" vertical="center" wrapText="1"/>
    </xf>
    <xf numFmtId="0" fontId="44" fillId="0" borderId="38" xfId="0" applyFont="1" applyBorder="1" applyAlignment="1">
      <alignment horizontal="center" vertical="center" wrapText="1"/>
    </xf>
    <xf numFmtId="0" fontId="49" fillId="32" borderId="54" xfId="0" applyFont="1" applyFill="1" applyBorder="1" applyAlignment="1">
      <alignment horizontal="center" vertical="center"/>
    </xf>
    <xf numFmtId="0" fontId="49" fillId="32" borderId="55" xfId="0" applyFont="1" applyFill="1" applyBorder="1" applyAlignment="1">
      <alignment horizontal="center" vertical="center"/>
    </xf>
    <xf numFmtId="0" fontId="49" fillId="32" borderId="43" xfId="0" applyFont="1" applyFill="1" applyBorder="1" applyAlignment="1">
      <alignment horizontal="center" vertical="center"/>
    </xf>
    <xf numFmtId="0" fontId="49" fillId="32" borderId="44" xfId="0" applyFont="1" applyFill="1" applyBorder="1" applyAlignment="1">
      <alignment horizontal="center" vertical="center"/>
    </xf>
    <xf numFmtId="0" fontId="40" fillId="32" borderId="13" xfId="0" applyFont="1" applyFill="1" applyBorder="1" applyAlignment="1">
      <alignment horizontal="center" vertical="center" wrapText="1"/>
    </xf>
    <xf numFmtId="0" fontId="40" fillId="32" borderId="19" xfId="0" applyFont="1" applyFill="1" applyBorder="1" applyAlignment="1">
      <alignment horizontal="center" vertical="center" wrapText="1"/>
    </xf>
    <xf numFmtId="0" fontId="40" fillId="32" borderId="21" xfId="0" applyFont="1" applyFill="1" applyBorder="1" applyAlignment="1">
      <alignment horizontal="center" vertical="center" wrapText="1"/>
    </xf>
    <xf numFmtId="0" fontId="40" fillId="32" borderId="22" xfId="0" applyFont="1" applyFill="1" applyBorder="1" applyAlignment="1">
      <alignment horizontal="center" vertical="center" wrapText="1"/>
    </xf>
    <xf numFmtId="0" fontId="40" fillId="32" borderId="12" xfId="0" applyFont="1" applyFill="1" applyBorder="1" applyAlignment="1">
      <alignment horizontal="center" vertical="center" wrapText="1"/>
    </xf>
    <xf numFmtId="0" fontId="40" fillId="32" borderId="18" xfId="0" applyFont="1" applyFill="1" applyBorder="1" applyAlignment="1">
      <alignment horizontal="center" vertical="center" wrapText="1"/>
    </xf>
    <xf numFmtId="0" fontId="40" fillId="32" borderId="56" xfId="0" applyFont="1" applyFill="1" applyBorder="1" applyAlignment="1">
      <alignment horizontal="center" vertical="center" wrapText="1"/>
    </xf>
    <xf numFmtId="0" fontId="40" fillId="32" borderId="59" xfId="0" applyFont="1" applyFill="1" applyBorder="1" applyAlignment="1">
      <alignment horizontal="center" vertical="center" wrapText="1"/>
    </xf>
    <xf numFmtId="4" fontId="37" fillId="0" borderId="12" xfId="0" applyNumberFormat="1" applyFont="1" applyBorder="1" applyAlignment="1">
      <alignment horizontal="center" vertical="center"/>
    </xf>
    <xf numFmtId="4" fontId="37" fillId="0" borderId="13" xfId="0" applyNumberFormat="1" applyFont="1" applyBorder="1" applyAlignment="1">
      <alignment horizontal="center" vertical="center"/>
    </xf>
    <xf numFmtId="4" fontId="37" fillId="0" borderId="25" xfId="0" applyNumberFormat="1" applyFont="1" applyBorder="1" applyAlignment="1">
      <alignment horizontal="center" vertical="center"/>
    </xf>
    <xf numFmtId="0" fontId="37" fillId="0" borderId="25" xfId="0" applyFont="1" applyBorder="1" applyAlignment="1">
      <alignment horizontal="center" vertical="center"/>
    </xf>
    <xf numFmtId="0" fontId="37" fillId="0" borderId="29" xfId="0" applyFont="1" applyBorder="1" applyAlignment="1">
      <alignment horizontal="center" vertical="center"/>
    </xf>
    <xf numFmtId="0" fontId="44" fillId="22" borderId="10" xfId="0" applyFont="1" applyFill="1" applyBorder="1" applyAlignment="1">
      <alignment horizontal="center" vertical="center" wrapText="1"/>
    </xf>
    <xf numFmtId="0" fontId="44" fillId="22" borderId="23" xfId="0" applyFont="1" applyFill="1" applyBorder="1" applyAlignment="1">
      <alignment horizontal="center" vertical="center" wrapText="1"/>
    </xf>
    <xf numFmtId="0" fontId="60" fillId="0" borderId="32" xfId="50" quotePrefix="1" applyFont="1" applyBorder="1" applyAlignment="1">
      <alignment horizontal="left" readingOrder="2"/>
    </xf>
    <xf numFmtId="0" fontId="60" fillId="0" borderId="59" xfId="50" quotePrefix="1" applyFont="1" applyBorder="1" applyAlignment="1">
      <alignment horizontal="left" readingOrder="2"/>
    </xf>
    <xf numFmtId="0" fontId="60" fillId="0" borderId="34" xfId="50" quotePrefix="1" applyFont="1" applyBorder="1" applyAlignment="1">
      <alignment horizontal="left" readingOrder="2"/>
    </xf>
    <xf numFmtId="0" fontId="76" fillId="0" borderId="26" xfId="50" applyFont="1" applyBorder="1" applyAlignment="1">
      <alignment horizontal="center" vertical="top"/>
    </xf>
    <xf numFmtId="0" fontId="76" fillId="0" borderId="27" xfId="50" applyFont="1" applyBorder="1" applyAlignment="1">
      <alignment horizontal="center" vertical="top"/>
    </xf>
    <xf numFmtId="0" fontId="76" fillId="0" borderId="28" xfId="50" applyFont="1" applyBorder="1" applyAlignment="1">
      <alignment horizontal="center" vertical="top"/>
    </xf>
    <xf numFmtId="0" fontId="108" fillId="0" borderId="35" xfId="50" applyFont="1" applyBorder="1" applyAlignment="1">
      <alignment horizontal="left" vertical="top" wrapText="1"/>
    </xf>
    <xf numFmtId="0" fontId="108" fillId="0" borderId="61" xfId="50" applyFont="1" applyBorder="1" applyAlignment="1">
      <alignment horizontal="left" vertical="top" wrapText="1"/>
    </xf>
    <xf numFmtId="0" fontId="108" fillId="0" borderId="14" xfId="50" applyFont="1" applyBorder="1" applyAlignment="1">
      <alignment horizontal="left" vertical="top" wrapText="1"/>
    </xf>
    <xf numFmtId="0" fontId="108" fillId="0" borderId="15" xfId="50" applyFont="1" applyBorder="1" applyAlignment="1">
      <alignment horizontal="left" vertical="top" wrapText="1"/>
    </xf>
    <xf numFmtId="0" fontId="108" fillId="0" borderId="10" xfId="50" applyFont="1" applyBorder="1" applyAlignment="1">
      <alignment horizontal="left" vertical="top" wrapText="1"/>
    </xf>
    <xf numFmtId="0" fontId="76" fillId="0" borderId="26" xfId="50" applyFont="1" applyBorder="1" applyAlignment="1">
      <alignment horizontal="center" vertical="top" wrapText="1"/>
    </xf>
    <xf numFmtId="0" fontId="76" fillId="0" borderId="27" xfId="50" applyFont="1" applyBorder="1" applyAlignment="1">
      <alignment horizontal="center" vertical="top" wrapText="1"/>
    </xf>
    <xf numFmtId="0" fontId="76" fillId="0" borderId="28" xfId="50" applyFont="1" applyBorder="1" applyAlignment="1">
      <alignment horizontal="center" vertical="top" wrapText="1"/>
    </xf>
    <xf numFmtId="0" fontId="60" fillId="0" borderId="32" xfId="50" applyFont="1" applyBorder="1" applyAlignment="1">
      <alignment horizontal="left" vertical="top" wrapText="1"/>
    </xf>
    <xf numFmtId="0" fontId="60" fillId="0" borderId="59" xfId="50" applyFont="1" applyBorder="1" applyAlignment="1">
      <alignment horizontal="left" vertical="top" wrapText="1"/>
    </xf>
    <xf numFmtId="0" fontId="60" fillId="0" borderId="34" xfId="50" applyFont="1" applyBorder="1" applyAlignment="1">
      <alignment horizontal="left" vertical="top" wrapText="1"/>
    </xf>
    <xf numFmtId="0" fontId="108" fillId="0" borderId="32" xfId="50" applyFont="1" applyBorder="1" applyAlignment="1">
      <alignment horizontal="left" vertical="top" wrapText="1"/>
    </xf>
    <xf numFmtId="0" fontId="108" fillId="0" borderId="59" xfId="50" applyFont="1" applyBorder="1" applyAlignment="1">
      <alignment horizontal="left" vertical="top" wrapText="1"/>
    </xf>
    <xf numFmtId="0" fontId="108" fillId="0" borderId="34" xfId="50" applyFont="1" applyBorder="1" applyAlignment="1">
      <alignment horizontal="left" vertical="top" wrapText="1"/>
    </xf>
    <xf numFmtId="0" fontId="36" fillId="0" borderId="0" xfId="50" applyFont="1" applyFill="1" applyAlignment="1">
      <alignment horizontal="left" vertical="top" wrapText="1"/>
    </xf>
    <xf numFmtId="0" fontId="81" fillId="0" borderId="12" xfId="50" applyFont="1" applyFill="1" applyBorder="1" applyAlignment="1">
      <alignment horizontal="center" vertical="center"/>
    </xf>
    <xf numFmtId="0" fontId="81" fillId="0" borderId="12" xfId="46" applyFont="1" applyFill="1" applyBorder="1" applyAlignment="1" applyProtection="1">
      <alignment horizontal="center" vertical="center"/>
      <protection locked="0"/>
    </xf>
    <xf numFmtId="0" fontId="81" fillId="0" borderId="12" xfId="50" applyFont="1" applyFill="1" applyBorder="1" applyAlignment="1">
      <alignment horizontal="center" vertical="center" wrapText="1"/>
    </xf>
    <xf numFmtId="0" fontId="108" fillId="0" borderId="81" xfId="50" applyFont="1" applyBorder="1" applyAlignment="1">
      <alignment horizontal="left" vertical="top" wrapText="1"/>
    </xf>
    <xf numFmtId="0" fontId="108" fillId="0" borderId="71" xfId="50" applyFont="1" applyBorder="1" applyAlignment="1">
      <alignment horizontal="left" vertical="top" wrapText="1"/>
    </xf>
    <xf numFmtId="0" fontId="108" fillId="0" borderId="30" xfId="50" applyFont="1" applyBorder="1" applyAlignment="1">
      <alignment horizontal="left" vertical="top" wrapText="1"/>
    </xf>
    <xf numFmtId="0" fontId="25" fillId="0" borderId="12" xfId="0" applyFont="1" applyFill="1" applyBorder="1" applyAlignment="1">
      <alignment horizontal="center"/>
    </xf>
    <xf numFmtId="0" fontId="25" fillId="0" borderId="12" xfId="50" applyFont="1" applyFill="1" applyBorder="1" applyAlignment="1">
      <alignment horizontal="center" vertical="center"/>
    </xf>
    <xf numFmtId="0" fontId="25" fillId="0" borderId="12" xfId="50" applyFont="1" applyFill="1" applyBorder="1" applyAlignment="1">
      <alignment horizontal="right" vertical="center"/>
    </xf>
    <xf numFmtId="4" fontId="25" fillId="0" borderId="12" xfId="50" applyNumberFormat="1" applyFont="1" applyFill="1" applyBorder="1" applyAlignment="1">
      <alignment horizontal="center" vertical="center"/>
    </xf>
    <xf numFmtId="0" fontId="41" fillId="0" borderId="0" xfId="0" quotePrefix="1" applyFont="1" applyFill="1" applyAlignment="1">
      <alignment horizontal="left"/>
    </xf>
    <xf numFmtId="0" fontId="41" fillId="0" borderId="0" xfId="0" applyFont="1" applyFill="1" applyAlignment="1">
      <alignment horizontal="left"/>
    </xf>
    <xf numFmtId="0" fontId="50" fillId="0" borderId="50" xfId="46" applyFont="1" applyFill="1" applyBorder="1" applyAlignment="1" applyProtection="1">
      <alignment horizontal="center" vertical="center"/>
      <protection locked="0"/>
    </xf>
    <xf numFmtId="0" fontId="50" fillId="0" borderId="51" xfId="46" applyFont="1" applyFill="1" applyBorder="1" applyAlignment="1" applyProtection="1">
      <alignment horizontal="center" vertical="center"/>
      <protection locked="0"/>
    </xf>
    <xf numFmtId="0" fontId="50" fillId="0" borderId="53" xfId="46" applyFont="1" applyFill="1" applyBorder="1" applyAlignment="1" applyProtection="1">
      <alignment horizontal="center" vertical="center"/>
      <protection locked="0"/>
    </xf>
    <xf numFmtId="0" fontId="72" fillId="0" borderId="12" xfId="0" applyFont="1" applyBorder="1" applyAlignment="1">
      <alignment horizontal="center" vertical="center"/>
    </xf>
    <xf numFmtId="0" fontId="42" fillId="35" borderId="12" xfId="50" applyFont="1" applyFill="1" applyBorder="1" applyAlignment="1">
      <alignment horizontal="center" vertical="top" wrapText="1"/>
    </xf>
    <xf numFmtId="0" fontId="41" fillId="0" borderId="0" xfId="0" quotePrefix="1" applyFont="1" applyAlignment="1">
      <alignment horizontal="left"/>
    </xf>
    <xf numFmtId="0" fontId="41" fillId="0" borderId="0" xfId="0" applyFont="1" applyAlignment="1">
      <alignment horizontal="left"/>
    </xf>
    <xf numFmtId="0" fontId="27" fillId="35" borderId="12" xfId="0" applyFont="1" applyFill="1" applyBorder="1" applyAlignment="1">
      <alignment horizontal="center" vertical="center"/>
    </xf>
    <xf numFmtId="0" fontId="42" fillId="0" borderId="12" xfId="0" applyFont="1" applyBorder="1" applyAlignment="1">
      <alignment horizontal="center" vertical="center" wrapText="1"/>
    </xf>
    <xf numFmtId="0" fontId="34" fillId="24" borderId="45" xfId="46" applyFont="1" applyFill="1" applyBorder="1" applyAlignment="1" applyProtection="1">
      <alignment horizontal="center" vertical="center"/>
      <protection locked="0"/>
    </xf>
    <xf numFmtId="0" fontId="34" fillId="24" borderId="46" xfId="46" applyFont="1" applyFill="1" applyBorder="1" applyAlignment="1" applyProtection="1">
      <alignment horizontal="center" vertical="center"/>
      <protection locked="0"/>
    </xf>
    <xf numFmtId="0" fontId="34" fillId="24" borderId="49" xfId="46" applyFont="1" applyFill="1" applyBorder="1" applyAlignment="1" applyProtection="1">
      <alignment horizontal="center" vertical="center"/>
      <protection locked="0"/>
    </xf>
    <xf numFmtId="0" fontId="27" fillId="35" borderId="50" xfId="0" applyFont="1" applyFill="1" applyBorder="1" applyAlignment="1">
      <alignment horizontal="center" vertical="center"/>
    </xf>
    <xf numFmtId="0" fontId="27" fillId="35" borderId="51" xfId="0" applyFont="1" applyFill="1" applyBorder="1" applyAlignment="1">
      <alignment horizontal="center" vertical="center"/>
    </xf>
    <xf numFmtId="0" fontId="27" fillId="35" borderId="53" xfId="0" applyFont="1" applyFill="1" applyBorder="1" applyAlignment="1">
      <alignment horizontal="center" vertical="center"/>
    </xf>
    <xf numFmtId="0" fontId="72" fillId="0" borderId="32" xfId="0" applyFont="1" applyBorder="1" applyAlignment="1">
      <alignment horizontal="center" vertical="center"/>
    </xf>
    <xf numFmtId="0" fontId="72" fillId="0" borderId="59" xfId="0" applyFont="1" applyBorder="1" applyAlignment="1">
      <alignment horizontal="center" vertical="center"/>
    </xf>
    <xf numFmtId="0" fontId="72" fillId="0" borderId="60" xfId="0" applyFont="1" applyBorder="1" applyAlignment="1">
      <alignment horizontal="center" vertical="center"/>
    </xf>
    <xf numFmtId="0" fontId="42" fillId="0" borderId="0" xfId="50" applyFont="1" applyAlignment="1">
      <alignment horizontal="center" vertical="center"/>
    </xf>
    <xf numFmtId="0" fontId="24" fillId="0" borderId="0" xfId="50" quotePrefix="1" applyFont="1" applyAlignment="1">
      <alignment horizontal="left" vertical="top" wrapText="1"/>
    </xf>
    <xf numFmtId="0" fontId="24" fillId="0" borderId="0" xfId="50" applyFont="1" applyAlignment="1">
      <alignment horizontal="left" vertical="top" wrapText="1"/>
    </xf>
    <xf numFmtId="0" fontId="42" fillId="0" borderId="41" xfId="0" applyFont="1" applyBorder="1" applyAlignment="1">
      <alignment horizontal="center" vertical="center" wrapText="1"/>
    </xf>
    <xf numFmtId="0" fontId="42" fillId="0" borderId="56" xfId="0" applyFont="1" applyBorder="1" applyAlignment="1">
      <alignment horizontal="center" vertical="center" wrapText="1"/>
    </xf>
    <xf numFmtId="0" fontId="42" fillId="0" borderId="57" xfId="0" applyFont="1" applyBorder="1" applyAlignment="1">
      <alignment horizontal="center" vertical="center" wrapText="1"/>
    </xf>
    <xf numFmtId="0" fontId="72" fillId="0" borderId="35" xfId="0" applyFont="1" applyBorder="1" applyAlignment="1">
      <alignment horizontal="center" vertical="center"/>
    </xf>
    <xf numFmtId="0" fontId="72" fillId="0" borderId="61" xfId="0" applyFont="1" applyBorder="1" applyAlignment="1">
      <alignment horizontal="center" vertical="center"/>
    </xf>
    <xf numFmtId="0" fontId="72" fillId="0" borderId="62" xfId="0" applyFont="1" applyBorder="1" applyAlignment="1">
      <alignment horizontal="center" vertical="center"/>
    </xf>
    <xf numFmtId="0" fontId="34" fillId="24" borderId="54" xfId="50" applyFont="1" applyFill="1" applyBorder="1" applyAlignment="1">
      <alignment horizontal="center" vertical="center" wrapText="1"/>
    </xf>
    <xf numFmtId="0" fontId="34" fillId="24" borderId="55" xfId="50" applyFont="1" applyFill="1" applyBorder="1" applyAlignment="1">
      <alignment horizontal="center" vertical="center" wrapText="1"/>
    </xf>
    <xf numFmtId="0" fontId="34" fillId="24" borderId="58" xfId="50" applyFont="1" applyFill="1" applyBorder="1" applyAlignment="1">
      <alignment horizontal="center" vertical="center" wrapText="1"/>
    </xf>
    <xf numFmtId="0" fontId="34" fillId="24" borderId="40" xfId="50" applyFont="1" applyFill="1" applyBorder="1" applyAlignment="1">
      <alignment horizontal="center" vertical="center" wrapText="1"/>
    </xf>
    <xf numFmtId="0" fontId="34" fillId="24" borderId="0" xfId="50" applyFont="1" applyFill="1" applyAlignment="1">
      <alignment horizontal="center" vertical="center" wrapText="1"/>
    </xf>
    <xf numFmtId="0" fontId="34" fillId="24" borderId="42" xfId="50" applyFont="1" applyFill="1" applyBorder="1" applyAlignment="1">
      <alignment horizontal="center" vertical="center" wrapText="1"/>
    </xf>
    <xf numFmtId="0" fontId="34" fillId="24" borderId="43" xfId="50" applyFont="1" applyFill="1" applyBorder="1" applyAlignment="1">
      <alignment horizontal="center" vertical="center" wrapText="1"/>
    </xf>
    <xf numFmtId="0" fontId="34" fillId="24" borderId="44" xfId="50" applyFont="1" applyFill="1" applyBorder="1" applyAlignment="1">
      <alignment horizontal="center" vertical="center" wrapText="1"/>
    </xf>
    <xf numFmtId="0" fontId="34" fillId="24" borderId="48" xfId="50" applyFont="1" applyFill="1" applyBorder="1" applyAlignment="1">
      <alignment horizontal="center" vertical="center" wrapText="1"/>
    </xf>
    <xf numFmtId="0" fontId="24" fillId="0" borderId="0" xfId="50" applyFont="1" applyAlignment="1">
      <alignment horizontal="center" vertical="center"/>
    </xf>
    <xf numFmtId="0" fontId="42" fillId="35" borderId="0" xfId="50" applyFont="1" applyFill="1" applyAlignment="1">
      <alignment horizontal="center" vertical="top" wrapText="1"/>
    </xf>
    <xf numFmtId="0" fontId="34" fillId="24" borderId="45" xfId="50" applyFont="1" applyFill="1" applyBorder="1" applyAlignment="1">
      <alignment horizontal="center" vertical="center"/>
    </xf>
    <xf numFmtId="0" fontId="34" fillId="24" borderId="46" xfId="50" applyFont="1" applyFill="1" applyBorder="1" applyAlignment="1">
      <alignment horizontal="center" vertical="center"/>
    </xf>
    <xf numFmtId="0" fontId="34" fillId="24" borderId="49" xfId="50" applyFont="1" applyFill="1" applyBorder="1" applyAlignment="1">
      <alignment horizontal="center" vertical="center"/>
    </xf>
    <xf numFmtId="0" fontId="82" fillId="0" borderId="50" xfId="0" applyFont="1" applyBorder="1" applyAlignment="1">
      <alignment horizontal="center"/>
    </xf>
    <xf numFmtId="0" fontId="82" fillId="0" borderId="51" xfId="0" applyFont="1" applyBorder="1" applyAlignment="1">
      <alignment horizontal="center"/>
    </xf>
    <xf numFmtId="0" fontId="48" fillId="19" borderId="24" xfId="0" applyFont="1" applyFill="1" applyBorder="1" applyAlignment="1">
      <alignment horizontal="center"/>
    </xf>
    <xf numFmtId="0" fontId="48" fillId="19" borderId="29" xfId="0" applyFont="1" applyFill="1" applyBorder="1" applyAlignment="1">
      <alignment horizontal="center"/>
    </xf>
    <xf numFmtId="0" fontId="48" fillId="20" borderId="24" xfId="0" applyFont="1" applyFill="1" applyBorder="1" applyAlignment="1">
      <alignment horizontal="center"/>
    </xf>
    <xf numFmtId="0" fontId="48" fillId="20" borderId="29" xfId="0" applyFont="1" applyFill="1" applyBorder="1" applyAlignment="1">
      <alignment horizontal="center"/>
    </xf>
    <xf numFmtId="0" fontId="49" fillId="24" borderId="54" xfId="0" applyFont="1" applyFill="1" applyBorder="1" applyAlignment="1">
      <alignment horizontal="center" vertical="center"/>
    </xf>
    <xf numFmtId="0" fontId="49" fillId="24" borderId="55" xfId="0" applyFont="1" applyFill="1" applyBorder="1" applyAlignment="1">
      <alignment horizontal="center" vertical="center"/>
    </xf>
    <xf numFmtId="0" fontId="49" fillId="24" borderId="58" xfId="0" applyFont="1" applyFill="1" applyBorder="1" applyAlignment="1">
      <alignment horizontal="center" vertical="center"/>
    </xf>
    <xf numFmtId="0" fontId="49" fillId="24" borderId="43" xfId="0" applyFont="1" applyFill="1" applyBorder="1" applyAlignment="1">
      <alignment horizontal="center" vertical="center"/>
    </xf>
    <xf numFmtId="0" fontId="49" fillId="24" borderId="44" xfId="0" applyFont="1" applyFill="1" applyBorder="1" applyAlignment="1">
      <alignment horizontal="center" vertical="center"/>
    </xf>
    <xf numFmtId="0" fontId="49" fillId="24" borderId="48" xfId="0" applyFont="1" applyFill="1" applyBorder="1" applyAlignment="1">
      <alignment horizontal="center" vertical="center"/>
    </xf>
    <xf numFmtId="0" fontId="48" fillId="20" borderId="41" xfId="0" applyFont="1" applyFill="1" applyBorder="1" applyAlignment="1">
      <alignment horizontal="center"/>
    </xf>
    <xf numFmtId="0" fontId="48" fillId="20" borderId="57" xfId="0" applyFont="1" applyFill="1" applyBorder="1" applyAlignment="1">
      <alignment horizontal="center"/>
    </xf>
    <xf numFmtId="0" fontId="48" fillId="19" borderId="41" xfId="0" applyFont="1" applyFill="1" applyBorder="1" applyAlignment="1">
      <alignment horizontal="center"/>
    </xf>
    <xf numFmtId="0" fontId="48" fillId="19" borderId="57" xfId="0" applyFont="1" applyFill="1" applyBorder="1" applyAlignment="1">
      <alignment horizontal="center"/>
    </xf>
    <xf numFmtId="174" fontId="52" fillId="31" borderId="18" xfId="77" applyNumberFormat="1" applyFont="1" applyFill="1" applyBorder="1" applyAlignment="1">
      <alignment horizontal="center" vertical="center"/>
    </xf>
    <xf numFmtId="174" fontId="52" fillId="31" borderId="16" xfId="77" applyNumberFormat="1" applyFont="1" applyFill="1" applyBorder="1" applyAlignment="1">
      <alignment horizontal="center" vertical="center"/>
    </xf>
    <xf numFmtId="174" fontId="52" fillId="0" borderId="18" xfId="77" applyNumberFormat="1" applyFont="1" applyBorder="1" applyAlignment="1">
      <alignment horizontal="center" vertical="center"/>
    </xf>
    <xf numFmtId="174" fontId="52" fillId="0" borderId="16" xfId="77" applyNumberFormat="1" applyFont="1" applyBorder="1" applyAlignment="1">
      <alignment horizontal="center" vertical="center"/>
    </xf>
    <xf numFmtId="0" fontId="71" fillId="0" borderId="71" xfId="77" applyFont="1" applyBorder="1" applyAlignment="1">
      <alignment horizontal="left" vertical="center" wrapText="1"/>
    </xf>
    <xf numFmtId="0" fontId="49" fillId="32" borderId="50" xfId="0" applyFont="1" applyFill="1" applyBorder="1" applyAlignment="1">
      <alignment horizontal="center" vertical="center"/>
    </xf>
    <xf numFmtId="0" fontId="49" fillId="32" borderId="51" xfId="0" applyFont="1" applyFill="1" applyBorder="1" applyAlignment="1">
      <alignment horizontal="center" vertical="center"/>
    </xf>
    <xf numFmtId="0" fontId="49" fillId="32" borderId="53" xfId="0" applyFont="1" applyFill="1" applyBorder="1" applyAlignment="1">
      <alignment horizontal="center" vertical="center"/>
    </xf>
    <xf numFmtId="0" fontId="28" fillId="0" borderId="25" xfId="64" applyFont="1" applyBorder="1" applyAlignment="1">
      <alignment horizontal="center" vertical="center" wrapText="1"/>
    </xf>
    <xf numFmtId="0" fontId="28" fillId="0" borderId="29" xfId="64" applyFont="1" applyBorder="1" applyAlignment="1">
      <alignment horizontal="center" vertical="center" wrapText="1"/>
    </xf>
    <xf numFmtId="0" fontId="53" fillId="0" borderId="36" xfId="77" applyFont="1" applyBorder="1" applyAlignment="1">
      <alignment horizontal="center" vertical="center" wrapText="1"/>
    </xf>
    <xf numFmtId="0" fontId="53" fillId="0" borderId="74" xfId="77" applyFont="1" applyBorder="1" applyAlignment="1">
      <alignment horizontal="center" vertical="center" wrapText="1"/>
    </xf>
    <xf numFmtId="0" fontId="53" fillId="0" borderId="37" xfId="77" applyFont="1" applyBorder="1" applyAlignment="1">
      <alignment horizontal="center" vertical="center" wrapText="1"/>
    </xf>
    <xf numFmtId="0" fontId="53" fillId="0" borderId="31" xfId="77" applyFont="1" applyBorder="1" applyAlignment="1">
      <alignment horizontal="center" vertical="center" wrapText="1"/>
    </xf>
    <xf numFmtId="0" fontId="53" fillId="0" borderId="71" xfId="77" applyFont="1" applyBorder="1" applyAlignment="1">
      <alignment horizontal="center" vertical="center" wrapText="1"/>
    </xf>
    <xf numFmtId="0" fontId="53" fillId="0" borderId="30" xfId="77" applyFont="1" applyBorder="1" applyAlignment="1">
      <alignment horizontal="center" vertical="center" wrapText="1"/>
    </xf>
    <xf numFmtId="0" fontId="55" fillId="0" borderId="21" xfId="64" applyFont="1" applyBorder="1" applyAlignment="1">
      <alignment horizontal="center" vertical="center" wrapText="1"/>
    </xf>
    <xf numFmtId="0" fontId="55" fillId="0" borderId="12" xfId="64" applyFont="1" applyBorder="1" applyAlignment="1">
      <alignment horizontal="center" vertical="center" wrapText="1"/>
    </xf>
    <xf numFmtId="0" fontId="55" fillId="0" borderId="24" xfId="64" applyFont="1" applyBorder="1" applyAlignment="1">
      <alignment horizontal="center" vertical="center" wrapText="1"/>
    </xf>
    <xf numFmtId="0" fontId="55" fillId="0" borderId="25" xfId="64" applyFont="1" applyBorder="1" applyAlignment="1">
      <alignment horizontal="center" vertical="center" wrapText="1"/>
    </xf>
    <xf numFmtId="0" fontId="28" fillId="0" borderId="12" xfId="64" applyFont="1" applyBorder="1" applyAlignment="1">
      <alignment horizontal="center" vertical="center"/>
    </xf>
    <xf numFmtId="0" fontId="28" fillId="0" borderId="13" xfId="64" applyFont="1" applyBorder="1" applyAlignment="1">
      <alignment horizontal="center" vertical="center"/>
    </xf>
    <xf numFmtId="176" fontId="54" fillId="0" borderId="33" xfId="64" applyNumberFormat="1" applyFont="1" applyBorder="1" applyAlignment="1">
      <alignment horizontal="center" vertical="center"/>
    </xf>
    <xf numFmtId="176" fontId="54" fillId="0" borderId="34" xfId="64" applyNumberFormat="1" applyFont="1" applyBorder="1" applyAlignment="1">
      <alignment horizontal="center" vertical="center"/>
    </xf>
    <xf numFmtId="14" fontId="55" fillId="0" borderId="23" xfId="77" applyNumberFormat="1" applyFont="1" applyBorder="1" applyAlignment="1">
      <alignment horizontal="center"/>
    </xf>
    <xf numFmtId="14" fontId="55" fillId="0" borderId="61" xfId="77" applyNumberFormat="1" applyFont="1" applyBorder="1" applyAlignment="1">
      <alignment horizontal="center"/>
    </xf>
    <xf numFmtId="14" fontId="55" fillId="0" borderId="62" xfId="77" applyNumberFormat="1" applyFont="1" applyBorder="1" applyAlignment="1">
      <alignment horizontal="center"/>
    </xf>
    <xf numFmtId="0" fontId="28" fillId="0" borderId="12" xfId="64" applyFont="1" applyBorder="1" applyAlignment="1">
      <alignment horizontal="left" vertical="center"/>
    </xf>
    <xf numFmtId="0" fontId="28" fillId="0" borderId="13" xfId="64" applyFont="1" applyBorder="1" applyAlignment="1">
      <alignment horizontal="left" vertical="center"/>
    </xf>
    <xf numFmtId="17" fontId="53" fillId="0" borderId="26" xfId="64" applyNumberFormat="1" applyFont="1" applyBorder="1" applyAlignment="1">
      <alignment horizontal="center"/>
    </xf>
    <xf numFmtId="17" fontId="53" fillId="0" borderId="27" xfId="64" applyNumberFormat="1" applyFont="1" applyBorder="1" applyAlignment="1">
      <alignment horizontal="center"/>
    </xf>
    <xf numFmtId="0" fontId="49" fillId="24" borderId="50" xfId="0" applyFont="1" applyFill="1" applyBorder="1" applyAlignment="1">
      <alignment horizontal="center" vertical="center"/>
    </xf>
    <xf numFmtId="0" fontId="49" fillId="24" borderId="51" xfId="0" applyFont="1" applyFill="1" applyBorder="1" applyAlignment="1">
      <alignment horizontal="center" vertical="center"/>
    </xf>
    <xf numFmtId="0" fontId="52" fillId="0" borderId="25" xfId="64" applyFont="1" applyBorder="1" applyAlignment="1">
      <alignment horizontal="center" vertical="center" wrapText="1"/>
    </xf>
    <xf numFmtId="0" fontId="52" fillId="0" borderId="29" xfId="64" applyFont="1" applyBorder="1" applyAlignment="1">
      <alignment horizontal="center" vertical="center" wrapText="1"/>
    </xf>
    <xf numFmtId="0" fontId="53" fillId="24" borderId="50" xfId="64" applyFont="1" applyFill="1" applyBorder="1" applyAlignment="1">
      <alignment horizontal="center"/>
    </xf>
    <xf numFmtId="0" fontId="53" fillId="24" borderId="53" xfId="64" applyFont="1" applyFill="1" applyBorder="1" applyAlignment="1">
      <alignment horizontal="center"/>
    </xf>
    <xf numFmtId="0" fontId="53" fillId="24" borderId="24" xfId="64" applyFont="1" applyFill="1" applyBorder="1" applyAlignment="1">
      <alignment horizontal="center" vertical="center"/>
    </xf>
    <xf numFmtId="0" fontId="53" fillId="24" borderId="21" xfId="64" applyFont="1" applyFill="1" applyBorder="1" applyAlignment="1">
      <alignment horizontal="center" vertical="center"/>
    </xf>
    <xf numFmtId="0" fontId="53" fillId="24" borderId="15" xfId="64" applyFont="1" applyFill="1" applyBorder="1" applyAlignment="1">
      <alignment horizontal="center" vertical="center"/>
    </xf>
    <xf numFmtId="0" fontId="53" fillId="24" borderId="68" xfId="77" applyFont="1" applyFill="1" applyBorder="1" applyAlignment="1">
      <alignment horizontal="center" vertical="center"/>
    </xf>
    <xf numFmtId="0" fontId="53" fillId="24" borderId="70" xfId="77" applyFont="1" applyFill="1" applyBorder="1" applyAlignment="1">
      <alignment horizontal="center" vertical="center"/>
    </xf>
    <xf numFmtId="0" fontId="53" fillId="24" borderId="73" xfId="77" applyFont="1" applyFill="1" applyBorder="1" applyAlignment="1">
      <alignment horizontal="center" vertical="center"/>
    </xf>
    <xf numFmtId="4" fontId="53" fillId="24" borderId="68" xfId="77" applyNumberFormat="1" applyFont="1" applyFill="1" applyBorder="1" applyAlignment="1">
      <alignment horizontal="center" vertical="center"/>
    </xf>
    <xf numFmtId="4" fontId="53" fillId="24" borderId="70" xfId="77" applyNumberFormat="1" applyFont="1" applyFill="1" applyBorder="1" applyAlignment="1">
      <alignment horizontal="center" vertical="center"/>
    </xf>
    <xf numFmtId="0" fontId="52" fillId="0" borderId="21" xfId="64" applyFont="1" applyBorder="1" applyAlignment="1">
      <alignment horizontal="center" vertical="center"/>
    </xf>
    <xf numFmtId="0" fontId="52" fillId="0" borderId="12" xfId="64" applyFont="1" applyBorder="1" applyAlignment="1">
      <alignment horizontal="center" vertical="center"/>
    </xf>
    <xf numFmtId="0" fontId="52" fillId="0" borderId="24" xfId="64" applyFont="1" applyBorder="1" applyAlignment="1">
      <alignment horizontal="center" vertical="center"/>
    </xf>
    <xf numFmtId="0" fontId="52" fillId="0" borderId="25" xfId="64" applyFont="1" applyBorder="1" applyAlignment="1">
      <alignment horizontal="center" vertical="center"/>
    </xf>
    <xf numFmtId="0" fontId="55" fillId="24" borderId="50" xfId="77" applyFont="1" applyFill="1" applyBorder="1" applyAlignment="1">
      <alignment horizontal="center" vertical="center"/>
    </xf>
    <xf numFmtId="0" fontId="55" fillId="24" borderId="51" xfId="77" applyFont="1" applyFill="1" applyBorder="1" applyAlignment="1">
      <alignment horizontal="center" vertical="center"/>
    </xf>
    <xf numFmtId="0" fontId="55" fillId="24" borderId="53" xfId="77" applyFont="1" applyFill="1" applyBorder="1" applyAlignment="1">
      <alignment horizontal="center" vertical="center"/>
    </xf>
    <xf numFmtId="0" fontId="52" fillId="0" borderId="15" xfId="77" applyFont="1" applyBorder="1" applyAlignment="1">
      <alignment horizontal="center" vertical="center"/>
    </xf>
    <xf numFmtId="0" fontId="52" fillId="0" borderId="10" xfId="77" applyFont="1" applyBorder="1" applyAlignment="1">
      <alignment horizontal="center" vertical="center"/>
    </xf>
    <xf numFmtId="14" fontId="52" fillId="0" borderId="10" xfId="77" applyNumberFormat="1" applyFont="1" applyBorder="1" applyAlignment="1">
      <alignment horizontal="center" vertical="center"/>
    </xf>
    <xf numFmtId="14" fontId="52" fillId="0" borderId="11" xfId="77" applyNumberFormat="1" applyFont="1" applyBorder="1" applyAlignment="1">
      <alignment horizontal="center" vertical="center"/>
    </xf>
    <xf numFmtId="0" fontId="52" fillId="0" borderId="33" xfId="64" applyFont="1" applyBorder="1" applyAlignment="1">
      <alignment horizontal="center" vertical="center"/>
    </xf>
    <xf numFmtId="0" fontId="52" fillId="0" borderId="59" xfId="64" applyFont="1" applyBorder="1" applyAlignment="1">
      <alignment horizontal="center" vertical="center"/>
    </xf>
    <xf numFmtId="0" fontId="52" fillId="0" borderId="60" xfId="64" applyFont="1" applyBorder="1" applyAlignment="1">
      <alignment horizontal="center" vertical="center"/>
    </xf>
    <xf numFmtId="176" fontId="51" fillId="0" borderId="12" xfId="64" applyNumberFormat="1" applyFont="1" applyBorder="1" applyAlignment="1">
      <alignment horizontal="center" vertical="center"/>
    </xf>
    <xf numFmtId="0" fontId="52" fillId="0" borderId="12" xfId="64" applyFont="1" applyBorder="1" applyAlignment="1">
      <alignment horizontal="left" vertical="center"/>
    </xf>
    <xf numFmtId="0" fontId="52" fillId="0" borderId="13" xfId="64" applyFont="1" applyBorder="1" applyAlignment="1">
      <alignment horizontal="left" vertical="center"/>
    </xf>
  </cellXfs>
  <cellStyles count="83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F2" xfId="31" xr:uid="{00000000-0005-0000-0000-00001E000000}"/>
    <cellStyle name="F3" xfId="32" xr:uid="{00000000-0005-0000-0000-00001F000000}"/>
    <cellStyle name="F4" xfId="33" xr:uid="{00000000-0005-0000-0000-000020000000}"/>
    <cellStyle name="F5" xfId="34" xr:uid="{00000000-0005-0000-0000-000021000000}"/>
    <cellStyle name="F6" xfId="35" xr:uid="{00000000-0005-0000-0000-000022000000}"/>
    <cellStyle name="F7" xfId="36" xr:uid="{00000000-0005-0000-0000-000023000000}"/>
    <cellStyle name="F8" xfId="37" xr:uid="{00000000-0005-0000-0000-000024000000}"/>
    <cellStyle name="Incorrecto 2" xfId="38" xr:uid="{00000000-0005-0000-0000-000025000000}"/>
    <cellStyle name="Millares" xfId="39" builtinId="3"/>
    <cellStyle name="Millares 2" xfId="40" xr:uid="{00000000-0005-0000-0000-000027000000}"/>
    <cellStyle name="Millares 2 2" xfId="41" xr:uid="{00000000-0005-0000-0000-000028000000}"/>
    <cellStyle name="Millares 2 3" xfId="67" xr:uid="{00000000-0005-0000-0000-000029000000}"/>
    <cellStyle name="Millares 2 3 2" xfId="80" xr:uid="{00000000-0005-0000-0000-00002A000000}"/>
    <cellStyle name="Millares 3" xfId="42" xr:uid="{00000000-0005-0000-0000-00002B000000}"/>
    <cellStyle name="Millares 3 2" xfId="43" xr:uid="{00000000-0005-0000-0000-00002C000000}"/>
    <cellStyle name="Millares 3 3" xfId="72" xr:uid="{00000000-0005-0000-0000-00002D000000}"/>
    <cellStyle name="Millares 4" xfId="65" xr:uid="{00000000-0005-0000-0000-00002E000000}"/>
    <cellStyle name="Millares 4 2" xfId="69" xr:uid="{00000000-0005-0000-0000-00002F000000}"/>
    <cellStyle name="Millares 4 2 2 2" xfId="81" xr:uid="{00000000-0005-0000-0000-000030000000}"/>
    <cellStyle name="Moneda" xfId="82" builtinId="4"/>
    <cellStyle name="Neutral 2" xfId="44" xr:uid="{00000000-0005-0000-0000-000034000000}"/>
    <cellStyle name="Normal" xfId="0" builtinId="0"/>
    <cellStyle name="Normal 10" xfId="79" xr:uid="{00000000-0005-0000-0000-000036000000}"/>
    <cellStyle name="Normal 2" xfId="45" xr:uid="{00000000-0005-0000-0000-000037000000}"/>
    <cellStyle name="Normal 2 2" xfId="46" xr:uid="{00000000-0005-0000-0000-000038000000}"/>
    <cellStyle name="Normal 2 3" xfId="66" xr:uid="{00000000-0005-0000-0000-000039000000}"/>
    <cellStyle name="Normal 2 3 2" xfId="73" xr:uid="{00000000-0005-0000-0000-00003A000000}"/>
    <cellStyle name="Normal 2 4" xfId="75" xr:uid="{00000000-0005-0000-0000-00003B000000}"/>
    <cellStyle name="Normal 3" xfId="47" xr:uid="{00000000-0005-0000-0000-00003C000000}"/>
    <cellStyle name="Normal 3 2" xfId="68" xr:uid="{00000000-0005-0000-0000-00003D000000}"/>
    <cellStyle name="Normal 4" xfId="48" xr:uid="{00000000-0005-0000-0000-00003E000000}"/>
    <cellStyle name="Normal 4 2" xfId="49" xr:uid="{00000000-0005-0000-0000-00003F000000}"/>
    <cellStyle name="Normal 4 3" xfId="76" xr:uid="{00000000-0005-0000-0000-000040000000}"/>
    <cellStyle name="Normal 5" xfId="50" xr:uid="{00000000-0005-0000-0000-000041000000}"/>
    <cellStyle name="Normal 6" xfId="64" xr:uid="{00000000-0005-0000-0000-000042000000}"/>
    <cellStyle name="Normal 6 2" xfId="71" xr:uid="{00000000-0005-0000-0000-000043000000}"/>
    <cellStyle name="Normal_VAL.04 JUNIO corregida FINAL final" xfId="77" xr:uid="{00000000-0005-0000-0000-000044000000}"/>
    <cellStyle name="Notas 2" xfId="51" xr:uid="{00000000-0005-0000-0000-000046000000}"/>
    <cellStyle name="Porcentaje" xfId="52" builtinId="5"/>
    <cellStyle name="Porcentaje 2" xfId="53" xr:uid="{00000000-0005-0000-0000-000048000000}"/>
    <cellStyle name="Porcentaje 3" xfId="54" xr:uid="{00000000-0005-0000-0000-000049000000}"/>
    <cellStyle name="Porcentaje 4" xfId="55" xr:uid="{00000000-0005-0000-0000-00004A000000}"/>
    <cellStyle name="Porcentaje 4 2" xfId="74" xr:uid="{00000000-0005-0000-0000-00004B000000}"/>
    <cellStyle name="Porcentaje 5" xfId="70" xr:uid="{00000000-0005-0000-0000-00004C000000}"/>
    <cellStyle name="Porcentual 2 2" xfId="78" xr:uid="{00000000-0005-0000-0000-00004D000000}"/>
    <cellStyle name="Salida 2" xfId="56" xr:uid="{00000000-0005-0000-0000-00004E000000}"/>
    <cellStyle name="Texto de advertencia 2" xfId="57" xr:uid="{00000000-0005-0000-0000-00004F000000}"/>
    <cellStyle name="Texto explicativo 2" xfId="58" xr:uid="{00000000-0005-0000-0000-000050000000}"/>
    <cellStyle name="Título 1 2" xfId="59" xr:uid="{00000000-0005-0000-0000-000051000000}"/>
    <cellStyle name="Título 2 2" xfId="60" xr:uid="{00000000-0005-0000-0000-000052000000}"/>
    <cellStyle name="Título 3 2" xfId="61" xr:uid="{00000000-0005-0000-0000-000053000000}"/>
    <cellStyle name="Título 4" xfId="62" xr:uid="{00000000-0005-0000-0000-000054000000}"/>
    <cellStyle name="Total 2" xfId="63" xr:uid="{00000000-0005-0000-0000-000055000000}"/>
  </cellStyles>
  <dxfs count="0"/>
  <tableStyles count="0" defaultTableStyle="TableStyleMedium2" defaultPivotStyle="PivotStyleLight16"/>
  <colors>
    <mruColors>
      <color rgb="FFC6D5D6"/>
      <color rgb="FFC3FCB6"/>
      <color rgb="FF99FFCC"/>
      <color rgb="FFCCFFFF"/>
      <color rgb="FF6699FF"/>
      <color rgb="FFCCFF99"/>
      <color rgb="FFD9FEB4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'CURVA S'!$F$26:$G$26</c:f>
              <c:strCache>
                <c:ptCount val="1"/>
                <c:pt idx="0">
                  <c:v>PROGRAMADO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  <a:headEnd type="oval"/>
              <a:tailEnd type="oval"/>
            </a:ln>
            <a:effectLst/>
          </c:spPr>
          <c:dLbls>
            <c:dLbl>
              <c:idx val="1"/>
              <c:layout>
                <c:manualLayout>
                  <c:x val="3.6978851201291559E-3"/>
                  <c:y val="1.0957451780570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B42-4E7D-A6A2-F7242DE619BB}"/>
                </c:ext>
              </c:extLst>
            </c:dLbl>
            <c:dLbl>
              <c:idx val="2"/>
              <c:layout>
                <c:manualLayout>
                  <c:x val="1.2864551786795764E-2"/>
                  <c:y val="2.34535467508923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B42-4E7D-A6A2-F7242DE619BB}"/>
                </c:ext>
              </c:extLst>
            </c:dLbl>
            <c:dLbl>
              <c:idx val="3"/>
              <c:layout>
                <c:manualLayout>
                  <c:x val="4.4038966283060769E-5"/>
                  <c:y val="1.72054992657314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B42-4E7D-A6A2-F7242DE619BB}"/>
                </c:ext>
              </c:extLst>
            </c:dLbl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'CURVA S'!$E$28:$E$34</c:f>
              <c:strCache>
                <c:ptCount val="6"/>
                <c:pt idx="0">
                  <c:v>INICIO </c:v>
                </c:pt>
                <c:pt idx="1">
                  <c:v>Oct-25</c:v>
                </c:pt>
                <c:pt idx="2">
                  <c:v>Nov-25</c:v>
                </c:pt>
                <c:pt idx="3">
                  <c:v>Dic-25</c:v>
                </c:pt>
                <c:pt idx="4">
                  <c:v>Ene-26</c:v>
                </c:pt>
                <c:pt idx="5">
                  <c:v>Feb-26</c:v>
                </c:pt>
              </c:strCache>
            </c:strRef>
          </c:cat>
          <c:val>
            <c:numRef>
              <c:f>'CURVA S'!$G$28:$G$34</c:f>
              <c:numCache>
                <c:formatCode>0.00%</c:formatCode>
                <c:ptCount val="7"/>
                <c:pt idx="0">
                  <c:v>0</c:v>
                </c:pt>
                <c:pt idx="1">
                  <c:v>0.17555411909840948</c:v>
                </c:pt>
                <c:pt idx="2">
                  <c:v>0.35336961781236076</c:v>
                </c:pt>
                <c:pt idx="3">
                  <c:v>0.63343706674269118</c:v>
                </c:pt>
                <c:pt idx="4">
                  <c:v>0.84976455748605473</c:v>
                </c:pt>
                <c:pt idx="5">
                  <c:v>1.0000000000000009</c:v>
                </c:pt>
                <c:pt idx="6">
                  <c:v>1.0000000000000009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B42-4E7D-A6A2-F7242DE619BB}"/>
            </c:ext>
          </c:extLst>
        </c:ser>
        <c:ser>
          <c:idx val="1"/>
          <c:order val="1"/>
          <c:tx>
            <c:strRef>
              <c:f>'CURVA S'!$H$26:$I$26</c:f>
              <c:strCache>
                <c:ptCount val="1"/>
                <c:pt idx="0">
                  <c:v>EJECUTADO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  <a:headEnd type="oval"/>
            </a:ln>
            <a:effectLst/>
          </c:spP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'CURVA S'!$E$28:$E$34</c:f>
              <c:strCache>
                <c:ptCount val="6"/>
                <c:pt idx="0">
                  <c:v>INICIO </c:v>
                </c:pt>
                <c:pt idx="1">
                  <c:v>Oct-25</c:v>
                </c:pt>
                <c:pt idx="2">
                  <c:v>Nov-25</c:v>
                </c:pt>
                <c:pt idx="3">
                  <c:v>Dic-25</c:v>
                </c:pt>
                <c:pt idx="4">
                  <c:v>Ene-26</c:v>
                </c:pt>
                <c:pt idx="5">
                  <c:v>Feb-26</c:v>
                </c:pt>
              </c:strCache>
            </c:strRef>
          </c:cat>
          <c:val>
            <c:numRef>
              <c:f>'CURVA S'!$I$28:$I$31</c:f>
              <c:numCache>
                <c:formatCode>0.00%</c:formatCode>
                <c:ptCount val="4"/>
                <c:pt idx="0">
                  <c:v>0</c:v>
                </c:pt>
                <c:pt idx="1">
                  <c:v>0.22539989796319654</c:v>
                </c:pt>
                <c:pt idx="2">
                  <c:v>0.58399944235976031</c:v>
                </c:pt>
                <c:pt idx="3">
                  <c:v>0.72547562929188225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2B42-4E7D-A6A2-F7242DE61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8308944"/>
        <c:axId val="308306224"/>
      </c:lineChart>
      <c:catAx>
        <c:axId val="30830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08306224"/>
        <c:crosses val="autoZero"/>
        <c:auto val="1"/>
        <c:lblAlgn val="ctr"/>
        <c:lblOffset val="100"/>
        <c:noMultiLvlLbl val="0"/>
      </c:catAx>
      <c:valAx>
        <c:axId val="30830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083089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484622045019627E-2"/>
          <c:y val="3.679175864606328E-2"/>
          <c:w val="0.90978611547037369"/>
          <c:h val="0.874178558805977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'CURVA S'!$F$58:$G$58</c:f>
              <c:strCache>
                <c:ptCount val="1"/>
                <c:pt idx="0">
                  <c:v>PROGRAMADO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'CURVA S'!$E$60:$E$66</c15:sqref>
                  </c15:fullRef>
                </c:ext>
              </c:extLst>
              <c:f>'CURVA S'!$E$61:$E$66</c:f>
              <c:strCache>
                <c:ptCount val="6"/>
                <c:pt idx="0">
                  <c:v>Oct-25</c:v>
                </c:pt>
                <c:pt idx="1">
                  <c:v>Nov-25</c:v>
                </c:pt>
                <c:pt idx="2">
                  <c:v>Dic-25</c:v>
                </c:pt>
                <c:pt idx="3">
                  <c:v>Ene-26</c:v>
                </c:pt>
                <c:pt idx="4">
                  <c:v>Feb-26</c:v>
                </c:pt>
                <c:pt idx="5">
                  <c:v>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'CURVA S'!$G$60:$G$65</c15:sqref>
                  </c15:fullRef>
                </c:ext>
              </c:extLst>
              <c:f>'CURVA S'!$G$61:$G$65</c:f>
              <c:numCache>
                <c:formatCode>0.00%</c:formatCode>
                <c:ptCount val="5"/>
                <c:pt idx="0">
                  <c:v>0.17555411909840948</c:v>
                </c:pt>
                <c:pt idx="1">
                  <c:v>0.35336961781236076</c:v>
                </c:pt>
                <c:pt idx="2">
                  <c:v>0.63343706674269118</c:v>
                </c:pt>
                <c:pt idx="3">
                  <c:v>0.84976455748605473</c:v>
                </c:pt>
                <c:pt idx="4">
                  <c:v>1.0000000000000009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4-450A-B897-2021EC8C59A8}"/>
            </c:ext>
          </c:extLst>
        </c:ser>
        <c:ser>
          <c:idx val="1"/>
          <c:order val="1"/>
          <c:tx>
            <c:strRef>
              <c:f>'CURVA S'!$H$58:$I$58</c:f>
              <c:strCache>
                <c:ptCount val="1"/>
                <c:pt idx="0">
                  <c:v>EJECUTADO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'CURVA S'!$E$60:$E$66</c15:sqref>
                  </c15:fullRef>
                </c:ext>
              </c:extLst>
              <c:f>'CURVA S'!$E$61:$E$66</c:f>
              <c:strCache>
                <c:ptCount val="6"/>
                <c:pt idx="0">
                  <c:v>Oct-25</c:v>
                </c:pt>
                <c:pt idx="1">
                  <c:v>Nov-25</c:v>
                </c:pt>
                <c:pt idx="2">
                  <c:v>Dic-25</c:v>
                </c:pt>
                <c:pt idx="3">
                  <c:v>Ene-26</c:v>
                </c:pt>
                <c:pt idx="4">
                  <c:v>Feb-26</c:v>
                </c:pt>
                <c:pt idx="5">
                  <c:v>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'CURVA S'!$I$60:$I$63</c15:sqref>
                  </c15:fullRef>
                </c:ext>
              </c:extLst>
              <c:f>'CURVA S'!$I$61:$I$63</c:f>
              <c:numCache>
                <c:formatCode>0.00%</c:formatCode>
                <c:ptCount val="3"/>
                <c:pt idx="0">
                  <c:v>0.22539989796319654</c:v>
                </c:pt>
                <c:pt idx="1">
                  <c:v>0.58399944235976031</c:v>
                </c:pt>
                <c:pt idx="2">
                  <c:v>0.72547562929188225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34-450A-B897-2021EC8C5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9695472"/>
        <c:axId val="359699280"/>
      </c:barChart>
      <c:catAx>
        <c:axId val="35969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59699280"/>
        <c:crosses val="autoZero"/>
        <c:auto val="1"/>
        <c:lblAlgn val="ctr"/>
        <c:lblOffset val="100"/>
        <c:noMultiLvlLbl val="1"/>
      </c:catAx>
      <c:valAx>
        <c:axId val="35969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5969547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449579</xdr:colOff>
      <xdr:row>5</xdr:row>
      <xdr:rowOff>95250</xdr:rowOff>
    </xdr:from>
    <xdr:to>
      <xdr:col>11</xdr:col>
      <xdr:colOff>561975</xdr:colOff>
      <xdr:row>23</xdr:row>
      <xdr:rowOff>155819</xdr:rowOff>
    </xdr:to>
    <xdr:graphicFrame macro="">
      <xdr:nvGraphicFramePr>
        <xdr:cNvPr id="26812" name="Gráfico 2">
          <a:extLst>
            <a:ext uri="{FF2B5EF4-FFF2-40B4-BE49-F238E27FC236}">
              <a16:creationId xmlns:a16="http://schemas.microsoft.com/office/drawing/2014/main" id="{078B2972-2431-47BE-B845-4A1DAAE8B4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175260</xdr:colOff>
      <xdr:row>38</xdr:row>
      <xdr:rowOff>7620</xdr:rowOff>
    </xdr:from>
    <xdr:to>
      <xdr:col>11</xdr:col>
      <xdr:colOff>409575</xdr:colOff>
      <xdr:row>56</xdr:row>
      <xdr:rowOff>30480</xdr:rowOff>
    </xdr:to>
    <xdr:graphicFrame macro="">
      <xdr:nvGraphicFramePr>
        <xdr:cNvPr id="26813" name="Gráfico 3">
          <a:extLst>
            <a:ext uri="{FF2B5EF4-FFF2-40B4-BE49-F238E27FC236}">
              <a16:creationId xmlns:a16="http://schemas.microsoft.com/office/drawing/2014/main" id="{C10FED90-E741-4EC8-8510-CA9D453F0F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RSERVER\OPERATIVO\Comercial\OFERTAS\2000\CODENSA\BALSILLAS\OFERTAS\PEREIRA\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User\Escritorio\00_ATE%20PENDIENTE\02_VALORIZ%20N&#186;%2007%20-%20Dic%20200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YECTOs-pc\D\Documents%20and%20Settings\User\Escritorio\00_ATE%20PENDIENTE\02_VALORIZ%20N&#186;%2007%20-%20Dic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YECTOs-pc\D\XXX_models\USB\volanterjhm\YYYY\02_VALORIZ%20N&#186;%2007%20-%20Dic%2020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ALC%20DEMANDA%20%20AP%20Y%20ALC-FINAL-S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ontrol%20de%20Calidad\C.ROSALES2002\BCEOM1\4SANRA~1\VOL-I\CONSRA~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YECTOs-pc\D\Tramo%20III\Val%20Set%202001\%20Vac%20-23%20-%20Ago%2001\vac%20-21%20-%20Jun%2001\VAC-2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yectos-pc\d\Jos&#233;%20Romero\1.JIRON%20GERASIMO\7.LIQUIDACI&#211;N\LIQUIDACI&#211;N%20GER&#193;SIMO\1.Liquidaci&#243;n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3.175\info\juventus\VALORIZACION%2011_0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YECTOs-pc\D\Documents%20and%20Settings\User\Escritorio\00_ATE%20PENDIENTE\3.00%20VALORIZACION%20-%20VAL%20N&#186;%2006_REV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YECTOs-pc\D\Users\jAIME\Desktop\LIQUIDACION%20CHACLACAYO%201\Liquidacion%20Obra%20Chaclacayo%20julio%202018\Imprimir%20ok\LIQUID%20OBRA%20PAVIMENT%20chaclac%20utimo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YECTOs-pc\D\Valoriz.%2001SAN%20ANTONIO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nix\ANTEPROYECTO%20PARTES%20ALTAS%20HUAYCAN\BolivarDefinitivo\CALC%20DEMANDA%20%20AP%20Y%20ALC-FINAL-SR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Valorizacion%201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YECTOs-pc\D\Libro%2003\SAYAN-VAL\2.1_2.14_Val-13_MAR.14_20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3.175\info\roger%20castro%20franco%20%2018384\val%2001\Mis%20documentos\sedapal%20obras%20Licit\2003%20SEDAPAL\L.P.N.%200020-2003-SEDAPAL\LP_020_SEDAPAL\Presupuesto%20LP%2020%20al%209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ISRAELUSB/OBRAS/12.%20OBRA%20CREMATORIO%20SURCO/2.%20VALORIZACIONES%20Y%20METRADOS/1.%20VALORIZACI&#211;N%20N&#176;01/VALORIZACION%2001%20CEMENTERIO%20SURCO%20REV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1A"/>
      <sheetName val="1B"/>
      <sheetName val="1C"/>
      <sheetName val="2A"/>
      <sheetName val="2B"/>
      <sheetName val="2C"/>
      <sheetName val="3A"/>
      <sheetName val="3B"/>
      <sheetName val="3C"/>
      <sheetName val="4A"/>
      <sheetName val="4B"/>
      <sheetName val="4C"/>
      <sheetName val="Costos"/>
      <sheetName val="Resumen"/>
      <sheetName val="LP y RP"/>
      <sheetName val="Cuenta x API"/>
      <sheetName val="Hoja2"/>
      <sheetName val="Hoja3"/>
      <sheetName val="Proy. Abonados 3.1c"/>
      <sheetName val="CALEND C."/>
      <sheetName val="14 PIAS"/>
      <sheetName val="13 TUCARI"/>
      <sheetName val="4  VOTORANTIM 501"/>
      <sheetName val="Parametros"/>
      <sheetName val="C-WATT"/>
      <sheetName val="CAM.MT"/>
      <sheetName val="Datos"/>
      <sheetName val="#¡REF"/>
      <sheetName val="DATOS DE CAMPO"/>
      <sheetName val="HAMAR"/>
      <sheetName val="POLILINEA"/>
      <sheetName val="Impuestos"/>
      <sheetName val="CAP-120mm2"/>
      <sheetName val="POBLACION"/>
      <sheetName val="1"/>
      <sheetName val="CAP_120mm2"/>
      <sheetName val="SNIP"/>
      <sheetName val="4. Ingeniería"/>
      <sheetName val="Replanteo"/>
      <sheetName val="Caminos"/>
      <sheetName val="RCA"/>
      <sheetName val="7.I Faenas"/>
      <sheetName val="8.Campamentos"/>
      <sheetName val="IF y Camp"/>
      <sheetName val="Faena 428"/>
      <sheetName val="Faena 245"/>
      <sheetName val="Cert. Solmex"/>
      <sheetName val="IF Vallenar"/>
      <sheetName val="RS METRADO"/>
      <sheetName val="Anexo F.1"/>
      <sheetName val="Anexo F.2.1"/>
      <sheetName val="Anexo F.2.2"/>
      <sheetName val="Anexo F.3.1 "/>
      <sheetName val="Postes de concreto 3ø 85mm²_CG"/>
      <sheetName val="Postes de concreto 3ø 35mm²_N"/>
      <sheetName val="CMC"/>
      <sheetName val="Anexo F.3.2"/>
      <sheetName val="Resumen de cálculos"/>
      <sheetName val="Base de Datos"/>
      <sheetName val="18 cmc 35"/>
      <sheetName val="15 cmc 35"/>
      <sheetName val="15cmc 35 old"/>
      <sheetName val="15 cmc 16 old"/>
      <sheetName val="Postes de concreto 3ø 85mm² old"/>
      <sheetName val="Cálculo Mecánico de Conduct _2_"/>
      <sheetName val="Base de Datos _2_"/>
      <sheetName val="Resumen de cálculos _2_"/>
      <sheetName val="LP_y_RP"/>
      <sheetName val="Proy__Abonados_3_1c"/>
      <sheetName val="Cuenta_x_API"/>
      <sheetName val="CALEND_C_"/>
      <sheetName val="14_PIAS"/>
      <sheetName val="13_TUCARI"/>
      <sheetName val="4__VOTORANTIM_501"/>
      <sheetName val="CAM_MT"/>
      <sheetName val="DATOS_DE_CAMPO"/>
      <sheetName val="RESUMEN (LP)"/>
      <sheetName val="RESUMEN (RP)"/>
      <sheetName val="SUMINISTRO (LP)"/>
      <sheetName val="MONTAJE (LP)"/>
      <sheetName val="TRANSPORTE (LP)"/>
      <sheetName val="SUMINISTRO (RP)"/>
      <sheetName val="MONTAJE (RP)"/>
      <sheetName val="TRANSPORTE (RP)"/>
      <sheetName val="Hoja1"/>
      <sheetName val="OS"/>
      <sheetName val="Applications"/>
      <sheetName val="Mensual - Acumulado"/>
      <sheetName val="VAL ESTRUCTURAS "/>
      <sheetName val="REIT_REAJ_"/>
      <sheetName val="RESUM_VAL_"/>
      <sheetName val="VAL ARQUITECTURA"/>
      <sheetName val="VAL_RES."/>
      <sheetName val="D_MAT_"/>
      <sheetName val="4__Ingeniería"/>
      <sheetName val="7_I_Faenas"/>
      <sheetName val="8_Campamentos"/>
      <sheetName val="IF_y_Camp"/>
      <sheetName val="Faena_428"/>
      <sheetName val="Faena_245"/>
      <sheetName val="Cert__Solmex"/>
      <sheetName val="IF_Vallenar"/>
      <sheetName val="FORMA-LM1"/>
      <sheetName val="FORMA-(SE1)"/>
      <sheetName val="FORMA-LM3"/>
      <sheetName val="FORMA-LS1-LS2"/>
      <sheetName val="FORMA-LS3"/>
      <sheetName val="FORMA-_RE1"/>
      <sheetName val="FORMA-SE2"/>
      <sheetName val="REV3"/>
      <sheetName val="TRAMOS"/>
      <sheetName val="STRUCT"/>
      <sheetName val="Fundacion"/>
      <sheetName val="CANT_UNITARIAS"/>
      <sheetName val="CuadroIyII"/>
      <sheetName val="Consun_Energ___Anexo_5_2_5_"/>
      <sheetName val="3_1"/>
      <sheetName val="Excav__Postes"/>
      <sheetName val="Aux__Disgregados"/>
      <sheetName val="Datos_de_Entrada"/>
      <sheetName val="Costos_Alt2"/>
      <sheetName val="FORMA-RL1"/>
      <sheetName val="Analisis_de_la_T_C__-_2_2"/>
      <sheetName val="CIVIL"/>
      <sheetName val="ENTR_F"/>
      <sheetName val="AnexoVI"/>
      <sheetName val="CENSO93"/>
      <sheetName val="FORMA-ST1"/>
      <sheetName val="LINEAS"/>
      <sheetName val="cantidades"/>
      <sheetName val="0. DATOS GENERALES"/>
      <sheetName val="APU-RP ADICIONAL"/>
      <sheetName val="APU-RS-CD ADICIONAL"/>
      <sheetName val="Base_Insumos_Servicios"/>
      <sheetName val="Res-Val 6"/>
      <sheetName val="CONSID"/>
      <sheetName val="LP_y_RP1"/>
      <sheetName val="Proy__Abonados_3_1c1"/>
      <sheetName val="Cuenta_x_API1"/>
      <sheetName val="CALEND_C_1"/>
      <sheetName val="14_PIAS1"/>
      <sheetName val="13_TUCARI1"/>
      <sheetName val="4__VOTORANTIM_5011"/>
      <sheetName val="CAM_MT1"/>
      <sheetName val="DATOS_DE_CAMPO1"/>
      <sheetName val="4__Ingeniería1"/>
      <sheetName val="7_I_Faenas1"/>
      <sheetName val="8_Campamentos1"/>
      <sheetName val="IF_y_Camp1"/>
      <sheetName val="Faena_4281"/>
      <sheetName val="Faena_2451"/>
      <sheetName val="Cert__Solmex1"/>
      <sheetName val="IF_Vallenar1"/>
      <sheetName val="RS_METRADO"/>
      <sheetName val="Anexo_F_1"/>
      <sheetName val="Anexo_F_2_1"/>
      <sheetName val="Anexo_F_2_2"/>
      <sheetName val="Anexo_F_3_1_"/>
      <sheetName val="Postes_de_concreto_3ø_85mm²_CG"/>
      <sheetName val="Postes_de_concreto_3ø_35mm²_N"/>
      <sheetName val="Anexo_F_3_2"/>
      <sheetName val="Resumen_de_cálculos"/>
      <sheetName val="Base_de_Datos"/>
      <sheetName val="18_cmc_35"/>
      <sheetName val="15_cmc_35"/>
      <sheetName val="15cmc_35_old"/>
      <sheetName val="15_cmc_16_old"/>
      <sheetName val="Postes_de_concreto_3ø_85mm²_old"/>
      <sheetName val="Cálculo_Mecánico_de_Conduct__2_"/>
      <sheetName val="Base_de_Datos__2_"/>
      <sheetName val="Resumen_de_cálculos__2_"/>
      <sheetName val="Mensual_-_Acumulado"/>
      <sheetName val="RESUMEN_(LP)"/>
      <sheetName val="RESUMEN_(RP)"/>
      <sheetName val="SUMINISTRO_(LP)"/>
      <sheetName val="MONTAJE_(LP)"/>
      <sheetName val="TRANSPORTE_(LP)"/>
      <sheetName val="SUMINISTRO_(RP)"/>
      <sheetName val="MONTAJE_(RP)"/>
      <sheetName val="TRANSPORTE_(RP)"/>
      <sheetName val="VAL_ESTRUCTURAS_"/>
      <sheetName val="VAL_ARQUITECTURA"/>
      <sheetName val="VAL_RES_"/>
      <sheetName val="Caja 20"/>
      <sheetName val="Caja 01"/>
      <sheetName val="Caja 02"/>
      <sheetName val="Caja 03"/>
      <sheetName val="Caja 04"/>
      <sheetName val="Caja 05"/>
      <sheetName val="Caja 06"/>
      <sheetName val="Caja 07"/>
      <sheetName val="Caja 08"/>
      <sheetName val="Caja 09"/>
      <sheetName val="Caja 10"/>
      <sheetName val="Caja 11"/>
      <sheetName val="Caja 12"/>
      <sheetName val="Caja 13"/>
      <sheetName val="Caja 14"/>
      <sheetName val="Caja 15"/>
      <sheetName val="Caja 16"/>
      <sheetName val="Caja 17"/>
      <sheetName val="Caja 18"/>
      <sheetName val="Caja 19"/>
      <sheetName val="Caja 20 "/>
      <sheetName val="Caja 21"/>
      <sheetName val="Caja 22"/>
      <sheetName val="Caja 23"/>
      <sheetName val="Caja 24"/>
      <sheetName val="Caja 25"/>
      <sheetName val="Caja 26"/>
      <sheetName val="Caja 27"/>
      <sheetName val="Caja 28"/>
      <sheetName val="Caja 29"/>
      <sheetName val="Caja 30"/>
      <sheetName val="Caja 31"/>
      <sheetName val="Caja 32"/>
      <sheetName val="Caja 33"/>
      <sheetName val="Caja 34"/>
      <sheetName val="Caja 35"/>
      <sheetName val="Caja 36"/>
      <sheetName val="Eduardo"/>
      <sheetName val="Rossana"/>
      <sheetName val="En caja"/>
      <sheetName val="Caja 21 (2)"/>
      <sheetName val="Sheet1"/>
      <sheetName val="ListEq"/>
      <sheetName val="Transporte"/>
      <sheetName val="Portada"/>
      <sheetName val="ESS JV"/>
      <sheetName val="Pesos"/>
      <sheetName val="Units"/>
      <sheetName val="ListEqJV"/>
      <sheetName val="ResumInstrum"/>
      <sheetName val="ResumElect"/>
      <sheetName val="ResumTub"/>
      <sheetName val="ESS"/>
      <sheetName val="ADI6427"/>
      <sheetName val="AXENS"/>
      <sheetName val="UOP"/>
      <sheetName val="SHELL"/>
      <sheetName val="INSTRUM"/>
      <sheetName val="Precios"/>
      <sheetName val="Administrative Prices"/>
      <sheetName val="Calc"/>
      <sheetName val="산근"/>
      <sheetName val="Cover"/>
      <sheetName val="PROPOSAL"/>
      <sheetName val="Multi-currency"/>
      <sheetName val="당초"/>
      <sheetName val="Equipment List"/>
      <sheetName val="Bond &amp; Stamp"/>
      <sheetName val="CAT_5"/>
      <sheetName val="1.0"/>
      <sheetName val="집계표(OPTION)"/>
      <sheetName val="TSP4"/>
      <sheetName val="VIZ4"/>
      <sheetName val="VIZ7"/>
      <sheetName val="BASE"/>
      <sheetName val="ANALISIS"/>
      <sheetName val="Stl-B"/>
      <sheetName val="Basis"/>
      <sheetName val="PRECIOS_MATERIALES"/>
      <sheetName val="Consumibles"/>
      <sheetName val="civ_roma"/>
      <sheetName val="Datos_generales"/>
      <sheetName val="CIERRE"/>
      <sheetName val="EFICIENCIAS"/>
      <sheetName val="Calculos"/>
      <sheetName val="Equipos"/>
      <sheetName val="steel"/>
      <sheetName val="Plani"/>
      <sheetName val="A-50"/>
      <sheetName val="ESTAD_ACC_99"/>
      <sheetName val="INSUGEN"/>
      <sheetName val="INVOICE"/>
      <sheetName val="O_15"/>
      <sheetName val="Denver"/>
      <sheetName val="expats"/>
      <sheetName val="locals"/>
      <sheetName val="office4"/>
      <sheetName val="c-expats"/>
      <sheetName val="c-nationals"/>
      <sheetName val="Office7"/>
      <sheetName val="Others"/>
      <sheetName val="PISO1_-_EST"/>
      <sheetName val="PARTIDAS"/>
      <sheetName val="Comparativa"/>
      <sheetName val="Vers_C"/>
      <sheetName val="resoc"/>
      <sheetName val="Tabla"/>
      <sheetName val="Misc"/>
      <sheetName val="presupuesto"/>
      <sheetName val="REG_REVIS_"/>
      <sheetName val="RO_1"/>
      <sheetName val="RO_3"/>
      <sheetName val="RO_4"/>
      <sheetName val="RO_5"/>
      <sheetName val="RO_7"/>
      <sheetName val="T1_1"/>
      <sheetName val="T1_2"/>
      <sheetName val="T1_3"/>
      <sheetName val="T1_4"/>
      <sheetName val="T1_5"/>
      <sheetName val="T4_2"/>
      <sheetName val="T4_4"/>
      <sheetName val="tank_number"/>
      <sheetName val="Summary"/>
      <sheetName val="CP_TU_AD"/>
      <sheetName val="UZ"/>
      <sheetName val="Progress Report by Discipline"/>
      <sheetName val="IN_Services"/>
      <sheetName val="Call Load Data"/>
      <sheetName val="Signalling"/>
      <sheetName val="Results"/>
      <sheetName val="SUS_Services"/>
    </sheetNames>
    <sheetDataSet>
      <sheetData sheetId="0" refreshError="1">
        <row r="9">
          <cell r="D9">
            <v>0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12">
          <cell r="D12" t="str">
            <v>UND</v>
          </cell>
        </row>
      </sheetData>
      <sheetData sheetId="17">
        <row r="12">
          <cell r="D12" t="str">
            <v>UND</v>
          </cell>
        </row>
      </sheetData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9">
          <cell r="D9" t="str">
            <v>TORRES</v>
          </cell>
        </row>
      </sheetData>
      <sheetData sheetId="39">
        <row r="9">
          <cell r="D9" t="str">
            <v>TORRES</v>
          </cell>
        </row>
      </sheetData>
      <sheetData sheetId="40">
        <row r="9">
          <cell r="D9" t="str">
            <v>TORRES</v>
          </cell>
        </row>
      </sheetData>
      <sheetData sheetId="41">
        <row r="9">
          <cell r="D9" t="str">
            <v>TORRES</v>
          </cell>
        </row>
      </sheetData>
      <sheetData sheetId="42">
        <row r="9">
          <cell r="D9" t="str">
            <v>TORRES</v>
          </cell>
        </row>
      </sheetData>
      <sheetData sheetId="43">
        <row r="9">
          <cell r="D9" t="str">
            <v>TORRES</v>
          </cell>
        </row>
      </sheetData>
      <sheetData sheetId="44">
        <row r="9">
          <cell r="D9" t="str">
            <v>TORRES</v>
          </cell>
        </row>
      </sheetData>
      <sheetData sheetId="45">
        <row r="9">
          <cell r="D9" t="str">
            <v>TORRES</v>
          </cell>
        </row>
      </sheetData>
      <sheetData sheetId="46">
        <row r="9">
          <cell r="D9" t="str">
            <v>TORRES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>
        <row r="12">
          <cell r="D12" t="str">
            <v>UND</v>
          </cell>
        </row>
      </sheetData>
      <sheetData sheetId="186">
        <row r="12">
          <cell r="D12" t="str">
            <v>UND</v>
          </cell>
        </row>
      </sheetData>
      <sheetData sheetId="187">
        <row r="12">
          <cell r="D12" t="str">
            <v>UND</v>
          </cell>
        </row>
      </sheetData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 refreshError="1"/>
      <sheetData sheetId="228">
        <row r="12">
          <cell r="D12" t="str">
            <v>UND</v>
          </cell>
        </row>
      </sheetData>
      <sheetData sheetId="229">
        <row r="12">
          <cell r="D12" t="str">
            <v>UND</v>
          </cell>
        </row>
      </sheetData>
      <sheetData sheetId="230">
        <row r="12">
          <cell r="D12" t="str">
            <v>UND</v>
          </cell>
        </row>
      </sheetData>
      <sheetData sheetId="231">
        <row r="12">
          <cell r="D12" t="str">
            <v>UND</v>
          </cell>
        </row>
      </sheetData>
      <sheetData sheetId="232">
        <row r="12">
          <cell r="D12" t="str">
            <v>UND</v>
          </cell>
        </row>
      </sheetData>
      <sheetData sheetId="233">
        <row r="12">
          <cell r="D12" t="str">
            <v>UND</v>
          </cell>
        </row>
      </sheetData>
      <sheetData sheetId="234">
        <row r="12">
          <cell r="D12" t="str">
            <v>UND</v>
          </cell>
        </row>
      </sheetData>
      <sheetData sheetId="235">
        <row r="12">
          <cell r="D12" t="str">
            <v>UND</v>
          </cell>
        </row>
      </sheetData>
      <sheetData sheetId="236">
        <row r="12">
          <cell r="D12" t="str">
            <v>UND</v>
          </cell>
        </row>
      </sheetData>
      <sheetData sheetId="237">
        <row r="12">
          <cell r="D12" t="str">
            <v>UND</v>
          </cell>
        </row>
      </sheetData>
      <sheetData sheetId="238">
        <row r="12">
          <cell r="D12" t="str">
            <v>UND</v>
          </cell>
        </row>
      </sheetData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 refreshError="1"/>
      <sheetData sheetId="269"/>
      <sheetData sheetId="270" refreshError="1"/>
      <sheetData sheetId="27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 refreshError="1"/>
      <sheetData sheetId="281">
        <row r="12">
          <cell r="D12" t="str">
            <v>UND</v>
          </cell>
        </row>
      </sheetData>
      <sheetData sheetId="282">
        <row r="12">
          <cell r="D12" t="str">
            <v>UND</v>
          </cell>
        </row>
      </sheetData>
      <sheetData sheetId="283">
        <row r="12">
          <cell r="D12" t="str">
            <v>UND</v>
          </cell>
        </row>
      </sheetData>
      <sheetData sheetId="284"/>
      <sheetData sheetId="285"/>
      <sheetData sheetId="286"/>
      <sheetData sheetId="287">
        <row r="12">
          <cell r="D12" t="str">
            <v>UND</v>
          </cell>
        </row>
      </sheetData>
      <sheetData sheetId="288">
        <row r="12">
          <cell r="D12" t="str">
            <v>UND</v>
          </cell>
        </row>
      </sheetData>
      <sheetData sheetId="289">
        <row r="12">
          <cell r="D12" t="str">
            <v>UND</v>
          </cell>
        </row>
      </sheetData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 DE OBRA"/>
      <sheetName val="Res Val 05"/>
      <sheetName val="VAL 06 - Noviembre 2008"/>
      <sheetName val="VAL 06 -RESUME METRADOS"/>
      <sheetName val="VAL - Resumen"/>
      <sheetName val="K REAJUSTE"/>
      <sheetName val="IND-UNIF"/>
      <sheetName val="1. AMORT D'ADEL"/>
      <sheetName val="DedEf"/>
      <sheetName val="Reaj CP"/>
      <sheetName val="Regularizac-Reaj"/>
      <sheetName val="XXX REAJ R Rr Rt"/>
      <sheetName val="XXX DEDUC D Dr Dt"/>
      <sheetName val="PLANILLA-M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 DE OBRA"/>
      <sheetName val="Res Val 05"/>
      <sheetName val="VAL 06 - Noviembre 2008"/>
      <sheetName val="VAL 06 -RESUME METRADOS"/>
      <sheetName val="VAL - Resumen"/>
      <sheetName val="K REAJUSTE"/>
      <sheetName val="IND-UNIF"/>
      <sheetName val="1. AMORT D'ADEL"/>
      <sheetName val="DedEf"/>
      <sheetName val="Reaj CP"/>
      <sheetName val="Regularizac-Reaj"/>
      <sheetName val="XXX REAJ R Rr Rt"/>
      <sheetName val="XXX DEDUC D Dr Dt"/>
      <sheetName val="PLANILLA-M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 DE OBRA"/>
      <sheetName val="Res Val 05"/>
      <sheetName val="VAL 06 - Noviembre 2008"/>
      <sheetName val="VAL 06 -RESUME METRADOS"/>
      <sheetName val="VAL - Resumen"/>
      <sheetName val="K REAJUSTE"/>
      <sheetName val="IND-UNIF"/>
      <sheetName val="1. AMORT D'ADEL"/>
      <sheetName val="DedEf"/>
      <sheetName val="Reaj CP"/>
      <sheetName val="Regularizac-Reaj"/>
      <sheetName val="XXX REAJ R Rr Rt"/>
      <sheetName val="XXX DEDUC D Dr D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greso de Información"/>
      <sheetName val="Demanda Agua"/>
      <sheetName val="Demanda Alcantarillado"/>
      <sheetName val="NºLagunas"/>
      <sheetName val="AreaLaguna"/>
      <sheetName val="Tanq.Imhoff"/>
      <sheetName val="DeficitOxig."/>
      <sheetName val="ALT134"/>
      <sheetName val="Cost.Agua Alt.2 (2)"/>
      <sheetName val="ALT2"/>
      <sheetName val="LAGUNA"/>
      <sheetName val="RAFA"/>
      <sheetName val="Cost.Agua Alt.1"/>
      <sheetName val="Cost.Agua Alt.2"/>
      <sheetName val="Cost.Alcant.Alt1"/>
      <sheetName val="Cost.Alcant.Alt2"/>
      <sheetName val="CostoO&amp;M CProy1"/>
      <sheetName val="CostoO&amp;M CProy2"/>
      <sheetName val="CostoO&amp;M D CProy1"/>
      <sheetName val="CostoO&amp;M D CProy2"/>
      <sheetName val="costo inv."/>
      <sheetName val="Ingreso de Información1"/>
      <sheetName val="costo O&amp;M SProy"/>
      <sheetName val="Inform.Fuente1"/>
      <sheetName val="Resultados-Curva Demanda1"/>
      <sheetName val="Resultados -Evaluación1"/>
      <sheetName val="Inform.Fuente2"/>
      <sheetName val="Resultados-Curva Demanda2"/>
      <sheetName val="Resultados -Evaluación2"/>
      <sheetName val="Hoja2"/>
      <sheetName val="Inv ALt 1"/>
      <sheetName val="Inv ALt 2"/>
      <sheetName val="Análisis Agua"/>
      <sheetName val="Graf.Enfer"/>
      <sheetName val="GRA-AGUA"/>
      <sheetName val="Dem.Agua Aguaytía"/>
      <sheetName val="Ingreso Infor.Aguaytía"/>
      <sheetName val="Dem.Alcant. Aguaytía"/>
      <sheetName val="Ingr.Infor. B.U"/>
      <sheetName val="Dem.Agua B.U"/>
      <sheetName val="Dem.Alcant. B.U"/>
      <sheetName val="GRA- ALCAN."/>
      <sheetName val="Vol. Regulación"/>
      <sheetName val="Ingr.Infor. Pampa Yurac"/>
      <sheetName val="Dem. Agua Pampa Yurac"/>
      <sheetName val="Ingr.Infor. R1"/>
      <sheetName val="Dem.Agua R1"/>
      <sheetName val="Ingr.Infor. R2"/>
      <sheetName val="Dem.Agua R2"/>
      <sheetName val="Ingr.Infor. VillaAguaytía R4"/>
      <sheetName val="Dem.Agua R4"/>
      <sheetName val="Ingr.Infor.R5 (ALT.1)"/>
      <sheetName val="Dem.Agua R5 (ALT.1)"/>
      <sheetName val="Ingr.Infor. R5 (ALT.2)"/>
      <sheetName val="Dem.Agua R5 (ALT.2)"/>
      <sheetName val="Ingr.Infor. R6 (ALT.2)"/>
      <sheetName val="Dem.Agua R6 (ALT.2)"/>
      <sheetName val="AFOROS"/>
      <sheetName val="SECCIONES QDA."/>
      <sheetName val="RÍOS"/>
      <sheetName val="QUEBRADAS"/>
      <sheetName val="MANANTIALES"/>
      <sheetName val="MANANTIAL Y POZO"/>
      <sheetName val="ZONIFICAC."/>
      <sheetName val="AGUA S.P"/>
      <sheetName val="AGUA C.P"/>
      <sheetName val="RED AGUA S.P"/>
      <sheetName val="RED AGUA C.P"/>
      <sheetName val="ALCANTARILLADO S.P Y C.P"/>
      <sheetName val="RED DESAGUE S.P"/>
      <sheetName val="RED DESAGUE C.P"/>
      <sheetName val="RESERV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osram"/>
      <sheetName val="Rejsramon"/>
      <sheetName val="Imhsramon"/>
      <sheetName val="Lagsramon"/>
      <sheetName val="Bowsramon"/>
      <sheetName val="Modsramon"/>
      <sheetName val="Lagsram2"/>
      <sheetName val="Module1"/>
      <sheetName val="ALT134"/>
      <sheetName val="Cost.Agua Alt.2 (2)"/>
      <sheetName val="ALT2"/>
      <sheetName val="LAGUNA"/>
      <sheetName val="RAFA"/>
      <sheetName val="Cost.Agua Alt.1"/>
      <sheetName val="Cost.Agua Alt.2"/>
      <sheetName val="Cost.Alcant.Alt1"/>
      <sheetName val="Cost.Alcant.Alt2"/>
      <sheetName val="CostoO&amp;M CProy1"/>
      <sheetName val="CostoO&amp;M CProy2"/>
      <sheetName val="CostoO&amp;M D CProy1"/>
      <sheetName val="CostoO&amp;M D CProy2"/>
      <sheetName val="costo inv."/>
      <sheetName val="Ingreso de Información1"/>
      <sheetName val="Demanda Agua"/>
      <sheetName val="Demanda Alcantarillado"/>
      <sheetName val="costo O&amp;M SProy"/>
      <sheetName val="Inform.Fuente1"/>
      <sheetName val="Resultados-Curva Demanda1"/>
      <sheetName val="Resultados -Evaluación1"/>
      <sheetName val="Inform.Fuente2"/>
      <sheetName val="Resultados-Curva Demanda2"/>
      <sheetName val="Resultados -Evaluación2"/>
      <sheetName val="NºLagunas"/>
      <sheetName val="AreaLaguna"/>
      <sheetName val="Tanq.Imhoff"/>
      <sheetName val="DeficitOxig."/>
      <sheetName val="Análisis Agua"/>
      <sheetName val="Graf.Enfer"/>
      <sheetName val="GRA-AGUA"/>
      <sheetName val="Dem.Agua Aguaytía"/>
      <sheetName val="Ingreso Infor.Aguaytía"/>
      <sheetName val="Dem.Alcant. Aguaytía"/>
      <sheetName val="Ingr.Infor. B.U"/>
      <sheetName val="Dem.Agua B.U"/>
      <sheetName val="Dem.Alcant. B.U"/>
      <sheetName val="GRA- ALCAN."/>
      <sheetName val="Vol. Regulación"/>
      <sheetName val="Ingr.Infor. Pampa Yurac"/>
      <sheetName val="Dem. Agua Pampa Yurac"/>
      <sheetName val="Ingr.Infor. R1"/>
      <sheetName val="Dem.Agua R1"/>
      <sheetName val="Ingr.Infor. R2"/>
      <sheetName val="Dem.Agua R2"/>
      <sheetName val="Ingr.Infor. VillaAguaytía R4"/>
      <sheetName val="Dem.Agua R4"/>
      <sheetName val="Ingr.Infor.R5 (ALT.1)"/>
      <sheetName val="Dem.Agua R5 (ALT.1)"/>
      <sheetName val="Ingr.Infor. R5 (ALT.2)"/>
      <sheetName val="Dem.Agua R5 (ALT.2)"/>
      <sheetName val="Ingr.Infor. R6 (ALT.2)"/>
      <sheetName val="Dem.Agua R6 (ALT.2)"/>
      <sheetName val="AFOROS"/>
      <sheetName val="SECCIONES QDA."/>
      <sheetName val="RÍOS"/>
      <sheetName val="QUEBRADAS"/>
      <sheetName val="MANANTIALES"/>
      <sheetName val="MANANTIAL Y POZO"/>
      <sheetName val="ZONIFICAC."/>
      <sheetName val="AGUA S.P"/>
      <sheetName val="AGUA C.P"/>
      <sheetName val="RED AGUA S.P"/>
      <sheetName val="RED AGUA C.P"/>
      <sheetName val="ALCANTARILLADO S.P Y C.P"/>
      <sheetName val="RED DESAGUE S.P"/>
      <sheetName val="RED DESAGUE C.P"/>
      <sheetName val="RESERV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X"/>
      <sheetName val="DATOS GRLES"/>
      <sheetName val="VAC19_03"/>
      <sheetName val="VAC19_19"/>
      <sheetName val="VAC19_21"/>
      <sheetName val="ADEL-MAT"/>
      <sheetName val="RES-VAL"/>
      <sheetName val="PLANILLA-MET"/>
      <sheetName val="PART. ESPECIF."/>
      <sheetName val="AVAN GENERIC"/>
      <sheetName val="MANTENIM."/>
      <sheetName val="IMATA-1"/>
      <sheetName val="IMATA-2"/>
      <sheetName val="METRADO MES SECTOR-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ATULA"/>
      <sheetName val="FICHA"/>
      <sheetName val="Res. vals"/>
      <sheetName val="RESUMEN"/>
      <sheetName val="pagado"/>
      <sheetName val="MONTO VIGENTE"/>
      <sheetName val="REAL EJECUTADO"/>
      <sheetName val="MET FIN "/>
      <sheetName val="VALS RECALC"/>
      <sheetName val="REAJ."/>
      <sheetName val="K"/>
      <sheetName val="COMP- CP"/>
      <sheetName val="CRONG.F"/>
    </sheetNames>
    <sheetDataSet>
      <sheetData sheetId="0"/>
      <sheetData sheetId="1">
        <row r="3">
          <cell r="E3" t="str">
            <v>MUNICIPALIDAD DISTRITAL DE MAGDALENA DEL MAR</v>
          </cell>
        </row>
        <row r="7">
          <cell r="E7" t="str">
            <v>MEJORAMIENTO DEL ACCESO VEHICULAR EN EL JR. GERASIMO GARCIA Y GARCIA CENTRO POBLADO DE MAGDALENA DEL MAR – DISTRITO DE MAGDALENA DEL MAR – PROVINCIA DE LIMA – REGION LIMA</v>
          </cell>
        </row>
        <row r="8">
          <cell r="E8" t="str">
            <v>REBECSA SAC</v>
          </cell>
        </row>
        <row r="11">
          <cell r="E11">
            <v>614974.82999999996</v>
          </cell>
        </row>
        <row r="12">
          <cell r="E12">
            <v>521165.11</v>
          </cell>
        </row>
        <row r="14">
          <cell r="E14">
            <v>614870</v>
          </cell>
        </row>
        <row r="15">
          <cell r="E15">
            <v>521076.27</v>
          </cell>
        </row>
        <row r="16">
          <cell r="E16">
            <v>0.99982953773896732</v>
          </cell>
        </row>
      </sheetData>
      <sheetData sheetId="2"/>
      <sheetData sheetId="3">
        <row r="4">
          <cell r="D4" t="str">
            <v>MAGDALENA DEL MAR - LIMA - LIMA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ulos"/>
      <sheetName val="DATOS"/>
      <sheetName val="Cronograma Base"/>
      <sheetName val="Resumen"/>
      <sheetName val="Presupuesto 01"/>
      <sheetName val="Presupuesto 02"/>
      <sheetName val="Presupuesto 03"/>
      <sheetName val="Presupuesto 04"/>
      <sheetName val="Presupuesto 05"/>
      <sheetName val="Presupuesto 06"/>
      <sheetName val="Cronograma Mat OJO"/>
      <sheetName val="Formulas Polinómicas"/>
      <sheetName val="FORPOL"/>
      <sheetName val="Adelanto Directo"/>
      <sheetName val="Justificacion del 60% OJO"/>
      <sheetName val="Metrado 01"/>
      <sheetName val="Metrado 02"/>
      <sheetName val="Metrado 03"/>
      <sheetName val="Metrado 04"/>
      <sheetName val="Metrado 05"/>
      <sheetName val="Metrado 06"/>
      <sheetName val="Val Formula 01"/>
      <sheetName val="Val Formula 02"/>
      <sheetName val="Val Formula 03"/>
      <sheetName val="Val Formula 04"/>
      <sheetName val="Val Formula 05"/>
      <sheetName val="Val Formula 06"/>
      <sheetName val="Deducción Efectivo"/>
      <sheetName val="Polinomica"/>
      <sheetName val="Reajuste"/>
      <sheetName val="Deduccion Materiales"/>
      <sheetName val="Adelanto de Materiales EXP"/>
      <sheetName val="Facturación"/>
      <sheetName val="Adelanto de Materiales FOR"/>
      <sheetName val="Resumen de Valorización"/>
      <sheetName val="INDICES"/>
    </sheetNames>
    <sheetDataSet>
      <sheetData sheetId="0" refreshError="1"/>
      <sheetData sheetId="1">
        <row r="5">
          <cell r="B5" t="str">
            <v>CONSTRUCCION DE LA CASA DE LA JUVENTUD</v>
          </cell>
        </row>
        <row r="12">
          <cell r="B12">
            <v>150</v>
          </cell>
        </row>
        <row r="13">
          <cell r="B13" t="str">
            <v>CONSORCIO LIMA</v>
          </cell>
        </row>
        <row r="15">
          <cell r="B15" t="str">
            <v>23 de Septiembre de 2010</v>
          </cell>
        </row>
        <row r="26">
          <cell r="B26" t="str">
            <v>ESTRUCTURAS</v>
          </cell>
        </row>
        <row r="27">
          <cell r="B27" t="str">
            <v>ARQUITECTURA</v>
          </cell>
        </row>
        <row r="28">
          <cell r="B28" t="str">
            <v>INSTALACIONES SANITARIAS</v>
          </cell>
        </row>
        <row r="29">
          <cell r="B29" t="str">
            <v>INSTALACIONES ELECTRICAS</v>
          </cell>
        </row>
        <row r="30">
          <cell r="B30" t="str">
            <v>OBRAS COMPLEMENTARIAS</v>
          </cell>
        </row>
        <row r="31">
          <cell r="B31" t="str">
            <v>PLAN DE MANEJO AMBIENTAL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DEL MANTENIMIENTO "/>
      <sheetName val="6.00.- Metrado  (2)"/>
      <sheetName val="6.00.- Metrado "/>
      <sheetName val="4.01.- Planilla VAL. PRINC."/>
      <sheetName val="Planilla VAL. x Mes"/>
      <sheetName val="4.00.- Resumen VAL."/>
      <sheetName val="4.00.- Resumen CONSOLIDADO"/>
      <sheetName val="4.02. Coef. Reajuste"/>
      <sheetName val="4.02 Ind. Unificado"/>
      <sheetName val="4.03 Calculo Reajuste"/>
      <sheetName val="4.04 Amort de Adelant"/>
      <sheetName val="4.05 DedEF"/>
      <sheetName val="4.06 Cal. Procedencia"/>
      <sheetName val="4.07 Resumen de Valorizacion"/>
      <sheetName val="5.0 PAGOS A CUENTA"/>
      <sheetName val="3.00 CUADRO DE RESUMEN"/>
      <sheetName val="2.5_METRADOS_SECTOR-I (x mes)"/>
      <sheetName val="2.4_FOR_01_SECTOR-I (x mes)"/>
      <sheetName val="DATOS  DE OBRA"/>
    </sheetNames>
    <sheetDataSet>
      <sheetData sheetId="0"/>
      <sheetData sheetId="1"/>
      <sheetData sheetId="2"/>
      <sheetData sheetId="3">
        <row r="6">
          <cell r="U6">
            <v>1</v>
          </cell>
          <cell r="V6">
            <v>1</v>
          </cell>
          <cell r="W6">
            <v>2</v>
          </cell>
          <cell r="X6">
            <v>3</v>
          </cell>
          <cell r="Y6">
            <v>4</v>
          </cell>
          <cell r="Z6">
            <v>5</v>
          </cell>
          <cell r="AA6">
            <v>6</v>
          </cell>
          <cell r="AB6">
            <v>7</v>
          </cell>
          <cell r="AC6">
            <v>8</v>
          </cell>
          <cell r="AD6">
            <v>9</v>
          </cell>
          <cell r="AE6">
            <v>10</v>
          </cell>
          <cell r="AF6">
            <v>11</v>
          </cell>
          <cell r="AG6">
            <v>12</v>
          </cell>
          <cell r="AH6">
            <v>13</v>
          </cell>
          <cell r="AI6">
            <v>14</v>
          </cell>
          <cell r="AJ6">
            <v>15</v>
          </cell>
          <cell r="AK6">
            <v>16</v>
          </cell>
          <cell r="AL6">
            <v>17</v>
          </cell>
          <cell r="AM6">
            <v>18</v>
          </cell>
          <cell r="AN6">
            <v>19</v>
          </cell>
          <cell r="AO6">
            <v>20</v>
          </cell>
          <cell r="AP6">
            <v>21</v>
          </cell>
          <cell r="AQ6">
            <v>22</v>
          </cell>
          <cell r="AR6">
            <v>23</v>
          </cell>
          <cell r="AS6">
            <v>24</v>
          </cell>
          <cell r="AT6">
            <v>25</v>
          </cell>
          <cell r="AU6">
            <v>26</v>
          </cell>
          <cell r="AV6">
            <v>27</v>
          </cell>
          <cell r="AW6">
            <v>28</v>
          </cell>
          <cell r="AX6">
            <v>29</v>
          </cell>
          <cell r="AY6">
            <v>30</v>
          </cell>
          <cell r="AZ6">
            <v>31</v>
          </cell>
          <cell r="BA6">
            <v>32</v>
          </cell>
          <cell r="BB6">
            <v>33</v>
          </cell>
          <cell r="BC6">
            <v>34</v>
          </cell>
          <cell r="BD6">
            <v>35</v>
          </cell>
          <cell r="BE6">
            <v>36</v>
          </cell>
          <cell r="BF6">
            <v>37</v>
          </cell>
          <cell r="BG6">
            <v>38</v>
          </cell>
          <cell r="BH6">
            <v>39</v>
          </cell>
          <cell r="BI6">
            <v>40</v>
          </cell>
          <cell r="BJ6">
            <v>41</v>
          </cell>
          <cell r="BK6">
            <v>42</v>
          </cell>
          <cell r="BL6">
            <v>43</v>
          </cell>
          <cell r="BM6">
            <v>44</v>
          </cell>
          <cell r="BN6">
            <v>45</v>
          </cell>
          <cell r="BO6">
            <v>46</v>
          </cell>
          <cell r="BP6">
            <v>47</v>
          </cell>
          <cell r="BQ6">
            <v>48</v>
          </cell>
          <cell r="BR6">
            <v>49</v>
          </cell>
          <cell r="BS6">
            <v>50</v>
          </cell>
          <cell r="BT6">
            <v>51</v>
          </cell>
          <cell r="BU6">
            <v>52</v>
          </cell>
          <cell r="BV6">
            <v>53</v>
          </cell>
          <cell r="BW6">
            <v>54</v>
          </cell>
          <cell r="BX6">
            <v>55</v>
          </cell>
          <cell r="BY6">
            <v>56</v>
          </cell>
          <cell r="BZ6">
            <v>57</v>
          </cell>
          <cell r="CA6">
            <v>58</v>
          </cell>
          <cell r="CB6">
            <v>59</v>
          </cell>
          <cell r="CC6">
            <v>60</v>
          </cell>
          <cell r="CD6">
            <v>61</v>
          </cell>
          <cell r="CE6">
            <v>62</v>
          </cell>
          <cell r="CF6">
            <v>63</v>
          </cell>
          <cell r="CG6">
            <v>64</v>
          </cell>
          <cell r="CH6">
            <v>65</v>
          </cell>
          <cell r="CI6">
            <v>66</v>
          </cell>
          <cell r="CJ6">
            <v>67</v>
          </cell>
          <cell r="CK6">
            <v>68</v>
          </cell>
          <cell r="CL6">
            <v>69</v>
          </cell>
          <cell r="CM6">
            <v>70</v>
          </cell>
          <cell r="CN6">
            <v>71</v>
          </cell>
          <cell r="CO6">
            <v>72</v>
          </cell>
          <cell r="CP6">
            <v>73</v>
          </cell>
          <cell r="CQ6">
            <v>74</v>
          </cell>
          <cell r="CR6">
            <v>75</v>
          </cell>
          <cell r="CS6">
            <v>76</v>
          </cell>
          <cell r="CT6">
            <v>77</v>
          </cell>
          <cell r="CU6">
            <v>78</v>
          </cell>
          <cell r="CV6">
            <v>79</v>
          </cell>
          <cell r="CW6">
            <v>80</v>
          </cell>
          <cell r="CX6">
            <v>81</v>
          </cell>
          <cell r="CY6">
            <v>82</v>
          </cell>
          <cell r="CZ6">
            <v>83</v>
          </cell>
          <cell r="DA6">
            <v>84</v>
          </cell>
          <cell r="DB6">
            <v>85</v>
          </cell>
          <cell r="DC6">
            <v>86</v>
          </cell>
          <cell r="DD6">
            <v>87</v>
          </cell>
          <cell r="DE6">
            <v>88</v>
          </cell>
          <cell r="DF6">
            <v>89</v>
          </cell>
          <cell r="DG6">
            <v>90</v>
          </cell>
          <cell r="DH6">
            <v>91</v>
          </cell>
          <cell r="DI6">
            <v>92</v>
          </cell>
          <cell r="DJ6">
            <v>93</v>
          </cell>
          <cell r="DK6">
            <v>94</v>
          </cell>
          <cell r="DL6">
            <v>95</v>
          </cell>
          <cell r="DM6">
            <v>96</v>
          </cell>
          <cell r="DN6">
            <v>97</v>
          </cell>
          <cell r="DO6">
            <v>98</v>
          </cell>
          <cell r="DP6">
            <v>99</v>
          </cell>
          <cell r="DQ6">
            <v>100</v>
          </cell>
          <cell r="DR6">
            <v>101</v>
          </cell>
          <cell r="DS6">
            <v>102</v>
          </cell>
          <cell r="DT6">
            <v>103</v>
          </cell>
          <cell r="DU6">
            <v>104</v>
          </cell>
          <cell r="DV6">
            <v>105</v>
          </cell>
          <cell r="DW6">
            <v>106</v>
          </cell>
          <cell r="DX6">
            <v>107</v>
          </cell>
          <cell r="DY6">
            <v>108</v>
          </cell>
          <cell r="DZ6">
            <v>109</v>
          </cell>
          <cell r="EA6">
            <v>110</v>
          </cell>
          <cell r="EB6">
            <v>111</v>
          </cell>
          <cell r="EC6">
            <v>112</v>
          </cell>
          <cell r="ED6">
            <v>113</v>
          </cell>
          <cell r="EE6">
            <v>114</v>
          </cell>
          <cell r="EF6">
            <v>115</v>
          </cell>
          <cell r="EG6">
            <v>116</v>
          </cell>
          <cell r="EH6">
            <v>117</v>
          </cell>
          <cell r="EI6">
            <v>118</v>
          </cell>
          <cell r="EJ6">
            <v>119</v>
          </cell>
          <cell r="EK6">
            <v>120</v>
          </cell>
          <cell r="EL6">
            <v>121</v>
          </cell>
          <cell r="EM6">
            <v>122</v>
          </cell>
          <cell r="EN6">
            <v>123</v>
          </cell>
          <cell r="EO6">
            <v>124</v>
          </cell>
          <cell r="EP6">
            <v>125</v>
          </cell>
          <cell r="EQ6">
            <v>126</v>
          </cell>
          <cell r="ER6">
            <v>127</v>
          </cell>
          <cell r="ES6">
            <v>128</v>
          </cell>
          <cell r="ET6">
            <v>129</v>
          </cell>
          <cell r="EU6">
            <v>130</v>
          </cell>
          <cell r="EV6">
            <v>131</v>
          </cell>
          <cell r="EW6">
            <v>132</v>
          </cell>
          <cell r="EX6">
            <v>133</v>
          </cell>
          <cell r="EY6">
            <v>134</v>
          </cell>
          <cell r="EZ6">
            <v>135</v>
          </cell>
          <cell r="FA6">
            <v>136</v>
          </cell>
          <cell r="FB6">
            <v>137</v>
          </cell>
          <cell r="FC6">
            <v>138</v>
          </cell>
          <cell r="FD6">
            <v>139</v>
          </cell>
          <cell r="FE6">
            <v>140</v>
          </cell>
          <cell r="FF6">
            <v>141</v>
          </cell>
          <cell r="FG6">
            <v>142</v>
          </cell>
          <cell r="FH6">
            <v>143</v>
          </cell>
          <cell r="FI6">
            <v>144</v>
          </cell>
          <cell r="FJ6">
            <v>145</v>
          </cell>
          <cell r="FK6">
            <v>146</v>
          </cell>
          <cell r="FL6">
            <v>147</v>
          </cell>
          <cell r="FM6">
            <v>148</v>
          </cell>
          <cell r="FN6">
            <v>149</v>
          </cell>
          <cell r="FO6">
            <v>150</v>
          </cell>
          <cell r="FP6">
            <v>151</v>
          </cell>
          <cell r="FQ6">
            <v>152</v>
          </cell>
          <cell r="FR6">
            <v>153</v>
          </cell>
          <cell r="FS6">
            <v>154</v>
          </cell>
          <cell r="FT6">
            <v>155</v>
          </cell>
          <cell r="FU6">
            <v>156</v>
          </cell>
          <cell r="FV6">
            <v>157</v>
          </cell>
          <cell r="FW6">
            <v>158</v>
          </cell>
          <cell r="FX6">
            <v>159</v>
          </cell>
          <cell r="FY6">
            <v>160</v>
          </cell>
          <cell r="FZ6">
            <v>161</v>
          </cell>
          <cell r="GA6">
            <v>162</v>
          </cell>
          <cell r="GB6">
            <v>163</v>
          </cell>
          <cell r="GC6">
            <v>164</v>
          </cell>
          <cell r="GD6">
            <v>165</v>
          </cell>
          <cell r="GE6">
            <v>166</v>
          </cell>
          <cell r="GF6">
            <v>167</v>
          </cell>
          <cell r="GG6">
            <v>168</v>
          </cell>
        </row>
        <row r="7">
          <cell r="U7">
            <v>2</v>
          </cell>
          <cell r="V7" t="str">
            <v>ENERO- 2009</v>
          </cell>
          <cell r="AH7" t="str">
            <v>FEBRERO- 2009</v>
          </cell>
          <cell r="AT7" t="str">
            <v>MARZO- 2009</v>
          </cell>
          <cell r="BF7" t="str">
            <v>ABRIL- 2009</v>
          </cell>
          <cell r="BR7" t="str">
            <v>MAYO- 2009</v>
          </cell>
          <cell r="CD7" t="str">
            <v>JUNIO- 2009</v>
          </cell>
          <cell r="CP7" t="str">
            <v>JULIO- 2009</v>
          </cell>
          <cell r="DB7" t="str">
            <v>AGOSTO- 2009</v>
          </cell>
          <cell r="DN7" t="str">
            <v>SETIEMBRE- 2009</v>
          </cell>
          <cell r="DZ7" t="str">
            <v>OCTUBRE- 2005</v>
          </cell>
          <cell r="EL7" t="str">
            <v>NOVIEMBRE- 2009</v>
          </cell>
          <cell r="EX7" t="str">
            <v>DICIEMBRE- 2009</v>
          </cell>
          <cell r="FJ7" t="str">
            <v>ENERO- 2010</v>
          </cell>
          <cell r="FV7" t="str">
            <v>FEBRERO- 2010</v>
          </cell>
        </row>
        <row r="8">
          <cell r="U8">
            <v>3</v>
          </cell>
          <cell r="V8" t="str">
            <v>ACUMULADO DEL MES</v>
          </cell>
          <cell r="Y8" t="str">
            <v xml:space="preserve">Val. No.  01 </v>
          </cell>
          <cell r="AB8" t="str">
            <v>AVANCE ACUMULADO</v>
          </cell>
          <cell r="AE8" t="str">
            <v>SALDO POR</v>
          </cell>
          <cell r="AH8" t="str">
            <v>ACUMULADO DEL MES</v>
          </cell>
          <cell r="AK8" t="str">
            <v xml:space="preserve">VAL. No.  02 </v>
          </cell>
          <cell r="AN8" t="str">
            <v>AVANCE ACUMULADO</v>
          </cell>
          <cell r="AQ8" t="str">
            <v>SALDO POR</v>
          </cell>
          <cell r="AT8" t="str">
            <v>ACUMULADO DEL MES</v>
          </cell>
          <cell r="AW8" t="str">
            <v xml:space="preserve">VAL. No.  03 </v>
          </cell>
          <cell r="AZ8" t="str">
            <v>AVANCE ACUMULADO</v>
          </cell>
          <cell r="BC8" t="str">
            <v>SALDO POR</v>
          </cell>
          <cell r="BF8" t="str">
            <v>ACUMULADO DEL MES</v>
          </cell>
          <cell r="BI8" t="str">
            <v xml:space="preserve">VAL. No.  04 </v>
          </cell>
          <cell r="BL8" t="str">
            <v>AVANCE ACUMULADO</v>
          </cell>
          <cell r="BO8" t="str">
            <v>SALDO POR</v>
          </cell>
          <cell r="BR8" t="str">
            <v>ACUMULADO DEL MES</v>
          </cell>
          <cell r="BU8" t="str">
            <v xml:space="preserve">VAL. No.  05 </v>
          </cell>
          <cell r="BX8" t="str">
            <v>AVANCE ACUMULADO</v>
          </cell>
          <cell r="CA8" t="str">
            <v>SALDO POR</v>
          </cell>
          <cell r="CD8" t="str">
            <v>ACUMULADO DEL MES</v>
          </cell>
          <cell r="CG8" t="str">
            <v xml:space="preserve">VAL. No.  06 </v>
          </cell>
          <cell r="CJ8" t="str">
            <v>AVANCE ACUMULADO</v>
          </cell>
          <cell r="CM8" t="str">
            <v>SALDO POR</v>
          </cell>
          <cell r="CP8" t="str">
            <v>ACUMULADO DEL MES</v>
          </cell>
          <cell r="CS8" t="str">
            <v xml:space="preserve">VAL. No.  07 </v>
          </cell>
          <cell r="CV8" t="str">
            <v>AVANCE ACUMULADO</v>
          </cell>
          <cell r="CY8" t="str">
            <v>SALDO POR</v>
          </cell>
          <cell r="DB8" t="str">
            <v>ACUMULADO DEL MES</v>
          </cell>
          <cell r="DE8" t="str">
            <v xml:space="preserve">VAL. No.  08 </v>
          </cell>
          <cell r="DH8" t="str">
            <v>AVANCE ACUMULADO</v>
          </cell>
          <cell r="DK8" t="str">
            <v>SALDO POR</v>
          </cell>
          <cell r="DN8" t="str">
            <v>ACUMULADO DEL MES</v>
          </cell>
          <cell r="DQ8" t="str">
            <v xml:space="preserve">VAL. No.  09 </v>
          </cell>
          <cell r="DT8" t="str">
            <v>AVANCE ACUMULADO</v>
          </cell>
          <cell r="DW8" t="str">
            <v>SALDO POR</v>
          </cell>
          <cell r="DZ8" t="str">
            <v>ACUMULADO DEL MES</v>
          </cell>
          <cell r="EC8" t="str">
            <v xml:space="preserve">VAL. No.  10 </v>
          </cell>
          <cell r="EF8" t="str">
            <v>AVANCE ACUMULADO</v>
          </cell>
          <cell r="EI8" t="str">
            <v>SALDO POR</v>
          </cell>
          <cell r="EL8" t="str">
            <v>ACUMULADO DEL MES</v>
          </cell>
          <cell r="EO8" t="str">
            <v xml:space="preserve">VAL. No.  11 </v>
          </cell>
          <cell r="ER8" t="str">
            <v>AVANCE ACUMULADO</v>
          </cell>
          <cell r="EU8" t="str">
            <v>SALDO POR</v>
          </cell>
          <cell r="EX8" t="str">
            <v>ACUMULADO DEL MES</v>
          </cell>
          <cell r="FA8" t="str">
            <v>VAL. No.  12</v>
          </cell>
          <cell r="FD8" t="str">
            <v>AVANCE ACUMULADO</v>
          </cell>
          <cell r="FG8" t="str">
            <v>SALDO POR</v>
          </cell>
          <cell r="FJ8" t="str">
            <v>ACUMULADO DEL MES</v>
          </cell>
          <cell r="FM8" t="str">
            <v>VAL. No.  13</v>
          </cell>
          <cell r="FP8" t="str">
            <v>AVANCE ACUMULADO</v>
          </cell>
          <cell r="FS8" t="str">
            <v>SALDO POR</v>
          </cell>
          <cell r="FV8" t="str">
            <v>ACUMULADO DEL MES</v>
          </cell>
          <cell r="FY8" t="str">
            <v>VAL. No.  14</v>
          </cell>
          <cell r="GB8" t="str">
            <v>AVANCE ACUMULADO</v>
          </cell>
          <cell r="GE8" t="str">
            <v>SALDO POR</v>
          </cell>
        </row>
        <row r="9">
          <cell r="U9">
            <v>4</v>
          </cell>
          <cell r="V9" t="str">
            <v>ANTERIOR</v>
          </cell>
          <cell r="Y9">
            <v>39814</v>
          </cell>
          <cell r="AB9" t="str">
            <v>ACTUAL</v>
          </cell>
          <cell r="AE9" t="str">
            <v>VALORIZAR</v>
          </cell>
          <cell r="AH9" t="str">
            <v>ANTERIOR</v>
          </cell>
          <cell r="AK9">
            <v>39845</v>
          </cell>
          <cell r="AN9" t="str">
            <v>ACTUAL</v>
          </cell>
          <cell r="AQ9" t="str">
            <v>VALORIZAR</v>
          </cell>
          <cell r="AT9" t="str">
            <v>ANTERIOR</v>
          </cell>
          <cell r="AW9">
            <v>39873</v>
          </cell>
          <cell r="AZ9" t="str">
            <v>ACTUAL</v>
          </cell>
          <cell r="BC9" t="str">
            <v>VALORIZAR</v>
          </cell>
          <cell r="BF9" t="str">
            <v>ANTERIOR</v>
          </cell>
          <cell r="BI9">
            <v>39904</v>
          </cell>
          <cell r="BL9" t="str">
            <v>ACTUAL</v>
          </cell>
          <cell r="BO9" t="str">
            <v>VALORIZAR</v>
          </cell>
          <cell r="BR9" t="str">
            <v>ANTERIOR</v>
          </cell>
          <cell r="BU9">
            <v>39934</v>
          </cell>
          <cell r="BX9" t="str">
            <v>ACTUAL</v>
          </cell>
          <cell r="CA9" t="str">
            <v>VALORIZAR</v>
          </cell>
          <cell r="CD9" t="str">
            <v>ANTERIOR</v>
          </cell>
          <cell r="CG9">
            <v>39965</v>
          </cell>
          <cell r="CJ9" t="str">
            <v>ACTUAL</v>
          </cell>
          <cell r="CM9" t="str">
            <v>VALORIZAR</v>
          </cell>
          <cell r="CP9" t="str">
            <v>ANTERIOR</v>
          </cell>
          <cell r="CS9">
            <v>39995</v>
          </cell>
          <cell r="CV9" t="str">
            <v>ACTUAL</v>
          </cell>
          <cell r="CY9" t="str">
            <v>VALORIZAR</v>
          </cell>
          <cell r="DB9" t="str">
            <v>ANTERIOR</v>
          </cell>
          <cell r="DE9">
            <v>40026</v>
          </cell>
          <cell r="DH9" t="str">
            <v>ACTUAL</v>
          </cell>
          <cell r="DK9" t="str">
            <v>VALORIZAR</v>
          </cell>
          <cell r="DN9" t="str">
            <v>ANTERIOR</v>
          </cell>
          <cell r="DQ9">
            <v>40057</v>
          </cell>
          <cell r="DT9" t="str">
            <v>ACTUAL</v>
          </cell>
          <cell r="DW9" t="str">
            <v>VALORIZAR</v>
          </cell>
          <cell r="DZ9" t="str">
            <v>ANTERIOR</v>
          </cell>
          <cell r="EC9">
            <v>40087</v>
          </cell>
          <cell r="EF9" t="str">
            <v>ACTUAL</v>
          </cell>
          <cell r="EI9" t="str">
            <v>VALORIZAR</v>
          </cell>
          <cell r="EL9" t="str">
            <v>ANTERIOR</v>
          </cell>
          <cell r="EO9">
            <v>40118</v>
          </cell>
          <cell r="ER9" t="str">
            <v>ACTUAL</v>
          </cell>
          <cell r="EU9" t="str">
            <v>VALORIZAR</v>
          </cell>
          <cell r="EX9" t="str">
            <v>ANTERIOR</v>
          </cell>
          <cell r="FA9">
            <v>40148</v>
          </cell>
          <cell r="FD9" t="str">
            <v>ACTUAL</v>
          </cell>
          <cell r="FG9" t="str">
            <v>VALORIZAR</v>
          </cell>
          <cell r="FJ9" t="str">
            <v>ANTERIOR</v>
          </cell>
          <cell r="FM9">
            <v>40179</v>
          </cell>
          <cell r="FP9" t="str">
            <v>ACTUAL</v>
          </cell>
          <cell r="FS9" t="str">
            <v>VALORIZAR</v>
          </cell>
          <cell r="FV9" t="str">
            <v>ANTERIOR</v>
          </cell>
          <cell r="FY9">
            <v>40210</v>
          </cell>
          <cell r="GB9" t="str">
            <v>ACTUAL</v>
          </cell>
          <cell r="GE9" t="str">
            <v>VALORIZAR</v>
          </cell>
        </row>
        <row r="10">
          <cell r="U10">
            <v>5</v>
          </cell>
          <cell r="V10" t="str">
            <v>METRADO</v>
          </cell>
          <cell r="W10" t="str">
            <v>MONTO (S/.)</v>
          </cell>
          <cell r="X10" t="str">
            <v>%</v>
          </cell>
          <cell r="Y10" t="str">
            <v>METRADO</v>
          </cell>
          <cell r="Z10" t="str">
            <v>MONTO (S/.)</v>
          </cell>
          <cell r="AA10" t="str">
            <v>%</v>
          </cell>
          <cell r="AB10" t="str">
            <v>METRADO</v>
          </cell>
          <cell r="AC10" t="str">
            <v>MONTO (S/.)</v>
          </cell>
          <cell r="AD10" t="str">
            <v>%</v>
          </cell>
          <cell r="AE10" t="str">
            <v>METRADO</v>
          </cell>
          <cell r="AF10" t="str">
            <v>MONTO (S/.)</v>
          </cell>
          <cell r="AG10" t="str">
            <v>%</v>
          </cell>
          <cell r="AH10" t="str">
            <v>METRADO</v>
          </cell>
          <cell r="AI10" t="str">
            <v>MONTO (S/.)</v>
          </cell>
          <cell r="AJ10" t="str">
            <v>%</v>
          </cell>
          <cell r="AK10" t="str">
            <v>METRADO</v>
          </cell>
          <cell r="AL10" t="str">
            <v>MONTO (S/.)</v>
          </cell>
          <cell r="AM10" t="str">
            <v>%</v>
          </cell>
          <cell r="AN10" t="str">
            <v>METRADO</v>
          </cell>
          <cell r="AO10" t="str">
            <v>MONTO (S/.)</v>
          </cell>
          <cell r="AP10" t="str">
            <v>%</v>
          </cell>
          <cell r="AQ10" t="str">
            <v>METRADO</v>
          </cell>
          <cell r="AR10" t="str">
            <v>MONTO (S/.)</v>
          </cell>
          <cell r="AS10" t="str">
            <v>%</v>
          </cell>
          <cell r="AT10" t="str">
            <v>METRADO</v>
          </cell>
          <cell r="AU10" t="str">
            <v>MONTO (S/.)</v>
          </cell>
          <cell r="AV10" t="str">
            <v>%</v>
          </cell>
          <cell r="AW10" t="str">
            <v>METRADO</v>
          </cell>
          <cell r="AX10" t="str">
            <v>MONTO (S/.)</v>
          </cell>
          <cell r="AY10" t="str">
            <v>%</v>
          </cell>
          <cell r="AZ10" t="str">
            <v>METRADO</v>
          </cell>
          <cell r="BA10" t="str">
            <v>MONTO (S/.)</v>
          </cell>
          <cell r="BB10" t="str">
            <v>%</v>
          </cell>
          <cell r="BC10" t="str">
            <v>METRADO</v>
          </cell>
          <cell r="BD10" t="str">
            <v>MONTO (S/.)</v>
          </cell>
          <cell r="BE10" t="str">
            <v>%</v>
          </cell>
          <cell r="BF10" t="str">
            <v>METRADO</v>
          </cell>
          <cell r="BG10" t="str">
            <v>MONTO (S/.)</v>
          </cell>
          <cell r="BH10" t="str">
            <v>%</v>
          </cell>
          <cell r="BI10" t="str">
            <v>METRADO</v>
          </cell>
          <cell r="BJ10" t="str">
            <v>MONTO (S/.)</v>
          </cell>
          <cell r="BK10" t="str">
            <v>%</v>
          </cell>
          <cell r="BL10" t="str">
            <v>METRADO</v>
          </cell>
          <cell r="BM10" t="str">
            <v>MONTO (S/.)</v>
          </cell>
          <cell r="BN10" t="str">
            <v>%</v>
          </cell>
          <cell r="BO10" t="str">
            <v>METRADO</v>
          </cell>
          <cell r="BP10" t="str">
            <v>MONTO (S/.)</v>
          </cell>
          <cell r="BQ10" t="str">
            <v>%</v>
          </cell>
          <cell r="BR10" t="str">
            <v>METRADO</v>
          </cell>
          <cell r="BS10" t="str">
            <v>MONTO (S/.)</v>
          </cell>
          <cell r="BT10" t="str">
            <v>%</v>
          </cell>
          <cell r="BU10" t="str">
            <v>METRADO</v>
          </cell>
          <cell r="BV10" t="str">
            <v>MONTO (S/.)</v>
          </cell>
          <cell r="BW10" t="str">
            <v>%</v>
          </cell>
          <cell r="BX10" t="str">
            <v>METRADO</v>
          </cell>
          <cell r="BY10" t="str">
            <v>MONTO (S/.)</v>
          </cell>
          <cell r="BZ10" t="str">
            <v>%</v>
          </cell>
          <cell r="CA10" t="str">
            <v>METRADO</v>
          </cell>
          <cell r="CB10" t="str">
            <v>MONTO (S/.)</v>
          </cell>
          <cell r="CC10" t="str">
            <v>%</v>
          </cell>
          <cell r="CD10" t="str">
            <v>METRADO</v>
          </cell>
          <cell r="CE10" t="str">
            <v>MONTO (S/.)</v>
          </cell>
          <cell r="CF10" t="str">
            <v>%</v>
          </cell>
          <cell r="CG10" t="str">
            <v>METRADO</v>
          </cell>
          <cell r="CH10" t="str">
            <v>MONTO (S/.)</v>
          </cell>
          <cell r="CI10" t="str">
            <v>%</v>
          </cell>
          <cell r="CJ10" t="str">
            <v>METRADO</v>
          </cell>
          <cell r="CK10" t="str">
            <v>MONTO (S/.)</v>
          </cell>
          <cell r="CL10" t="str">
            <v>%</v>
          </cell>
          <cell r="CM10" t="str">
            <v>METRADO</v>
          </cell>
          <cell r="CN10" t="str">
            <v>MONTO (S/.)</v>
          </cell>
          <cell r="CO10" t="str">
            <v>%</v>
          </cell>
          <cell r="CP10" t="str">
            <v>METRADO</v>
          </cell>
          <cell r="CQ10" t="str">
            <v>MONTO (S/.)</v>
          </cell>
          <cell r="CR10" t="str">
            <v>%</v>
          </cell>
          <cell r="CS10" t="str">
            <v>METRADO</v>
          </cell>
          <cell r="CT10" t="str">
            <v>MONTO (S/.)</v>
          </cell>
          <cell r="CU10" t="str">
            <v>%</v>
          </cell>
          <cell r="CV10" t="str">
            <v>METRADO</v>
          </cell>
          <cell r="CW10" t="str">
            <v>MONTO (S/.)</v>
          </cell>
          <cell r="CX10" t="str">
            <v>%</v>
          </cell>
          <cell r="CY10" t="str">
            <v>METRADO</v>
          </cell>
          <cell r="CZ10" t="str">
            <v>MONTO (S/.)</v>
          </cell>
          <cell r="DA10" t="str">
            <v>%</v>
          </cell>
          <cell r="DB10" t="str">
            <v>METRADO</v>
          </cell>
          <cell r="DC10" t="str">
            <v>MONTO (S/.)</v>
          </cell>
          <cell r="DD10" t="str">
            <v>%</v>
          </cell>
          <cell r="DE10" t="str">
            <v>METRADO</v>
          </cell>
          <cell r="DF10" t="str">
            <v>MONTO (S/.)</v>
          </cell>
          <cell r="DG10" t="str">
            <v>%</v>
          </cell>
          <cell r="DH10" t="str">
            <v>METRADO</v>
          </cell>
          <cell r="DI10" t="str">
            <v>MONTO (S/.)</v>
          </cell>
          <cell r="DJ10" t="str">
            <v>%</v>
          </cell>
          <cell r="DK10" t="str">
            <v>METRADO</v>
          </cell>
          <cell r="DL10" t="str">
            <v>MONTO (S/.)</v>
          </cell>
          <cell r="DM10" t="str">
            <v>%</v>
          </cell>
          <cell r="DN10" t="str">
            <v>METRADO</v>
          </cell>
          <cell r="DO10" t="str">
            <v>MONTO (S/.)</v>
          </cell>
          <cell r="DP10" t="str">
            <v>%</v>
          </cell>
          <cell r="DQ10" t="str">
            <v>METRADO</v>
          </cell>
          <cell r="DR10" t="str">
            <v>MONTO (S/.)</v>
          </cell>
          <cell r="DS10" t="str">
            <v>%</v>
          </cell>
          <cell r="DT10" t="str">
            <v>METRADO</v>
          </cell>
          <cell r="DU10" t="str">
            <v>MONTO (S/.)</v>
          </cell>
          <cell r="DV10" t="str">
            <v>%</v>
          </cell>
          <cell r="DW10" t="str">
            <v>METRADO</v>
          </cell>
          <cell r="DX10" t="str">
            <v>MONTO (S/.)</v>
          </cell>
          <cell r="DY10" t="str">
            <v>%</v>
          </cell>
          <cell r="DZ10" t="str">
            <v>METRADO</v>
          </cell>
          <cell r="EA10" t="str">
            <v>MONTO (S/.)</v>
          </cell>
          <cell r="EB10" t="str">
            <v>%</v>
          </cell>
          <cell r="EC10" t="str">
            <v>METRADO</v>
          </cell>
          <cell r="ED10" t="str">
            <v>MONTO (S/.)</v>
          </cell>
          <cell r="EE10" t="str">
            <v>%</v>
          </cell>
          <cell r="EF10" t="str">
            <v>METRADO</v>
          </cell>
          <cell r="EG10" t="str">
            <v>MONTO (S/.)</v>
          </cell>
          <cell r="EH10" t="str">
            <v>%</v>
          </cell>
          <cell r="EI10" t="str">
            <v>METRADO</v>
          </cell>
          <cell r="EJ10" t="str">
            <v>MONTO (S/.)</v>
          </cell>
          <cell r="EK10" t="str">
            <v>%</v>
          </cell>
          <cell r="EL10" t="str">
            <v>METRADO</v>
          </cell>
          <cell r="EM10" t="str">
            <v>MONTO (S/.)</v>
          </cell>
          <cell r="EN10" t="str">
            <v>%</v>
          </cell>
          <cell r="EO10" t="str">
            <v>METRADO</v>
          </cell>
          <cell r="EP10" t="str">
            <v>MONTO (S/.)</v>
          </cell>
          <cell r="EQ10" t="str">
            <v>%</v>
          </cell>
          <cell r="ER10" t="str">
            <v>METRADO</v>
          </cell>
          <cell r="ES10" t="str">
            <v>MONTO (S/.)</v>
          </cell>
          <cell r="ET10" t="str">
            <v>%</v>
          </cell>
          <cell r="EU10" t="str">
            <v>METRADO</v>
          </cell>
          <cell r="EV10" t="str">
            <v>MONTO (S/.)</v>
          </cell>
          <cell r="EW10" t="str">
            <v>%</v>
          </cell>
          <cell r="EX10" t="str">
            <v>METRADO</v>
          </cell>
          <cell r="EY10" t="str">
            <v>MONTO (S/.)</v>
          </cell>
          <cell r="EZ10" t="str">
            <v>%</v>
          </cell>
          <cell r="FA10" t="str">
            <v>METRADO</v>
          </cell>
          <cell r="FB10" t="str">
            <v>MONTO (S/.)</v>
          </cell>
          <cell r="FC10" t="str">
            <v>%</v>
          </cell>
          <cell r="FD10" t="str">
            <v>METRADO</v>
          </cell>
          <cell r="FE10" t="str">
            <v>MONTO (S/.)</v>
          </cell>
          <cell r="FF10" t="str">
            <v>%</v>
          </cell>
          <cell r="FG10" t="str">
            <v>METRADO</v>
          </cell>
          <cell r="FH10" t="str">
            <v>MONTO (S/.)</v>
          </cell>
          <cell r="FI10" t="str">
            <v>%</v>
          </cell>
          <cell r="FJ10" t="str">
            <v>METRADO</v>
          </cell>
          <cell r="FK10" t="str">
            <v>MONTO (S/.)</v>
          </cell>
          <cell r="FL10" t="str">
            <v>%</v>
          </cell>
          <cell r="FM10" t="str">
            <v>METRADO</v>
          </cell>
          <cell r="FN10" t="str">
            <v>MONTO (S/.)</v>
          </cell>
          <cell r="FO10" t="str">
            <v>%</v>
          </cell>
          <cell r="FP10" t="str">
            <v>METRADO</v>
          </cell>
          <cell r="FQ10" t="str">
            <v>MONTO (S/.)</v>
          </cell>
          <cell r="FR10" t="str">
            <v>%</v>
          </cell>
          <cell r="FS10" t="str">
            <v>METRADO</v>
          </cell>
          <cell r="FT10" t="str">
            <v>MONTO (S/.)</v>
          </cell>
          <cell r="FU10" t="str">
            <v>%</v>
          </cell>
          <cell r="FV10" t="str">
            <v>METRADO</v>
          </cell>
          <cell r="FW10" t="str">
            <v>MONTO (S/.)</v>
          </cell>
          <cell r="FX10" t="str">
            <v>%</v>
          </cell>
          <cell r="FY10" t="str">
            <v>METRADO</v>
          </cell>
          <cell r="FZ10" t="str">
            <v>MONTO (S/.)</v>
          </cell>
          <cell r="GA10" t="str">
            <v>%</v>
          </cell>
          <cell r="GB10" t="str">
            <v>METRADO</v>
          </cell>
          <cell r="GC10" t="str">
            <v>MONTO (S/.)</v>
          </cell>
          <cell r="GD10" t="str">
            <v>%</v>
          </cell>
          <cell r="GE10" t="str">
            <v>METRADO</v>
          </cell>
          <cell r="GF10" t="str">
            <v>MONTO (S/.)</v>
          </cell>
          <cell r="GG10" t="str">
            <v>%</v>
          </cell>
        </row>
        <row r="11">
          <cell r="U11">
            <v>6</v>
          </cell>
          <cell r="W11">
            <v>0</v>
          </cell>
          <cell r="X11">
            <v>0</v>
          </cell>
          <cell r="Z11">
            <v>60176.799999999996</v>
          </cell>
          <cell r="AA11">
            <v>4.1181138684270382E-2</v>
          </cell>
          <cell r="AC11">
            <v>60176.799999999996</v>
          </cell>
          <cell r="AD11">
            <v>4.1181138684270382E-2</v>
          </cell>
          <cell r="AF11">
            <v>1401094.11</v>
          </cell>
          <cell r="AG11">
            <v>0.95881886131572958</v>
          </cell>
          <cell r="AI11">
            <v>60176.799999999996</v>
          </cell>
          <cell r="AJ11">
            <v>4.1181138684270382E-2</v>
          </cell>
          <cell r="AL11">
            <v>279834.87000000005</v>
          </cell>
          <cell r="AM11">
            <v>0.19150102016333165</v>
          </cell>
          <cell r="AO11">
            <v>340011.67000000004</v>
          </cell>
          <cell r="AP11">
            <v>0.23268215884760204</v>
          </cell>
          <cell r="AR11">
            <v>1121259.2400000002</v>
          </cell>
          <cell r="AS11">
            <v>0.76731784115239798</v>
          </cell>
          <cell r="AU11">
            <v>340011.67000000004</v>
          </cell>
          <cell r="AV11">
            <v>0.23268215884760204</v>
          </cell>
          <cell r="AX11">
            <v>469416.78999999992</v>
          </cell>
          <cell r="AY11">
            <v>0.32123871541383109</v>
          </cell>
          <cell r="BA11">
            <v>809428.46</v>
          </cell>
          <cell r="BB11">
            <v>0.5539208742614331</v>
          </cell>
          <cell r="BD11">
            <v>651842.45000000019</v>
          </cell>
          <cell r="BE11">
            <v>0.4460791257385669</v>
          </cell>
          <cell r="BG11">
            <v>809428.46</v>
          </cell>
          <cell r="BH11">
            <v>0.5539208742614331</v>
          </cell>
          <cell r="BJ11">
            <v>261762.16000000015</v>
          </cell>
          <cell r="BK11">
            <v>0.17913321767282708</v>
          </cell>
          <cell r="BM11">
            <v>1071190.6200000001</v>
          </cell>
          <cell r="BN11">
            <v>0.73305409193426019</v>
          </cell>
          <cell r="BP11">
            <v>390080.29000000004</v>
          </cell>
          <cell r="BQ11">
            <v>0.26694590806573981</v>
          </cell>
          <cell r="BS11">
            <v>1071190.6200000001</v>
          </cell>
          <cell r="BT11">
            <v>0.73305409193426019</v>
          </cell>
          <cell r="BV11">
            <v>-776536.25000000012</v>
          </cell>
          <cell r="BW11">
            <v>-0.5314115573545497</v>
          </cell>
          <cell r="BY11">
            <v>294654.37</v>
          </cell>
          <cell r="BZ11">
            <v>0.20164253457971046</v>
          </cell>
          <cell r="CB11">
            <v>1166616.54</v>
          </cell>
          <cell r="CC11">
            <v>0.79835746542028951</v>
          </cell>
          <cell r="CE11">
            <v>294654.37</v>
          </cell>
          <cell r="CF11">
            <v>0.20164253457971046</v>
          </cell>
          <cell r="CH11">
            <v>0</v>
          </cell>
          <cell r="CI11">
            <v>0</v>
          </cell>
          <cell r="CK11">
            <v>294654.37</v>
          </cell>
          <cell r="CL11">
            <v>0.20164253457971046</v>
          </cell>
          <cell r="CN11">
            <v>1166616.54</v>
          </cell>
          <cell r="CO11">
            <v>0.79835746542028951</v>
          </cell>
          <cell r="CQ11">
            <v>294654.37</v>
          </cell>
          <cell r="CR11">
            <v>0.20164253457971046</v>
          </cell>
          <cell r="CT11">
            <v>0</v>
          </cell>
          <cell r="CU11">
            <v>0</v>
          </cell>
          <cell r="CW11">
            <v>294654.37</v>
          </cell>
          <cell r="CX11">
            <v>0.20164253457971046</v>
          </cell>
          <cell r="CZ11">
            <v>1166616.54</v>
          </cell>
          <cell r="DA11">
            <v>0.79835746542028951</v>
          </cell>
          <cell r="DC11">
            <v>294654.37</v>
          </cell>
          <cell r="DD11">
            <v>0.20164253457971046</v>
          </cell>
          <cell r="DF11">
            <v>0</v>
          </cell>
          <cell r="DG11">
            <v>0</v>
          </cell>
          <cell r="DI11">
            <v>294654.37</v>
          </cell>
          <cell r="DJ11">
            <v>0.20164253457971046</v>
          </cell>
          <cell r="DL11">
            <v>1166616.54</v>
          </cell>
          <cell r="DM11">
            <v>0.79835746542028951</v>
          </cell>
          <cell r="DO11">
            <v>294654.37</v>
          </cell>
          <cell r="DP11">
            <v>0.20164253457971046</v>
          </cell>
          <cell r="DR11">
            <v>0</v>
          </cell>
          <cell r="DS11">
            <v>0</v>
          </cell>
          <cell r="DU11">
            <v>294654.37</v>
          </cell>
          <cell r="DV11">
            <v>0.20164253457971046</v>
          </cell>
          <cell r="DX11">
            <v>1166616.54</v>
          </cell>
          <cell r="DY11">
            <v>0.79835746542028951</v>
          </cell>
          <cell r="EA11">
            <v>294654.37</v>
          </cell>
          <cell r="EB11">
            <v>0.20164253457971046</v>
          </cell>
          <cell r="ED11">
            <v>0</v>
          </cell>
          <cell r="EE11">
            <v>0</v>
          </cell>
          <cell r="EG11">
            <v>294654.37</v>
          </cell>
          <cell r="EH11">
            <v>0.20164253457971046</v>
          </cell>
          <cell r="EJ11">
            <v>1166616.54</v>
          </cell>
          <cell r="EK11">
            <v>0.79835746542028951</v>
          </cell>
          <cell r="EM11">
            <v>294654.37</v>
          </cell>
          <cell r="EN11">
            <v>0.20164253457971046</v>
          </cell>
          <cell r="EP11">
            <v>0</v>
          </cell>
          <cell r="EQ11">
            <v>0</v>
          </cell>
          <cell r="ES11">
            <v>294654.37</v>
          </cell>
          <cell r="ET11">
            <v>0.20164253457971046</v>
          </cell>
          <cell r="EV11">
            <v>1166616.54</v>
          </cell>
          <cell r="EW11">
            <v>0.79835746542028951</v>
          </cell>
          <cell r="EY11">
            <v>294654.37</v>
          </cell>
          <cell r="EZ11">
            <v>0.20164253457971046</v>
          </cell>
          <cell r="FB11">
            <v>0</v>
          </cell>
          <cell r="FC11">
            <v>0</v>
          </cell>
          <cell r="FE11">
            <v>294654.37</v>
          </cell>
          <cell r="FF11">
            <v>0.20164253457971046</v>
          </cell>
          <cell r="FH11">
            <v>1166616.54</v>
          </cell>
          <cell r="FI11">
            <v>0.79835746542028951</v>
          </cell>
          <cell r="FK11">
            <v>294654.37</v>
          </cell>
          <cell r="FL11">
            <v>0.20164253457971046</v>
          </cell>
          <cell r="FN11">
            <v>0</v>
          </cell>
          <cell r="FO11">
            <v>0</v>
          </cell>
          <cell r="FQ11">
            <v>294654.37</v>
          </cell>
          <cell r="FR11">
            <v>0.20164253457971046</v>
          </cell>
          <cell r="FT11">
            <v>1166616.54</v>
          </cell>
          <cell r="FU11">
            <v>0.79835746542028951</v>
          </cell>
          <cell r="FW11">
            <v>294654.37</v>
          </cell>
          <cell r="FX11">
            <v>0.20164253457971046</v>
          </cell>
          <cell r="FZ11">
            <v>0</v>
          </cell>
          <cell r="GA11">
            <v>0</v>
          </cell>
          <cell r="GC11">
            <v>294654.37</v>
          </cell>
          <cell r="GD11">
            <v>0.20164253457971046</v>
          </cell>
          <cell r="GF11">
            <v>1166616.54</v>
          </cell>
          <cell r="GG11">
            <v>0.79835746542028951</v>
          </cell>
        </row>
        <row r="12">
          <cell r="U12">
            <v>7</v>
          </cell>
          <cell r="V12">
            <v>0</v>
          </cell>
          <cell r="W12">
            <v>0</v>
          </cell>
          <cell r="X12">
            <v>0</v>
          </cell>
          <cell r="Y12">
            <v>0.09</v>
          </cell>
          <cell r="Z12">
            <v>51624.84</v>
          </cell>
          <cell r="AA12">
            <v>8.9999995815967848E-2</v>
          </cell>
          <cell r="AB12">
            <v>0.09</v>
          </cell>
          <cell r="AC12">
            <v>51624.84</v>
          </cell>
          <cell r="AD12">
            <v>8.9999995815967848E-2</v>
          </cell>
          <cell r="AE12">
            <v>0.91</v>
          </cell>
          <cell r="AF12">
            <v>521984.52</v>
          </cell>
          <cell r="AG12">
            <v>0.91000000418403215</v>
          </cell>
          <cell r="AH12">
            <v>0.09</v>
          </cell>
          <cell r="AI12">
            <v>51624.84</v>
          </cell>
          <cell r="AJ12">
            <v>8.9999995815967848E-2</v>
          </cell>
          <cell r="AK12">
            <v>0.15</v>
          </cell>
          <cell r="AL12">
            <v>86041.41</v>
          </cell>
          <cell r="AM12">
            <v>0.15000001046008038</v>
          </cell>
          <cell r="AN12">
            <v>0.24</v>
          </cell>
          <cell r="AO12">
            <v>137666.25</v>
          </cell>
          <cell r="AP12">
            <v>0.24000000627604823</v>
          </cell>
          <cell r="AQ12">
            <v>0.76</v>
          </cell>
          <cell r="AR12">
            <v>435943.11</v>
          </cell>
          <cell r="AS12">
            <v>0.75999999372395177</v>
          </cell>
          <cell r="AT12">
            <v>0.24</v>
          </cell>
          <cell r="AU12">
            <v>137666.25</v>
          </cell>
          <cell r="AV12">
            <v>0.24000000627604823</v>
          </cell>
          <cell r="AW12">
            <v>0.11</v>
          </cell>
          <cell r="AX12">
            <v>63097.03</v>
          </cell>
          <cell r="AY12">
            <v>0.11000000069733867</v>
          </cell>
          <cell r="AZ12">
            <v>0.35</v>
          </cell>
          <cell r="BA12">
            <v>200763.28</v>
          </cell>
          <cell r="BB12">
            <v>0.3500000069733869</v>
          </cell>
          <cell r="BC12">
            <v>0.65</v>
          </cell>
          <cell r="BD12">
            <v>372846.07999999996</v>
          </cell>
          <cell r="BE12">
            <v>0.64999999302661315</v>
          </cell>
          <cell r="BF12">
            <v>0.35</v>
          </cell>
          <cell r="BG12">
            <v>200763.28</v>
          </cell>
          <cell r="BH12">
            <v>0.3500000069733869</v>
          </cell>
          <cell r="BI12">
            <v>0.01</v>
          </cell>
          <cell r="BJ12">
            <v>5736.0899999999965</v>
          </cell>
          <cell r="BK12">
            <v>9.9999937239517722E-3</v>
          </cell>
          <cell r="BL12">
            <v>0.36</v>
          </cell>
          <cell r="BM12">
            <v>206499.37</v>
          </cell>
          <cell r="BN12">
            <v>0.36000000069733867</v>
          </cell>
          <cell r="BO12">
            <v>0.64</v>
          </cell>
          <cell r="BP12">
            <v>367109.99</v>
          </cell>
          <cell r="BQ12">
            <v>0.63999999930266127</v>
          </cell>
          <cell r="BR12">
            <v>0.36</v>
          </cell>
          <cell r="BS12">
            <v>206499.37</v>
          </cell>
          <cell r="BT12">
            <v>0.36000000069733867</v>
          </cell>
          <cell r="BU12">
            <v>0.08</v>
          </cell>
          <cell r="BV12">
            <v>45888.75</v>
          </cell>
          <cell r="BW12">
            <v>8.0000002092016076E-2</v>
          </cell>
          <cell r="BX12">
            <v>0.44</v>
          </cell>
          <cell r="BY12">
            <v>252388.12</v>
          </cell>
          <cell r="BZ12">
            <v>0.44000000278935475</v>
          </cell>
          <cell r="CA12">
            <v>0.56000000000000005</v>
          </cell>
          <cell r="CB12">
            <v>321221.24</v>
          </cell>
          <cell r="CC12">
            <v>0.55999999721064531</v>
          </cell>
          <cell r="CD12">
            <v>0.44</v>
          </cell>
          <cell r="CE12">
            <v>252388.12</v>
          </cell>
          <cell r="CF12">
            <v>0.44000000278935475</v>
          </cell>
          <cell r="CG12">
            <v>0</v>
          </cell>
          <cell r="CH12">
            <v>0</v>
          </cell>
          <cell r="CI12">
            <v>0</v>
          </cell>
          <cell r="CJ12">
            <v>0.44</v>
          </cell>
          <cell r="CK12">
            <v>252388.12</v>
          </cell>
          <cell r="CL12">
            <v>0.44000000278935475</v>
          </cell>
          <cell r="CM12">
            <v>0.56000000000000005</v>
          </cell>
          <cell r="CN12">
            <v>321221.24</v>
          </cell>
          <cell r="CO12">
            <v>0.55999999721064531</v>
          </cell>
          <cell r="CP12">
            <v>0.44</v>
          </cell>
          <cell r="CQ12">
            <v>252388.12</v>
          </cell>
          <cell r="CR12">
            <v>0.44000000278935475</v>
          </cell>
          <cell r="CS12">
            <v>0</v>
          </cell>
          <cell r="CT12">
            <v>0</v>
          </cell>
          <cell r="CU12">
            <v>0</v>
          </cell>
          <cell r="CV12">
            <v>0.44</v>
          </cell>
          <cell r="CW12">
            <v>252388.12</v>
          </cell>
          <cell r="CX12">
            <v>0.44000000278935475</v>
          </cell>
          <cell r="CY12">
            <v>0.56000000000000005</v>
          </cell>
          <cell r="CZ12">
            <v>321221.24</v>
          </cell>
          <cell r="DA12">
            <v>0.55999999721064531</v>
          </cell>
          <cell r="DB12">
            <v>0.44</v>
          </cell>
          <cell r="DC12">
            <v>252388.12</v>
          </cell>
          <cell r="DD12">
            <v>0.44000000278935475</v>
          </cell>
          <cell r="DE12">
            <v>0</v>
          </cell>
          <cell r="DF12">
            <v>0</v>
          </cell>
          <cell r="DG12">
            <v>0</v>
          </cell>
          <cell r="DH12">
            <v>0.44</v>
          </cell>
          <cell r="DI12">
            <v>252388.12</v>
          </cell>
          <cell r="DJ12">
            <v>0.44000000278935475</v>
          </cell>
          <cell r="DK12">
            <v>0.56000000000000005</v>
          </cell>
          <cell r="DL12">
            <v>321221.24</v>
          </cell>
          <cell r="DM12">
            <v>0.55999999721064531</v>
          </cell>
          <cell r="DN12">
            <v>0.44</v>
          </cell>
          <cell r="DO12">
            <v>252388.12</v>
          </cell>
          <cell r="DP12">
            <v>0.44000000278935475</v>
          </cell>
          <cell r="DQ12">
            <v>0</v>
          </cell>
          <cell r="DR12">
            <v>0</v>
          </cell>
          <cell r="DS12">
            <v>0</v>
          </cell>
          <cell r="DT12">
            <v>0.44</v>
          </cell>
          <cell r="DU12">
            <v>252388.12</v>
          </cell>
          <cell r="DV12">
            <v>0.44000000278935475</v>
          </cell>
          <cell r="DW12">
            <v>0.56000000000000005</v>
          </cell>
          <cell r="DX12">
            <v>321221.24</v>
          </cell>
          <cell r="DY12">
            <v>0.55999999721064531</v>
          </cell>
          <cell r="DZ12">
            <v>0.44</v>
          </cell>
          <cell r="EA12">
            <v>252388.12</v>
          </cell>
          <cell r="EB12">
            <v>0.44000000278935475</v>
          </cell>
          <cell r="ED12">
            <v>0</v>
          </cell>
          <cell r="EE12">
            <v>0</v>
          </cell>
          <cell r="EF12">
            <v>0.44</v>
          </cell>
          <cell r="EG12">
            <v>252388.12</v>
          </cell>
          <cell r="EH12">
            <v>0.44000000278935475</v>
          </cell>
          <cell r="EI12">
            <v>0.56000000000000005</v>
          </cell>
          <cell r="EJ12">
            <v>321221.24</v>
          </cell>
          <cell r="EK12">
            <v>0.55999999721064531</v>
          </cell>
          <cell r="EL12">
            <v>0.44</v>
          </cell>
          <cell r="EM12">
            <v>252388.12</v>
          </cell>
          <cell r="EN12">
            <v>0.44000000278935475</v>
          </cell>
          <cell r="EP12">
            <v>0</v>
          </cell>
          <cell r="EQ12">
            <v>0</v>
          </cell>
          <cell r="ER12">
            <v>0.44</v>
          </cell>
          <cell r="ES12">
            <v>252388.12</v>
          </cell>
          <cell r="ET12">
            <v>0.44000000278935475</v>
          </cell>
          <cell r="EU12">
            <v>0.56000000000000005</v>
          </cell>
          <cell r="EV12">
            <v>321221.24</v>
          </cell>
          <cell r="EW12">
            <v>0.55999999721064531</v>
          </cell>
          <cell r="EX12">
            <v>0.44</v>
          </cell>
          <cell r="EY12">
            <v>252388.12</v>
          </cell>
          <cell r="EZ12">
            <v>0.44000000278935475</v>
          </cell>
          <cell r="FB12">
            <v>0</v>
          </cell>
          <cell r="FC12">
            <v>0</v>
          </cell>
          <cell r="FD12">
            <v>0.44</v>
          </cell>
          <cell r="FE12">
            <v>252388.12</v>
          </cell>
          <cell r="FF12">
            <v>0.44000000278935475</v>
          </cell>
          <cell r="FG12">
            <v>0.56000000000000005</v>
          </cell>
          <cell r="FH12">
            <v>321221.24</v>
          </cell>
          <cell r="FI12">
            <v>0.55999999721064531</v>
          </cell>
          <cell r="FJ12">
            <v>0.44</v>
          </cell>
          <cell r="FK12">
            <v>252388.12</v>
          </cell>
          <cell r="FL12">
            <v>0.44000000278935475</v>
          </cell>
          <cell r="FN12">
            <v>0</v>
          </cell>
          <cell r="FO12">
            <v>0</v>
          </cell>
          <cell r="FP12">
            <v>0.44</v>
          </cell>
          <cell r="FQ12">
            <v>252388.12</v>
          </cell>
          <cell r="FR12">
            <v>0.44000000278935475</v>
          </cell>
          <cell r="FS12">
            <v>0.56000000000000005</v>
          </cell>
          <cell r="FT12">
            <v>321221.24</v>
          </cell>
          <cell r="FU12">
            <v>0.55999999721064531</v>
          </cell>
          <cell r="FV12">
            <v>0.44</v>
          </cell>
          <cell r="FW12">
            <v>252388.12</v>
          </cell>
          <cell r="FX12">
            <v>0.44000000278935475</v>
          </cell>
          <cell r="FZ12">
            <v>0</v>
          </cell>
          <cell r="GA12">
            <v>0</v>
          </cell>
          <cell r="GB12">
            <v>0.44</v>
          </cell>
          <cell r="GC12">
            <v>252388.12</v>
          </cell>
          <cell r="GD12">
            <v>0.44000000278935475</v>
          </cell>
          <cell r="GE12">
            <v>0.56000000000000005</v>
          </cell>
          <cell r="GF12">
            <v>321221.24</v>
          </cell>
          <cell r="GG12">
            <v>0.55999999721064531</v>
          </cell>
        </row>
        <row r="13">
          <cell r="U13">
            <v>8</v>
          </cell>
          <cell r="V13">
            <v>0</v>
          </cell>
          <cell r="W13">
            <v>0</v>
          </cell>
          <cell r="X13">
            <v>0</v>
          </cell>
          <cell r="Y13">
            <v>12.8</v>
          </cell>
          <cell r="Z13">
            <v>7213.44</v>
          </cell>
          <cell r="AA13">
            <v>0.14103128580310392</v>
          </cell>
          <cell r="AB13">
            <v>12.8</v>
          </cell>
          <cell r="AC13">
            <v>7213.44</v>
          </cell>
          <cell r="AD13">
            <v>0.14103128580310392</v>
          </cell>
          <cell r="AE13">
            <v>77.960000000000008</v>
          </cell>
          <cell r="AF13">
            <v>43934.36</v>
          </cell>
          <cell r="AG13">
            <v>0.85896871419689602</v>
          </cell>
          <cell r="AH13">
            <v>12.8</v>
          </cell>
          <cell r="AI13">
            <v>7213.44</v>
          </cell>
          <cell r="AJ13">
            <v>0.14103128580310392</v>
          </cell>
          <cell r="AK13">
            <v>18.7</v>
          </cell>
          <cell r="AL13">
            <v>10538.390000000003</v>
          </cell>
          <cell r="AM13">
            <v>0.20603799185888744</v>
          </cell>
          <cell r="AN13">
            <v>31.5</v>
          </cell>
          <cell r="AO13">
            <v>17751.830000000002</v>
          </cell>
          <cell r="AP13">
            <v>0.34706927766199136</v>
          </cell>
          <cell r="AQ13">
            <v>59.260000000000005</v>
          </cell>
          <cell r="AR13">
            <v>33395.97</v>
          </cell>
          <cell r="AS13">
            <v>0.65293072233800864</v>
          </cell>
          <cell r="AT13">
            <v>31.5</v>
          </cell>
          <cell r="AU13">
            <v>17751.830000000002</v>
          </cell>
          <cell r="AV13">
            <v>0.34706927766199136</v>
          </cell>
          <cell r="AW13">
            <v>9.5</v>
          </cell>
          <cell r="AX13">
            <v>5353.7199999999975</v>
          </cell>
          <cell r="AY13">
            <v>0.10467155967607594</v>
          </cell>
          <cell r="AZ13">
            <v>41</v>
          </cell>
          <cell r="BA13">
            <v>23105.55</v>
          </cell>
          <cell r="BB13">
            <v>0.4517408373380673</v>
          </cell>
          <cell r="BC13">
            <v>49.760000000000005</v>
          </cell>
          <cell r="BD13">
            <v>28042.250000000004</v>
          </cell>
          <cell r="BE13">
            <v>0.54825916266193264</v>
          </cell>
          <cell r="BF13">
            <v>41</v>
          </cell>
          <cell r="BG13">
            <v>23105.55</v>
          </cell>
          <cell r="BH13">
            <v>0.4517408373380673</v>
          </cell>
          <cell r="BI13">
            <v>9</v>
          </cell>
          <cell r="BJ13">
            <v>5071.9500000000007</v>
          </cell>
          <cell r="BK13">
            <v>9.9162622830307467E-2</v>
          </cell>
          <cell r="BL13">
            <v>50</v>
          </cell>
          <cell r="BM13">
            <v>28177.5</v>
          </cell>
          <cell r="BN13">
            <v>0.55090346016837477</v>
          </cell>
          <cell r="BO13">
            <v>40.760000000000005</v>
          </cell>
          <cell r="BP13">
            <v>22970.300000000003</v>
          </cell>
          <cell r="BQ13">
            <v>0.44909653983162523</v>
          </cell>
          <cell r="BR13">
            <v>50</v>
          </cell>
          <cell r="BS13">
            <v>28177.5</v>
          </cell>
          <cell r="BT13">
            <v>0.55090346016837477</v>
          </cell>
          <cell r="BU13">
            <v>25</v>
          </cell>
          <cell r="BV13">
            <v>14088.75</v>
          </cell>
          <cell r="BW13">
            <v>0.27545173008418733</v>
          </cell>
          <cell r="BX13">
            <v>75</v>
          </cell>
          <cell r="BY13">
            <v>42266.25</v>
          </cell>
          <cell r="BZ13">
            <v>0.8263551902525621</v>
          </cell>
          <cell r="CA13">
            <v>15.760000000000005</v>
          </cell>
          <cell r="CB13">
            <v>8881.5500000000029</v>
          </cell>
          <cell r="CC13">
            <v>0.1736448097474379</v>
          </cell>
          <cell r="CD13">
            <v>75</v>
          </cell>
          <cell r="CE13">
            <v>42266.25</v>
          </cell>
          <cell r="CF13">
            <v>0.8263551902525621</v>
          </cell>
          <cell r="CG13">
            <v>0</v>
          </cell>
          <cell r="CH13">
            <v>0</v>
          </cell>
          <cell r="CI13">
            <v>0</v>
          </cell>
          <cell r="CJ13">
            <v>75</v>
          </cell>
          <cell r="CK13">
            <v>42266.25</v>
          </cell>
          <cell r="CL13">
            <v>0.8263551902525621</v>
          </cell>
          <cell r="CM13">
            <v>15.760000000000005</v>
          </cell>
          <cell r="CN13">
            <v>8881.5500000000029</v>
          </cell>
          <cell r="CO13">
            <v>0.1736448097474379</v>
          </cell>
          <cell r="CP13">
            <v>75</v>
          </cell>
          <cell r="CQ13">
            <v>42266.25</v>
          </cell>
          <cell r="CR13">
            <v>0.8263551902525621</v>
          </cell>
          <cell r="CS13">
            <v>0</v>
          </cell>
          <cell r="CT13">
            <v>0</v>
          </cell>
          <cell r="CU13">
            <v>0</v>
          </cell>
          <cell r="CV13">
            <v>75</v>
          </cell>
          <cell r="CW13">
            <v>42266.25</v>
          </cell>
          <cell r="CX13">
            <v>0.8263551902525621</v>
          </cell>
          <cell r="CY13">
            <v>15.760000000000005</v>
          </cell>
          <cell r="CZ13">
            <v>8881.5500000000029</v>
          </cell>
          <cell r="DA13">
            <v>0.1736448097474379</v>
          </cell>
          <cell r="DB13">
            <v>75</v>
          </cell>
          <cell r="DC13">
            <v>42266.25</v>
          </cell>
          <cell r="DD13">
            <v>0.8263551902525621</v>
          </cell>
          <cell r="DE13">
            <v>0</v>
          </cell>
          <cell r="DF13">
            <v>0</v>
          </cell>
          <cell r="DG13">
            <v>0</v>
          </cell>
          <cell r="DH13">
            <v>75</v>
          </cell>
          <cell r="DI13">
            <v>42266.25</v>
          </cell>
          <cell r="DJ13">
            <v>0.8263551902525621</v>
          </cell>
          <cell r="DK13">
            <v>15.760000000000005</v>
          </cell>
          <cell r="DL13">
            <v>8881.5500000000029</v>
          </cell>
          <cell r="DM13">
            <v>0.1736448097474379</v>
          </cell>
          <cell r="DN13">
            <v>75</v>
          </cell>
          <cell r="DO13">
            <v>42266.25</v>
          </cell>
          <cell r="DP13">
            <v>0.8263551902525621</v>
          </cell>
          <cell r="DQ13">
            <v>0</v>
          </cell>
          <cell r="DR13">
            <v>0</v>
          </cell>
          <cell r="DS13">
            <v>0</v>
          </cell>
          <cell r="DT13">
            <v>75</v>
          </cell>
          <cell r="DU13">
            <v>42266.25</v>
          </cell>
          <cell r="DV13">
            <v>0.8263551902525621</v>
          </cell>
          <cell r="DW13">
            <v>15.760000000000005</v>
          </cell>
          <cell r="DX13">
            <v>8881.5500000000029</v>
          </cell>
          <cell r="DY13">
            <v>0.1736448097474379</v>
          </cell>
          <cell r="DZ13">
            <v>75</v>
          </cell>
          <cell r="EA13">
            <v>42266.25</v>
          </cell>
          <cell r="EB13">
            <v>0.8263551902525621</v>
          </cell>
          <cell r="ED13">
            <v>0</v>
          </cell>
          <cell r="EE13">
            <v>0</v>
          </cell>
          <cell r="EF13">
            <v>75</v>
          </cell>
          <cell r="EG13">
            <v>42266.25</v>
          </cell>
          <cell r="EH13">
            <v>0.8263551902525621</v>
          </cell>
          <cell r="EI13">
            <v>15.760000000000005</v>
          </cell>
          <cell r="EJ13">
            <v>8881.5500000000029</v>
          </cell>
          <cell r="EK13">
            <v>0.1736448097474379</v>
          </cell>
          <cell r="EL13">
            <v>75</v>
          </cell>
          <cell r="EM13">
            <v>42266.25</v>
          </cell>
          <cell r="EN13">
            <v>0.8263551902525621</v>
          </cell>
          <cell r="EP13">
            <v>0</v>
          </cell>
          <cell r="EQ13">
            <v>0</v>
          </cell>
          <cell r="ER13">
            <v>75</v>
          </cell>
          <cell r="ES13">
            <v>42266.25</v>
          </cell>
          <cell r="ET13">
            <v>0.8263551902525621</v>
          </cell>
          <cell r="EU13">
            <v>15.760000000000005</v>
          </cell>
          <cell r="EV13">
            <v>8881.5500000000029</v>
          </cell>
          <cell r="EW13">
            <v>0.1736448097474379</v>
          </cell>
          <cell r="EX13">
            <v>75</v>
          </cell>
          <cell r="EY13">
            <v>42266.25</v>
          </cell>
          <cell r="EZ13">
            <v>0.8263551902525621</v>
          </cell>
          <cell r="FB13">
            <v>0</v>
          </cell>
          <cell r="FC13">
            <v>0</v>
          </cell>
          <cell r="FD13">
            <v>75</v>
          </cell>
          <cell r="FE13">
            <v>42266.25</v>
          </cell>
          <cell r="FF13">
            <v>0.8263551902525621</v>
          </cell>
          <cell r="FG13">
            <v>15.760000000000005</v>
          </cell>
          <cell r="FH13">
            <v>8881.5500000000029</v>
          </cell>
          <cell r="FI13">
            <v>0.1736448097474379</v>
          </cell>
          <cell r="FJ13">
            <v>75</v>
          </cell>
          <cell r="FK13">
            <v>42266.25</v>
          </cell>
          <cell r="FL13">
            <v>0.8263551902525621</v>
          </cell>
          <cell r="FN13">
            <v>0</v>
          </cell>
          <cell r="FO13">
            <v>0</v>
          </cell>
          <cell r="FP13">
            <v>75</v>
          </cell>
          <cell r="FQ13">
            <v>42266.25</v>
          </cell>
          <cell r="FR13">
            <v>0.8263551902525621</v>
          </cell>
          <cell r="FS13">
            <v>15.760000000000005</v>
          </cell>
          <cell r="FT13">
            <v>8881.5500000000029</v>
          </cell>
          <cell r="FU13">
            <v>0.1736448097474379</v>
          </cell>
          <cell r="FV13">
            <v>75</v>
          </cell>
          <cell r="FW13">
            <v>42266.25</v>
          </cell>
          <cell r="FX13">
            <v>0.8263551902525621</v>
          </cell>
          <cell r="FZ13">
            <v>0</v>
          </cell>
          <cell r="GA13">
            <v>0</v>
          </cell>
          <cell r="GB13">
            <v>75</v>
          </cell>
          <cell r="GC13">
            <v>42266.25</v>
          </cell>
          <cell r="GD13">
            <v>0.8263551902525621</v>
          </cell>
          <cell r="GE13">
            <v>15.760000000000005</v>
          </cell>
          <cell r="GF13">
            <v>8881.5500000000029</v>
          </cell>
          <cell r="GG13">
            <v>0.1736448097474379</v>
          </cell>
        </row>
        <row r="14">
          <cell r="U14">
            <v>9</v>
          </cell>
          <cell r="V14">
            <v>0</v>
          </cell>
          <cell r="W14">
            <v>0</v>
          </cell>
          <cell r="X14">
            <v>0</v>
          </cell>
          <cell r="Y14">
            <v>1.60012E-3</v>
          </cell>
          <cell r="Z14">
            <v>1338.52</v>
          </cell>
          <cell r="AA14">
            <v>1.6001171528860106E-3</v>
          </cell>
          <cell r="AB14">
            <v>1.60012E-3</v>
          </cell>
          <cell r="AC14">
            <v>1338.52</v>
          </cell>
          <cell r="AD14">
            <v>1.6001171528860106E-3</v>
          </cell>
          <cell r="AE14">
            <v>0.99839988000000002</v>
          </cell>
          <cell r="AF14">
            <v>835175.23</v>
          </cell>
          <cell r="AG14">
            <v>0.99839988284711401</v>
          </cell>
          <cell r="AH14">
            <v>1.60012E-3</v>
          </cell>
          <cell r="AI14">
            <v>1338.52</v>
          </cell>
          <cell r="AJ14">
            <v>1.6001171528860106E-3</v>
          </cell>
          <cell r="AK14">
            <v>0.21906999999999999</v>
          </cell>
          <cell r="AL14">
            <v>183255.07</v>
          </cell>
          <cell r="AM14">
            <v>0.21907000333228233</v>
          </cell>
          <cell r="AN14">
            <v>0.22067012</v>
          </cell>
          <cell r="AO14">
            <v>184593.59</v>
          </cell>
          <cell r="AP14">
            <v>0.22067012048516835</v>
          </cell>
          <cell r="AQ14">
            <v>0.77932988000000003</v>
          </cell>
          <cell r="AR14">
            <v>651920.16</v>
          </cell>
          <cell r="AS14">
            <v>0.77932987951483168</v>
          </cell>
          <cell r="AT14">
            <v>0.22067012</v>
          </cell>
          <cell r="AU14">
            <v>184593.59</v>
          </cell>
          <cell r="AV14">
            <v>0.22067012048516835</v>
          </cell>
          <cell r="AW14">
            <v>0.47932987999999999</v>
          </cell>
          <cell r="AX14">
            <v>400966.04000000004</v>
          </cell>
          <cell r="AY14">
            <v>0.47932988549201971</v>
          </cell>
          <cell r="AZ14">
            <v>0.7</v>
          </cell>
          <cell r="BA14">
            <v>585559.63</v>
          </cell>
          <cell r="BB14">
            <v>0.70000000597718803</v>
          </cell>
          <cell r="BC14">
            <v>0.30000000000000004</v>
          </cell>
          <cell r="BD14">
            <v>250954.12</v>
          </cell>
          <cell r="BE14">
            <v>0.29999999402281197</v>
          </cell>
          <cell r="BF14">
            <v>0.7</v>
          </cell>
          <cell r="BG14">
            <v>585559.63</v>
          </cell>
          <cell r="BH14">
            <v>0.70000000597718803</v>
          </cell>
          <cell r="BI14">
            <v>0.3</v>
          </cell>
          <cell r="BJ14">
            <v>250954.12</v>
          </cell>
          <cell r="BK14">
            <v>0.29999999402281197</v>
          </cell>
          <cell r="BL14">
            <v>1</v>
          </cell>
          <cell r="BM14">
            <v>836513.75</v>
          </cell>
          <cell r="BN14">
            <v>1</v>
          </cell>
          <cell r="BO14">
            <v>0</v>
          </cell>
          <cell r="BP14">
            <v>0</v>
          </cell>
          <cell r="BQ14">
            <v>0</v>
          </cell>
          <cell r="BR14">
            <v>1</v>
          </cell>
          <cell r="BS14">
            <v>836513.75</v>
          </cell>
          <cell r="BT14">
            <v>1</v>
          </cell>
          <cell r="BU14">
            <v>-1</v>
          </cell>
          <cell r="BV14">
            <v>-836513.75</v>
          </cell>
          <cell r="BW14">
            <v>-1</v>
          </cell>
          <cell r="BX14">
            <v>0</v>
          </cell>
          <cell r="BY14">
            <v>0</v>
          </cell>
          <cell r="BZ14">
            <v>0</v>
          </cell>
          <cell r="CA14">
            <v>1</v>
          </cell>
          <cell r="CB14">
            <v>836513.75</v>
          </cell>
          <cell r="CC14">
            <v>1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1</v>
          </cell>
          <cell r="CN14">
            <v>836513.75</v>
          </cell>
          <cell r="CO14">
            <v>1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1</v>
          </cell>
          <cell r="CZ14">
            <v>836513.75</v>
          </cell>
          <cell r="DA14">
            <v>1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1</v>
          </cell>
          <cell r="DL14">
            <v>836513.75</v>
          </cell>
          <cell r="DM14">
            <v>1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1</v>
          </cell>
          <cell r="DX14">
            <v>836513.75</v>
          </cell>
          <cell r="DY14">
            <v>1</v>
          </cell>
          <cell r="DZ14">
            <v>0</v>
          </cell>
          <cell r="EA14">
            <v>0</v>
          </cell>
          <cell r="EB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1</v>
          </cell>
          <cell r="EJ14">
            <v>836513.75</v>
          </cell>
          <cell r="EK14">
            <v>1</v>
          </cell>
          <cell r="EL14">
            <v>0</v>
          </cell>
          <cell r="EM14">
            <v>0</v>
          </cell>
          <cell r="EN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1</v>
          </cell>
          <cell r="EV14">
            <v>836513.75</v>
          </cell>
          <cell r="EW14">
            <v>1</v>
          </cell>
          <cell r="EX14">
            <v>0</v>
          </cell>
          <cell r="EY14">
            <v>0</v>
          </cell>
          <cell r="EZ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1</v>
          </cell>
          <cell r="FH14">
            <v>836513.75</v>
          </cell>
          <cell r="FI14">
            <v>1</v>
          </cell>
          <cell r="FJ14">
            <v>0</v>
          </cell>
          <cell r="FK14">
            <v>0</v>
          </cell>
          <cell r="FL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1</v>
          </cell>
          <cell r="FT14">
            <v>836513.75</v>
          </cell>
          <cell r="FU14">
            <v>1</v>
          </cell>
          <cell r="FV14">
            <v>0</v>
          </cell>
          <cell r="FW14">
            <v>0</v>
          </cell>
          <cell r="FX14">
            <v>0</v>
          </cell>
          <cell r="FZ14">
            <v>0</v>
          </cell>
          <cell r="GA14">
            <v>0</v>
          </cell>
          <cell r="GB14">
            <v>0</v>
          </cell>
          <cell r="GC14">
            <v>0</v>
          </cell>
          <cell r="GD14">
            <v>0</v>
          </cell>
          <cell r="GE14">
            <v>1</v>
          </cell>
          <cell r="GF14">
            <v>836513.75</v>
          </cell>
          <cell r="GG14">
            <v>1</v>
          </cell>
        </row>
        <row r="15">
          <cell r="U15">
            <v>10</v>
          </cell>
          <cell r="W15">
            <v>0</v>
          </cell>
          <cell r="X15">
            <v>0</v>
          </cell>
          <cell r="Z15">
            <v>0</v>
          </cell>
          <cell r="AA15">
            <v>0</v>
          </cell>
          <cell r="AC15">
            <v>0</v>
          </cell>
          <cell r="AD15">
            <v>0</v>
          </cell>
          <cell r="AF15">
            <v>582730.88</v>
          </cell>
          <cell r="AG15">
            <v>1</v>
          </cell>
          <cell r="AI15">
            <v>0</v>
          </cell>
          <cell r="AJ15">
            <v>0</v>
          </cell>
          <cell r="AL15">
            <v>12521.150000000001</v>
          </cell>
          <cell r="AM15">
            <v>2.1487019874422995E-2</v>
          </cell>
          <cell r="AO15">
            <v>12521.150000000001</v>
          </cell>
          <cell r="AP15">
            <v>2.1487019874422995E-2</v>
          </cell>
          <cell r="AR15">
            <v>570209.73</v>
          </cell>
          <cell r="AS15">
            <v>0.97851298012557697</v>
          </cell>
          <cell r="AU15">
            <v>12521.150000000001</v>
          </cell>
          <cell r="AV15">
            <v>2.1487019874422995E-2</v>
          </cell>
          <cell r="AX15">
            <v>65459.970000000008</v>
          </cell>
          <cell r="AY15">
            <v>0.11233310649334391</v>
          </cell>
          <cell r="BA15">
            <v>77981.12000000001</v>
          </cell>
          <cell r="BB15">
            <v>0.13382012636776691</v>
          </cell>
          <cell r="BD15">
            <v>504749.76</v>
          </cell>
          <cell r="BE15">
            <v>0.86617987363223303</v>
          </cell>
          <cell r="BG15">
            <v>77981.12000000001</v>
          </cell>
          <cell r="BH15">
            <v>0.13382012636776691</v>
          </cell>
          <cell r="BJ15">
            <v>95048.429999999978</v>
          </cell>
          <cell r="BK15">
            <v>0.16310862056941272</v>
          </cell>
          <cell r="BM15">
            <v>173029.55</v>
          </cell>
          <cell r="BN15">
            <v>0.29692874693717963</v>
          </cell>
          <cell r="BP15">
            <v>409701.33</v>
          </cell>
          <cell r="BQ15">
            <v>0.70307125306282037</v>
          </cell>
          <cell r="BS15">
            <v>173029.55</v>
          </cell>
          <cell r="BT15">
            <v>0.29692874693717963</v>
          </cell>
          <cell r="BV15">
            <v>46949.650000000023</v>
          </cell>
          <cell r="BW15">
            <v>8.0568323408569009E-2</v>
          </cell>
          <cell r="BY15">
            <v>219979.2</v>
          </cell>
          <cell r="BZ15">
            <v>0.37749707034574864</v>
          </cell>
          <cell r="CB15">
            <v>362751.68</v>
          </cell>
          <cell r="CC15">
            <v>0.62250292965425136</v>
          </cell>
          <cell r="CE15">
            <v>219979.2</v>
          </cell>
          <cell r="CF15">
            <v>0.37749707034574864</v>
          </cell>
          <cell r="CH15">
            <v>0</v>
          </cell>
          <cell r="CI15">
            <v>0</v>
          </cell>
          <cell r="CK15">
            <v>219979.2</v>
          </cell>
          <cell r="CL15">
            <v>0.37749707034574864</v>
          </cell>
          <cell r="CN15">
            <v>362751.68</v>
          </cell>
          <cell r="CO15">
            <v>0.62250292965425136</v>
          </cell>
          <cell r="CQ15">
            <v>219979.2</v>
          </cell>
          <cell r="CR15">
            <v>0.37749707034574864</v>
          </cell>
          <cell r="CT15">
            <v>0</v>
          </cell>
          <cell r="CU15">
            <v>0</v>
          </cell>
          <cell r="CW15">
            <v>219979.2</v>
          </cell>
          <cell r="CX15">
            <v>0.37749707034574864</v>
          </cell>
          <cell r="CZ15">
            <v>362751.68</v>
          </cell>
          <cell r="DA15">
            <v>0.62250292965425136</v>
          </cell>
          <cell r="DC15">
            <v>219979.2</v>
          </cell>
          <cell r="DD15">
            <v>0.37749707034574864</v>
          </cell>
          <cell r="DF15">
            <v>0</v>
          </cell>
          <cell r="DG15">
            <v>0</v>
          </cell>
          <cell r="DI15">
            <v>219979.2</v>
          </cell>
          <cell r="DJ15">
            <v>0.37749707034574864</v>
          </cell>
          <cell r="DL15">
            <v>362751.68</v>
          </cell>
          <cell r="DM15">
            <v>0.62250292965425136</v>
          </cell>
          <cell r="DO15">
            <v>219979.2</v>
          </cell>
          <cell r="DP15">
            <v>0.37749707034574864</v>
          </cell>
          <cell r="DR15">
            <v>0</v>
          </cell>
          <cell r="DS15">
            <v>0</v>
          </cell>
          <cell r="DU15">
            <v>219979.2</v>
          </cell>
          <cell r="DV15">
            <v>0.37749707034574864</v>
          </cell>
          <cell r="DX15">
            <v>362751.68</v>
          </cell>
          <cell r="DY15">
            <v>0.62250292965425136</v>
          </cell>
          <cell r="EA15">
            <v>219979.2</v>
          </cell>
          <cell r="EB15">
            <v>0.37749707034574864</v>
          </cell>
          <cell r="ED15">
            <v>0</v>
          </cell>
          <cell r="EE15">
            <v>0</v>
          </cell>
          <cell r="EG15">
            <v>219979.2</v>
          </cell>
          <cell r="EH15">
            <v>0.37749707034574864</v>
          </cell>
          <cell r="EJ15">
            <v>362751.68</v>
          </cell>
          <cell r="EK15">
            <v>0.62250292965425136</v>
          </cell>
          <cell r="EM15">
            <v>219979.2</v>
          </cell>
          <cell r="EN15">
            <v>0.37749707034574864</v>
          </cell>
          <cell r="EP15">
            <v>0</v>
          </cell>
          <cell r="EQ15">
            <v>0</v>
          </cell>
          <cell r="ES15">
            <v>219979.2</v>
          </cell>
          <cell r="ET15">
            <v>0.37749707034574864</v>
          </cell>
          <cell r="EV15">
            <v>362751.68</v>
          </cell>
          <cell r="EW15">
            <v>0.62250292965425136</v>
          </cell>
          <cell r="EY15">
            <v>219979.2</v>
          </cell>
          <cell r="EZ15">
            <v>0.37749707034574864</v>
          </cell>
          <cell r="FB15">
            <v>0</v>
          </cell>
          <cell r="FC15">
            <v>0</v>
          </cell>
          <cell r="FE15">
            <v>219979.2</v>
          </cell>
          <cell r="FF15">
            <v>0.37749707034574864</v>
          </cell>
          <cell r="FH15">
            <v>362751.68</v>
          </cell>
          <cell r="FI15">
            <v>0.62250292965425136</v>
          </cell>
          <cell r="FK15">
            <v>219979.2</v>
          </cell>
          <cell r="FL15">
            <v>0.37749707034574864</v>
          </cell>
          <cell r="FN15">
            <v>0</v>
          </cell>
          <cell r="FO15">
            <v>0</v>
          </cell>
          <cell r="FQ15">
            <v>219979.2</v>
          </cell>
          <cell r="FR15">
            <v>0.37749707034574864</v>
          </cell>
          <cell r="FT15">
            <v>362751.68</v>
          </cell>
          <cell r="FU15">
            <v>0.62250292965425136</v>
          </cell>
          <cell r="FW15">
            <v>219979.2</v>
          </cell>
          <cell r="FX15">
            <v>0.37749707034574864</v>
          </cell>
          <cell r="FZ15">
            <v>0</v>
          </cell>
          <cell r="GA15">
            <v>0</v>
          </cell>
          <cell r="GC15">
            <v>219979.2</v>
          </cell>
          <cell r="GD15">
            <v>0.37749707034574864</v>
          </cell>
          <cell r="GF15">
            <v>362751.68</v>
          </cell>
          <cell r="GG15">
            <v>0.62250292965425136</v>
          </cell>
        </row>
        <row r="16">
          <cell r="U16">
            <v>11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19383.39</v>
          </cell>
          <cell r="AF16">
            <v>223102.82</v>
          </cell>
          <cell r="AG16">
            <v>1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19383.39</v>
          </cell>
          <cell r="AR16">
            <v>223102.82</v>
          </cell>
          <cell r="AS16">
            <v>1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19383.39</v>
          </cell>
          <cell r="BD16">
            <v>223102.82</v>
          </cell>
          <cell r="BE16">
            <v>1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19383.39</v>
          </cell>
          <cell r="BP16">
            <v>223102.82</v>
          </cell>
          <cell r="BQ16">
            <v>1</v>
          </cell>
          <cell r="BR16">
            <v>0</v>
          </cell>
          <cell r="BS16">
            <v>0</v>
          </cell>
          <cell r="BT16">
            <v>0</v>
          </cell>
          <cell r="BU16">
            <v>2839.37</v>
          </cell>
          <cell r="BV16">
            <v>32681.15</v>
          </cell>
          <cell r="BW16">
            <v>0.14648470153806215</v>
          </cell>
          <cell r="BX16">
            <v>2839.37</v>
          </cell>
          <cell r="BY16">
            <v>32681.15</v>
          </cell>
          <cell r="BZ16">
            <v>0.14648470153806215</v>
          </cell>
          <cell r="CA16">
            <v>16544.02</v>
          </cell>
          <cell r="CB16">
            <v>190421.67</v>
          </cell>
          <cell r="CC16">
            <v>0.85351529846193785</v>
          </cell>
          <cell r="CD16">
            <v>2839.37</v>
          </cell>
          <cell r="CE16">
            <v>32681.15</v>
          </cell>
          <cell r="CF16">
            <v>0.14648470153806215</v>
          </cell>
          <cell r="CG16">
            <v>0</v>
          </cell>
          <cell r="CH16">
            <v>0</v>
          </cell>
          <cell r="CI16">
            <v>0</v>
          </cell>
          <cell r="CJ16">
            <v>2839.37</v>
          </cell>
          <cell r="CK16">
            <v>32681.15</v>
          </cell>
          <cell r="CL16">
            <v>0.14648470153806215</v>
          </cell>
          <cell r="CM16">
            <v>16544.02</v>
          </cell>
          <cell r="CN16">
            <v>190421.67</v>
          </cell>
          <cell r="CO16">
            <v>0.85351529846193785</v>
          </cell>
          <cell r="CP16">
            <v>2839.37</v>
          </cell>
          <cell r="CQ16">
            <v>32681.15</v>
          </cell>
          <cell r="CR16">
            <v>0.14648470153806215</v>
          </cell>
          <cell r="CS16">
            <v>0</v>
          </cell>
          <cell r="CT16">
            <v>0</v>
          </cell>
          <cell r="CU16">
            <v>0</v>
          </cell>
          <cell r="CV16">
            <v>2839.37</v>
          </cell>
          <cell r="CW16">
            <v>32681.15</v>
          </cell>
          <cell r="CX16">
            <v>0.14648470153806215</v>
          </cell>
          <cell r="CY16">
            <v>16544.02</v>
          </cell>
          <cell r="CZ16">
            <v>190421.67</v>
          </cell>
          <cell r="DA16">
            <v>0.85351529846193785</v>
          </cell>
          <cell r="DB16">
            <v>2839.37</v>
          </cell>
          <cell r="DC16">
            <v>32681.15</v>
          </cell>
          <cell r="DD16">
            <v>0.14648470153806215</v>
          </cell>
          <cell r="DE16">
            <v>0</v>
          </cell>
          <cell r="DF16">
            <v>0</v>
          </cell>
          <cell r="DG16">
            <v>0</v>
          </cell>
          <cell r="DH16">
            <v>2839.37</v>
          </cell>
          <cell r="DI16">
            <v>32681.15</v>
          </cell>
          <cell r="DJ16">
            <v>0.14648470153806215</v>
          </cell>
          <cell r="DK16">
            <v>16544.02</v>
          </cell>
          <cell r="DL16">
            <v>190421.67</v>
          </cell>
          <cell r="DM16">
            <v>0.85351529846193785</v>
          </cell>
          <cell r="DN16">
            <v>2839.37</v>
          </cell>
          <cell r="DO16">
            <v>32681.15</v>
          </cell>
          <cell r="DP16">
            <v>0.14648470153806215</v>
          </cell>
          <cell r="DQ16">
            <v>0</v>
          </cell>
          <cell r="DR16">
            <v>0</v>
          </cell>
          <cell r="DS16">
            <v>0</v>
          </cell>
          <cell r="DT16">
            <v>2839.37</v>
          </cell>
          <cell r="DU16">
            <v>32681.15</v>
          </cell>
          <cell r="DV16">
            <v>0.14648470153806215</v>
          </cell>
          <cell r="DW16">
            <v>16544.02</v>
          </cell>
          <cell r="DX16">
            <v>190421.67</v>
          </cell>
          <cell r="DY16">
            <v>0.85351529846193785</v>
          </cell>
          <cell r="DZ16">
            <v>2839.37</v>
          </cell>
          <cell r="EA16">
            <v>32681.15</v>
          </cell>
          <cell r="EB16">
            <v>0.14648470153806215</v>
          </cell>
          <cell r="ED16">
            <v>0</v>
          </cell>
          <cell r="EE16">
            <v>0</v>
          </cell>
          <cell r="EF16">
            <v>2839.37</v>
          </cell>
          <cell r="EG16">
            <v>32681.15</v>
          </cell>
          <cell r="EH16">
            <v>0.14648470153806215</v>
          </cell>
          <cell r="EI16">
            <v>16544.02</v>
          </cell>
          <cell r="EJ16">
            <v>190421.67</v>
          </cell>
          <cell r="EK16">
            <v>0.85351529846193785</v>
          </cell>
          <cell r="EL16">
            <v>2839.37</v>
          </cell>
          <cell r="EM16">
            <v>32681.15</v>
          </cell>
          <cell r="EN16">
            <v>0.14648470153806215</v>
          </cell>
          <cell r="EP16">
            <v>0</v>
          </cell>
          <cell r="EQ16">
            <v>0</v>
          </cell>
          <cell r="ER16">
            <v>2839.37</v>
          </cell>
          <cell r="ES16">
            <v>32681.15</v>
          </cell>
          <cell r="ET16">
            <v>0.14648470153806215</v>
          </cell>
          <cell r="EU16">
            <v>16544.02</v>
          </cell>
          <cell r="EV16">
            <v>190421.67</v>
          </cell>
          <cell r="EW16">
            <v>0.85351529846193785</v>
          </cell>
          <cell r="EX16">
            <v>2839.37</v>
          </cell>
          <cell r="EY16">
            <v>32681.15</v>
          </cell>
          <cell r="EZ16">
            <v>0.14648470153806215</v>
          </cell>
          <cell r="FB16">
            <v>0</v>
          </cell>
          <cell r="FC16">
            <v>0</v>
          </cell>
          <cell r="FD16">
            <v>2839.37</v>
          </cell>
          <cell r="FE16">
            <v>32681.15</v>
          </cell>
          <cell r="FF16">
            <v>0.14648470153806215</v>
          </cell>
          <cell r="FG16">
            <v>16544.02</v>
          </cell>
          <cell r="FH16">
            <v>190421.67</v>
          </cell>
          <cell r="FI16">
            <v>0.85351529846193785</v>
          </cell>
          <cell r="FJ16">
            <v>2839.37</v>
          </cell>
          <cell r="FK16">
            <v>32681.15</v>
          </cell>
          <cell r="FL16">
            <v>0.14648470153806215</v>
          </cell>
          <cell r="FN16">
            <v>0</v>
          </cell>
          <cell r="FO16">
            <v>0</v>
          </cell>
          <cell r="FP16">
            <v>2839.37</v>
          </cell>
          <cell r="FQ16">
            <v>32681.15</v>
          </cell>
          <cell r="FR16">
            <v>0.14648470153806215</v>
          </cell>
          <cell r="FS16">
            <v>16544.02</v>
          </cell>
          <cell r="FT16">
            <v>190421.67</v>
          </cell>
          <cell r="FU16">
            <v>0.85351529846193785</v>
          </cell>
          <cell r="FV16">
            <v>2839.37</v>
          </cell>
          <cell r="FW16">
            <v>32681.15</v>
          </cell>
          <cell r="FX16">
            <v>0.14648470153806215</v>
          </cell>
          <cell r="FZ16">
            <v>0</v>
          </cell>
          <cell r="GA16">
            <v>0</v>
          </cell>
          <cell r="GB16">
            <v>2839.37</v>
          </cell>
          <cell r="GC16">
            <v>32681.15</v>
          </cell>
          <cell r="GD16">
            <v>0.14648470153806215</v>
          </cell>
          <cell r="GE16">
            <v>16544.02</v>
          </cell>
          <cell r="GF16">
            <v>190421.67</v>
          </cell>
          <cell r="GG16">
            <v>0.85351529846193785</v>
          </cell>
        </row>
        <row r="17">
          <cell r="U17">
            <v>12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2084.25</v>
          </cell>
          <cell r="AF17">
            <v>12797.3</v>
          </cell>
          <cell r="AG17">
            <v>1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2084.25</v>
          </cell>
          <cell r="AR17">
            <v>12797.3</v>
          </cell>
          <cell r="AS17">
            <v>1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2084.25</v>
          </cell>
          <cell r="BD17">
            <v>12797.3</v>
          </cell>
          <cell r="BE17">
            <v>1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2084.25</v>
          </cell>
          <cell r="BP17">
            <v>12797.3</v>
          </cell>
          <cell r="BQ17">
            <v>1</v>
          </cell>
          <cell r="BR17">
            <v>0</v>
          </cell>
          <cell r="BS17">
            <v>0</v>
          </cell>
          <cell r="BT17">
            <v>0</v>
          </cell>
          <cell r="BU17">
            <v>456.7</v>
          </cell>
          <cell r="BV17">
            <v>2804.14</v>
          </cell>
          <cell r="BW17">
            <v>0.21911965805287054</v>
          </cell>
          <cell r="BX17">
            <v>456.7</v>
          </cell>
          <cell r="BY17">
            <v>2804.14</v>
          </cell>
          <cell r="BZ17">
            <v>0.21911965805287054</v>
          </cell>
          <cell r="CA17">
            <v>1627.55</v>
          </cell>
          <cell r="CB17">
            <v>9993.16</v>
          </cell>
          <cell r="CC17">
            <v>0.78088034194712952</v>
          </cell>
          <cell r="CD17">
            <v>456.7</v>
          </cell>
          <cell r="CE17">
            <v>2804.14</v>
          </cell>
          <cell r="CF17">
            <v>0.21911965805287054</v>
          </cell>
          <cell r="CG17">
            <v>0</v>
          </cell>
          <cell r="CH17">
            <v>0</v>
          </cell>
          <cell r="CI17">
            <v>0</v>
          </cell>
          <cell r="CJ17">
            <v>456.7</v>
          </cell>
          <cell r="CK17">
            <v>2804.14</v>
          </cell>
          <cell r="CL17">
            <v>0.21911965805287054</v>
          </cell>
          <cell r="CM17">
            <v>1627.55</v>
          </cell>
          <cell r="CN17">
            <v>9993.16</v>
          </cell>
          <cell r="CO17">
            <v>0.78088034194712952</v>
          </cell>
          <cell r="CP17">
            <v>456.7</v>
          </cell>
          <cell r="CQ17">
            <v>2804.14</v>
          </cell>
          <cell r="CR17">
            <v>0.21911965805287054</v>
          </cell>
          <cell r="CS17">
            <v>0</v>
          </cell>
          <cell r="CT17">
            <v>0</v>
          </cell>
          <cell r="CU17">
            <v>0</v>
          </cell>
          <cell r="CV17">
            <v>456.7</v>
          </cell>
          <cell r="CW17">
            <v>2804.14</v>
          </cell>
          <cell r="CX17">
            <v>0.21911965805287054</v>
          </cell>
          <cell r="CY17">
            <v>1627.55</v>
          </cell>
          <cell r="CZ17">
            <v>9993.16</v>
          </cell>
          <cell r="DA17">
            <v>0.78088034194712952</v>
          </cell>
          <cell r="DB17">
            <v>456.7</v>
          </cell>
          <cell r="DC17">
            <v>2804.14</v>
          </cell>
          <cell r="DD17">
            <v>0.21911965805287054</v>
          </cell>
          <cell r="DE17">
            <v>0</v>
          </cell>
          <cell r="DF17">
            <v>0</v>
          </cell>
          <cell r="DG17">
            <v>0</v>
          </cell>
          <cell r="DH17">
            <v>456.7</v>
          </cell>
          <cell r="DI17">
            <v>2804.14</v>
          </cell>
          <cell r="DJ17">
            <v>0.21911965805287054</v>
          </cell>
          <cell r="DK17">
            <v>1627.55</v>
          </cell>
          <cell r="DL17">
            <v>9993.16</v>
          </cell>
          <cell r="DM17">
            <v>0.78088034194712952</v>
          </cell>
          <cell r="DN17">
            <v>456.7</v>
          </cell>
          <cell r="DO17">
            <v>2804.14</v>
          </cell>
          <cell r="DP17">
            <v>0.21911965805287054</v>
          </cell>
          <cell r="DQ17">
            <v>0</v>
          </cell>
          <cell r="DR17">
            <v>0</v>
          </cell>
          <cell r="DS17">
            <v>0</v>
          </cell>
          <cell r="DT17">
            <v>456.7</v>
          </cell>
          <cell r="DU17">
            <v>2804.14</v>
          </cell>
          <cell r="DV17">
            <v>0.21911965805287054</v>
          </cell>
          <cell r="DW17">
            <v>1627.55</v>
          </cell>
          <cell r="DX17">
            <v>9993.16</v>
          </cell>
          <cell r="DY17">
            <v>0.78088034194712952</v>
          </cell>
          <cell r="DZ17">
            <v>456.7</v>
          </cell>
          <cell r="EA17">
            <v>2804.14</v>
          </cell>
          <cell r="EB17">
            <v>0.21911965805287054</v>
          </cell>
          <cell r="ED17">
            <v>0</v>
          </cell>
          <cell r="EE17">
            <v>0</v>
          </cell>
          <cell r="EF17">
            <v>456.7</v>
          </cell>
          <cell r="EG17">
            <v>2804.14</v>
          </cell>
          <cell r="EH17">
            <v>0.21911965805287054</v>
          </cell>
          <cell r="EI17">
            <v>1627.55</v>
          </cell>
          <cell r="EJ17">
            <v>9993.16</v>
          </cell>
          <cell r="EK17">
            <v>0.78088034194712952</v>
          </cell>
          <cell r="EL17">
            <v>456.7</v>
          </cell>
          <cell r="EM17">
            <v>2804.14</v>
          </cell>
          <cell r="EN17">
            <v>0.21911965805287054</v>
          </cell>
          <cell r="EP17">
            <v>0</v>
          </cell>
          <cell r="EQ17">
            <v>0</v>
          </cell>
          <cell r="ER17">
            <v>456.7</v>
          </cell>
          <cell r="ES17">
            <v>2804.14</v>
          </cell>
          <cell r="ET17">
            <v>0.21911965805287054</v>
          </cell>
          <cell r="EU17">
            <v>1627.55</v>
          </cell>
          <cell r="EV17">
            <v>9993.16</v>
          </cell>
          <cell r="EW17">
            <v>0.78088034194712952</v>
          </cell>
          <cell r="EX17">
            <v>456.7</v>
          </cell>
          <cell r="EY17">
            <v>2804.14</v>
          </cell>
          <cell r="EZ17">
            <v>0.21911965805287054</v>
          </cell>
          <cell r="FB17">
            <v>0</v>
          </cell>
          <cell r="FC17">
            <v>0</v>
          </cell>
          <cell r="FD17">
            <v>456.7</v>
          </cell>
          <cell r="FE17">
            <v>2804.14</v>
          </cell>
          <cell r="FF17">
            <v>0.21911965805287054</v>
          </cell>
          <cell r="FG17">
            <v>1627.55</v>
          </cell>
          <cell r="FH17">
            <v>9993.16</v>
          </cell>
          <cell r="FI17">
            <v>0.78088034194712952</v>
          </cell>
          <cell r="FJ17">
            <v>456.7</v>
          </cell>
          <cell r="FK17">
            <v>2804.14</v>
          </cell>
          <cell r="FL17">
            <v>0.21911965805287054</v>
          </cell>
          <cell r="FN17">
            <v>0</v>
          </cell>
          <cell r="FO17">
            <v>0</v>
          </cell>
          <cell r="FP17">
            <v>456.7</v>
          </cell>
          <cell r="FQ17">
            <v>2804.14</v>
          </cell>
          <cell r="FR17">
            <v>0.21911965805287054</v>
          </cell>
          <cell r="FS17">
            <v>1627.55</v>
          </cell>
          <cell r="FT17">
            <v>9993.16</v>
          </cell>
          <cell r="FU17">
            <v>0.78088034194712952</v>
          </cell>
          <cell r="FV17">
            <v>456.7</v>
          </cell>
          <cell r="FW17">
            <v>2804.14</v>
          </cell>
          <cell r="FX17">
            <v>0.21911965805287054</v>
          </cell>
          <cell r="FZ17">
            <v>0</v>
          </cell>
          <cell r="GA17">
            <v>0</v>
          </cell>
          <cell r="GB17">
            <v>456.7</v>
          </cell>
          <cell r="GC17">
            <v>2804.14</v>
          </cell>
          <cell r="GD17">
            <v>0.21911965805287054</v>
          </cell>
          <cell r="GE17">
            <v>1627.55</v>
          </cell>
          <cell r="GF17">
            <v>9993.16</v>
          </cell>
          <cell r="GG17">
            <v>0.78088034194712952</v>
          </cell>
        </row>
        <row r="18">
          <cell r="U18">
            <v>13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24497.62</v>
          </cell>
          <cell r="AF18">
            <v>87946.46</v>
          </cell>
          <cell r="AG18">
            <v>1</v>
          </cell>
          <cell r="AH18">
            <v>0</v>
          </cell>
          <cell r="AI18">
            <v>0</v>
          </cell>
          <cell r="AJ18">
            <v>0</v>
          </cell>
          <cell r="AK18">
            <v>910.34</v>
          </cell>
          <cell r="AL18">
            <v>3268.12</v>
          </cell>
          <cell r="AM18">
            <v>3.7160335958945925E-2</v>
          </cell>
          <cell r="AN18">
            <v>910.34</v>
          </cell>
          <cell r="AO18">
            <v>3268.12</v>
          </cell>
          <cell r="AP18">
            <v>3.7160335958945925E-2</v>
          </cell>
          <cell r="AQ18">
            <v>23587.279999999999</v>
          </cell>
          <cell r="AR18">
            <v>84678.340000000011</v>
          </cell>
          <cell r="AS18">
            <v>0.96283966404105403</v>
          </cell>
          <cell r="AT18">
            <v>910.34</v>
          </cell>
          <cell r="AU18">
            <v>3268.12</v>
          </cell>
          <cell r="AV18">
            <v>3.7160335958945925E-2</v>
          </cell>
          <cell r="AW18">
            <v>940.51</v>
          </cell>
          <cell r="AX18">
            <v>3376.4300000000003</v>
          </cell>
          <cell r="AY18">
            <v>3.8391880696505579E-2</v>
          </cell>
          <cell r="AZ18">
            <v>1850.85</v>
          </cell>
          <cell r="BA18">
            <v>6644.55</v>
          </cell>
          <cell r="BB18">
            <v>7.5552216655451504E-2</v>
          </cell>
          <cell r="BC18">
            <v>22646.77</v>
          </cell>
          <cell r="BD18">
            <v>81301.91</v>
          </cell>
          <cell r="BE18">
            <v>0.92444778334454847</v>
          </cell>
          <cell r="BF18">
            <v>1850.85</v>
          </cell>
          <cell r="BG18">
            <v>6644.55</v>
          </cell>
          <cell r="BH18">
            <v>7.5552216655451504E-2</v>
          </cell>
          <cell r="BI18">
            <v>0</v>
          </cell>
          <cell r="BJ18">
            <v>0</v>
          </cell>
          <cell r="BK18">
            <v>0</v>
          </cell>
          <cell r="BL18">
            <v>1850.85</v>
          </cell>
          <cell r="BM18">
            <v>6644.55</v>
          </cell>
          <cell r="BN18">
            <v>7.5552216655451504E-2</v>
          </cell>
          <cell r="BO18">
            <v>22646.77</v>
          </cell>
          <cell r="BP18">
            <v>81301.91</v>
          </cell>
          <cell r="BQ18">
            <v>0.92444778334454847</v>
          </cell>
          <cell r="BR18">
            <v>1850.85</v>
          </cell>
          <cell r="BS18">
            <v>6644.55</v>
          </cell>
          <cell r="BT18">
            <v>7.5552216655451504E-2</v>
          </cell>
          <cell r="BU18">
            <v>514.35</v>
          </cell>
          <cell r="BV18">
            <v>1846.5199999999995</v>
          </cell>
          <cell r="BW18">
            <v>2.0995955948653305E-2</v>
          </cell>
          <cell r="BX18">
            <v>2365.1999999999998</v>
          </cell>
          <cell r="BY18">
            <v>8491.07</v>
          </cell>
          <cell r="BZ18">
            <v>9.6548172604104809E-2</v>
          </cell>
          <cell r="CA18">
            <v>22132.42</v>
          </cell>
          <cell r="CB18">
            <v>79455.390000000014</v>
          </cell>
          <cell r="CC18">
            <v>0.90345182739589514</v>
          </cell>
          <cell r="CD18">
            <v>2365.1999999999998</v>
          </cell>
          <cell r="CE18">
            <v>8491.07</v>
          </cell>
          <cell r="CF18">
            <v>9.6548172604104809E-2</v>
          </cell>
          <cell r="CG18">
            <v>0</v>
          </cell>
          <cell r="CH18">
            <v>0</v>
          </cell>
          <cell r="CI18">
            <v>0</v>
          </cell>
          <cell r="CJ18">
            <v>2365.1999999999998</v>
          </cell>
          <cell r="CK18">
            <v>8491.07</v>
          </cell>
          <cell r="CL18">
            <v>9.6548172604104809E-2</v>
          </cell>
          <cell r="CM18">
            <v>22132.42</v>
          </cell>
          <cell r="CN18">
            <v>79455.390000000014</v>
          </cell>
          <cell r="CO18">
            <v>0.90345182739589514</v>
          </cell>
          <cell r="CP18">
            <v>2365.1999999999998</v>
          </cell>
          <cell r="CQ18">
            <v>8491.07</v>
          </cell>
          <cell r="CR18">
            <v>9.6548172604104809E-2</v>
          </cell>
          <cell r="CS18">
            <v>0</v>
          </cell>
          <cell r="CT18">
            <v>0</v>
          </cell>
          <cell r="CU18">
            <v>0</v>
          </cell>
          <cell r="CV18">
            <v>2365.1999999999998</v>
          </cell>
          <cell r="CW18">
            <v>8491.07</v>
          </cell>
          <cell r="CX18">
            <v>9.6548172604104809E-2</v>
          </cell>
          <cell r="CY18">
            <v>22132.42</v>
          </cell>
          <cell r="CZ18">
            <v>79455.390000000014</v>
          </cell>
          <cell r="DA18">
            <v>0.90345182739589514</v>
          </cell>
          <cell r="DB18">
            <v>2365.1999999999998</v>
          </cell>
          <cell r="DC18">
            <v>8491.07</v>
          </cell>
          <cell r="DD18">
            <v>9.6548172604104809E-2</v>
          </cell>
          <cell r="DE18">
            <v>0</v>
          </cell>
          <cell r="DF18">
            <v>0</v>
          </cell>
          <cell r="DG18">
            <v>0</v>
          </cell>
          <cell r="DH18">
            <v>2365.1999999999998</v>
          </cell>
          <cell r="DI18">
            <v>8491.07</v>
          </cell>
          <cell r="DJ18">
            <v>9.6548172604104809E-2</v>
          </cell>
          <cell r="DK18">
            <v>22132.42</v>
          </cell>
          <cell r="DL18">
            <v>79455.390000000014</v>
          </cell>
          <cell r="DM18">
            <v>0.90345182739589514</v>
          </cell>
          <cell r="DN18">
            <v>2365.1999999999998</v>
          </cell>
          <cell r="DO18">
            <v>8491.07</v>
          </cell>
          <cell r="DP18">
            <v>9.6548172604104809E-2</v>
          </cell>
          <cell r="DQ18">
            <v>0</v>
          </cell>
          <cell r="DR18">
            <v>0</v>
          </cell>
          <cell r="DS18">
            <v>0</v>
          </cell>
          <cell r="DT18">
            <v>2365.1999999999998</v>
          </cell>
          <cell r="DU18">
            <v>8491.07</v>
          </cell>
          <cell r="DV18">
            <v>9.6548172604104809E-2</v>
          </cell>
          <cell r="DW18">
            <v>22132.42</v>
          </cell>
          <cell r="DX18">
            <v>79455.390000000014</v>
          </cell>
          <cell r="DY18">
            <v>0.90345182739589514</v>
          </cell>
          <cell r="DZ18">
            <v>2365.1999999999998</v>
          </cell>
          <cell r="EA18">
            <v>8491.07</v>
          </cell>
          <cell r="EB18">
            <v>9.6548172604104809E-2</v>
          </cell>
          <cell r="ED18">
            <v>0</v>
          </cell>
          <cell r="EE18">
            <v>0</v>
          </cell>
          <cell r="EF18">
            <v>2365.1999999999998</v>
          </cell>
          <cell r="EG18">
            <v>8491.07</v>
          </cell>
          <cell r="EH18">
            <v>9.6548172604104809E-2</v>
          </cell>
          <cell r="EI18">
            <v>22132.42</v>
          </cell>
          <cell r="EJ18">
            <v>79455.390000000014</v>
          </cell>
          <cell r="EK18">
            <v>0.90345182739589514</v>
          </cell>
          <cell r="EL18">
            <v>2365.1999999999998</v>
          </cell>
          <cell r="EM18">
            <v>8491.07</v>
          </cell>
          <cell r="EN18">
            <v>9.6548172604104809E-2</v>
          </cell>
          <cell r="EP18">
            <v>0</v>
          </cell>
          <cell r="EQ18">
            <v>0</v>
          </cell>
          <cell r="ER18">
            <v>2365.1999999999998</v>
          </cell>
          <cell r="ES18">
            <v>8491.07</v>
          </cell>
          <cell r="ET18">
            <v>9.6548172604104809E-2</v>
          </cell>
          <cell r="EU18">
            <v>22132.42</v>
          </cell>
          <cell r="EV18">
            <v>79455.390000000014</v>
          </cell>
          <cell r="EW18">
            <v>0.90345182739589514</v>
          </cell>
          <cell r="EX18">
            <v>2365.1999999999998</v>
          </cell>
          <cell r="EY18">
            <v>8491.07</v>
          </cell>
          <cell r="EZ18">
            <v>9.6548172604104809E-2</v>
          </cell>
          <cell r="FB18">
            <v>0</v>
          </cell>
          <cell r="FC18">
            <v>0</v>
          </cell>
          <cell r="FD18">
            <v>2365.1999999999998</v>
          </cell>
          <cell r="FE18">
            <v>8491.07</v>
          </cell>
          <cell r="FF18">
            <v>9.6548172604104809E-2</v>
          </cell>
          <cell r="FG18">
            <v>22132.42</v>
          </cell>
          <cell r="FH18">
            <v>79455.390000000014</v>
          </cell>
          <cell r="FI18">
            <v>0.90345182739589514</v>
          </cell>
          <cell r="FJ18">
            <v>2365.1999999999998</v>
          </cell>
          <cell r="FK18">
            <v>8491.07</v>
          </cell>
          <cell r="FL18">
            <v>9.6548172604104809E-2</v>
          </cell>
          <cell r="FN18">
            <v>0</v>
          </cell>
          <cell r="FO18">
            <v>0</v>
          </cell>
          <cell r="FP18">
            <v>2365.1999999999998</v>
          </cell>
          <cell r="FQ18">
            <v>8491.07</v>
          </cell>
          <cell r="FR18">
            <v>9.6548172604104809E-2</v>
          </cell>
          <cell r="FS18">
            <v>22132.42</v>
          </cell>
          <cell r="FT18">
            <v>79455.390000000014</v>
          </cell>
          <cell r="FU18">
            <v>0.90345182739589514</v>
          </cell>
          <cell r="FV18">
            <v>2365.1999999999998</v>
          </cell>
          <cell r="FW18">
            <v>8491.07</v>
          </cell>
          <cell r="FX18">
            <v>9.6548172604104809E-2</v>
          </cell>
          <cell r="FZ18">
            <v>0</v>
          </cell>
          <cell r="GA18">
            <v>0</v>
          </cell>
          <cell r="GB18">
            <v>2365.1999999999998</v>
          </cell>
          <cell r="GC18">
            <v>8491.07</v>
          </cell>
          <cell r="GD18">
            <v>9.6548172604104809E-2</v>
          </cell>
          <cell r="GE18">
            <v>22132.42</v>
          </cell>
          <cell r="GF18">
            <v>79455.390000000014</v>
          </cell>
          <cell r="GG18">
            <v>0.90345182739589514</v>
          </cell>
        </row>
        <row r="19">
          <cell r="U19">
            <v>14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17674.66</v>
          </cell>
          <cell r="AF19">
            <v>244087.05</v>
          </cell>
          <cell r="AG19">
            <v>1</v>
          </cell>
          <cell r="AH19">
            <v>0</v>
          </cell>
          <cell r="AI19">
            <v>0</v>
          </cell>
          <cell r="AJ19">
            <v>0</v>
          </cell>
          <cell r="AK19">
            <v>455.17</v>
          </cell>
          <cell r="AL19">
            <v>6285.9</v>
          </cell>
          <cell r="AM19">
            <v>2.5752697654381911E-2</v>
          </cell>
          <cell r="AN19">
            <v>455.17</v>
          </cell>
          <cell r="AO19">
            <v>6285.9</v>
          </cell>
          <cell r="AP19">
            <v>2.5752697654381911E-2</v>
          </cell>
          <cell r="AQ19">
            <v>17219.490000000002</v>
          </cell>
          <cell r="AR19">
            <v>237801.15</v>
          </cell>
          <cell r="AS19">
            <v>0.97424730234561807</v>
          </cell>
          <cell r="AT19">
            <v>455.17</v>
          </cell>
          <cell r="AU19">
            <v>6285.9</v>
          </cell>
          <cell r="AV19">
            <v>2.5752697654381911E-2</v>
          </cell>
          <cell r="AW19">
            <v>4495.55</v>
          </cell>
          <cell r="AX19">
            <v>62083.54</v>
          </cell>
          <cell r="AY19">
            <v>0.25434999521687041</v>
          </cell>
          <cell r="AZ19">
            <v>4950.72</v>
          </cell>
          <cell r="BA19">
            <v>68369.440000000002</v>
          </cell>
          <cell r="BB19">
            <v>0.28010269287125233</v>
          </cell>
          <cell r="BC19">
            <v>12723.939999999999</v>
          </cell>
          <cell r="BD19">
            <v>175717.61</v>
          </cell>
          <cell r="BE19">
            <v>0.71989730712874767</v>
          </cell>
          <cell r="BF19">
            <v>4950.72</v>
          </cell>
          <cell r="BG19">
            <v>68369.440000000002</v>
          </cell>
          <cell r="BH19">
            <v>0.28010269287125233</v>
          </cell>
          <cell r="BI19">
            <v>6882.58</v>
          </cell>
          <cell r="BJ19">
            <v>95048.43</v>
          </cell>
          <cell r="BK19">
            <v>0.38940382130063844</v>
          </cell>
          <cell r="BL19">
            <v>11833.3</v>
          </cell>
          <cell r="BM19">
            <v>163417.87</v>
          </cell>
          <cell r="BN19">
            <v>0.66950651417189078</v>
          </cell>
          <cell r="BO19">
            <v>5841.3600000000006</v>
          </cell>
          <cell r="BP19">
            <v>80669.179999999993</v>
          </cell>
          <cell r="BQ19">
            <v>0.33049348582810922</v>
          </cell>
          <cell r="BR19">
            <v>11833.3</v>
          </cell>
          <cell r="BS19">
            <v>163417.87</v>
          </cell>
          <cell r="BT19">
            <v>0.66950651417189078</v>
          </cell>
          <cell r="BU19">
            <v>696.44</v>
          </cell>
          <cell r="BV19">
            <v>9617.8399999999965</v>
          </cell>
          <cell r="BW19">
            <v>3.9403319430506456E-2</v>
          </cell>
          <cell r="BX19">
            <v>12529.74</v>
          </cell>
          <cell r="BY19">
            <v>173035.71</v>
          </cell>
          <cell r="BZ19">
            <v>0.70890983360239723</v>
          </cell>
          <cell r="CA19">
            <v>5144.92</v>
          </cell>
          <cell r="CB19">
            <v>71051.34</v>
          </cell>
          <cell r="CC19">
            <v>0.29109016639760277</v>
          </cell>
          <cell r="CD19">
            <v>12529.74</v>
          </cell>
          <cell r="CE19">
            <v>173035.71</v>
          </cell>
          <cell r="CF19">
            <v>0.70890983360239723</v>
          </cell>
          <cell r="CG19">
            <v>0</v>
          </cell>
          <cell r="CH19">
            <v>0</v>
          </cell>
          <cell r="CI19">
            <v>0</v>
          </cell>
          <cell r="CJ19">
            <v>12529.74</v>
          </cell>
          <cell r="CK19">
            <v>173035.71</v>
          </cell>
          <cell r="CL19">
            <v>0.70890983360239723</v>
          </cell>
          <cell r="CM19">
            <v>5144.92</v>
          </cell>
          <cell r="CN19">
            <v>71051.34</v>
          </cell>
          <cell r="CO19">
            <v>0.29109016639760277</v>
          </cell>
          <cell r="CP19">
            <v>12529.74</v>
          </cell>
          <cell r="CQ19">
            <v>173035.71</v>
          </cell>
          <cell r="CR19">
            <v>0.70890983360239723</v>
          </cell>
          <cell r="CS19">
            <v>0</v>
          </cell>
          <cell r="CT19">
            <v>0</v>
          </cell>
          <cell r="CU19">
            <v>0</v>
          </cell>
          <cell r="CV19">
            <v>12529.74</v>
          </cell>
          <cell r="CW19">
            <v>173035.71</v>
          </cell>
          <cell r="CX19">
            <v>0.70890983360239723</v>
          </cell>
          <cell r="CY19">
            <v>5144.92</v>
          </cell>
          <cell r="CZ19">
            <v>71051.34</v>
          </cell>
          <cell r="DA19">
            <v>0.29109016639760277</v>
          </cell>
          <cell r="DB19">
            <v>12529.74</v>
          </cell>
          <cell r="DC19">
            <v>173035.71</v>
          </cell>
          <cell r="DD19">
            <v>0.70890983360239723</v>
          </cell>
          <cell r="DE19">
            <v>0</v>
          </cell>
          <cell r="DF19">
            <v>0</v>
          </cell>
          <cell r="DG19">
            <v>0</v>
          </cell>
          <cell r="DH19">
            <v>12529.74</v>
          </cell>
          <cell r="DI19">
            <v>173035.71</v>
          </cell>
          <cell r="DJ19">
            <v>0.70890983360239723</v>
          </cell>
          <cell r="DK19">
            <v>5144.92</v>
          </cell>
          <cell r="DL19">
            <v>71051.34</v>
          </cell>
          <cell r="DM19">
            <v>0.29109016639760277</v>
          </cell>
          <cell r="DN19">
            <v>12529.74</v>
          </cell>
          <cell r="DO19">
            <v>173035.71</v>
          </cell>
          <cell r="DP19">
            <v>0.70890983360239723</v>
          </cell>
          <cell r="DQ19">
            <v>0</v>
          </cell>
          <cell r="DR19">
            <v>0</v>
          </cell>
          <cell r="DS19">
            <v>0</v>
          </cell>
          <cell r="DT19">
            <v>12529.74</v>
          </cell>
          <cell r="DU19">
            <v>173035.71</v>
          </cell>
          <cell r="DV19">
            <v>0.70890983360239723</v>
          </cell>
          <cell r="DW19">
            <v>5144.92</v>
          </cell>
          <cell r="DX19">
            <v>71051.34</v>
          </cell>
          <cell r="DY19">
            <v>0.29109016639760277</v>
          </cell>
          <cell r="DZ19">
            <v>12529.74</v>
          </cell>
          <cell r="EA19">
            <v>173035.71</v>
          </cell>
          <cell r="EB19">
            <v>0.70890983360239723</v>
          </cell>
          <cell r="ED19">
            <v>0</v>
          </cell>
          <cell r="EE19">
            <v>0</v>
          </cell>
          <cell r="EF19">
            <v>12529.74</v>
          </cell>
          <cell r="EG19">
            <v>173035.71</v>
          </cell>
          <cell r="EH19">
            <v>0.70890983360239723</v>
          </cell>
          <cell r="EI19">
            <v>5144.92</v>
          </cell>
          <cell r="EJ19">
            <v>71051.34</v>
          </cell>
          <cell r="EK19">
            <v>0.29109016639760277</v>
          </cell>
          <cell r="EL19">
            <v>12529.74</v>
          </cell>
          <cell r="EM19">
            <v>173035.71</v>
          </cell>
          <cell r="EN19">
            <v>0.70890983360239723</v>
          </cell>
          <cell r="EP19">
            <v>0</v>
          </cell>
          <cell r="EQ19">
            <v>0</v>
          </cell>
          <cell r="ER19">
            <v>12529.74</v>
          </cell>
          <cell r="ES19">
            <v>173035.71</v>
          </cell>
          <cell r="ET19">
            <v>0.70890983360239723</v>
          </cell>
          <cell r="EU19">
            <v>5144.92</v>
          </cell>
          <cell r="EV19">
            <v>71051.34</v>
          </cell>
          <cell r="EW19">
            <v>0.29109016639760277</v>
          </cell>
          <cell r="EX19">
            <v>12529.74</v>
          </cell>
          <cell r="EY19">
            <v>173035.71</v>
          </cell>
          <cell r="EZ19">
            <v>0.70890983360239723</v>
          </cell>
          <cell r="FB19">
            <v>0</v>
          </cell>
          <cell r="FC19">
            <v>0</v>
          </cell>
          <cell r="FD19">
            <v>12529.74</v>
          </cell>
          <cell r="FE19">
            <v>173035.71</v>
          </cell>
          <cell r="FF19">
            <v>0.70890983360239723</v>
          </cell>
          <cell r="FG19">
            <v>5144.92</v>
          </cell>
          <cell r="FH19">
            <v>71051.34</v>
          </cell>
          <cell r="FI19">
            <v>0.29109016639760277</v>
          </cell>
          <cell r="FJ19">
            <v>12529.74</v>
          </cell>
          <cell r="FK19">
            <v>173035.71</v>
          </cell>
          <cell r="FL19">
            <v>0.70890983360239723</v>
          </cell>
          <cell r="FN19">
            <v>0</v>
          </cell>
          <cell r="FO19">
            <v>0</v>
          </cell>
          <cell r="FP19">
            <v>12529.74</v>
          </cell>
          <cell r="FQ19">
            <v>173035.71</v>
          </cell>
          <cell r="FR19">
            <v>0.70890983360239723</v>
          </cell>
          <cell r="FS19">
            <v>5144.92</v>
          </cell>
          <cell r="FT19">
            <v>71051.34</v>
          </cell>
          <cell r="FU19">
            <v>0.29109016639760277</v>
          </cell>
          <cell r="FV19">
            <v>12529.74</v>
          </cell>
          <cell r="FW19">
            <v>173035.71</v>
          </cell>
          <cell r="FX19">
            <v>0.70890983360239723</v>
          </cell>
          <cell r="FZ19">
            <v>0</v>
          </cell>
          <cell r="GA19">
            <v>0</v>
          </cell>
          <cell r="GB19">
            <v>12529.74</v>
          </cell>
          <cell r="GC19">
            <v>173035.71</v>
          </cell>
          <cell r="GD19">
            <v>0.70890983360239723</v>
          </cell>
          <cell r="GE19">
            <v>5144.92</v>
          </cell>
          <cell r="GF19">
            <v>71051.34</v>
          </cell>
          <cell r="GG19">
            <v>0.29109016639760277</v>
          </cell>
        </row>
        <row r="20">
          <cell r="U20">
            <v>15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1418.72</v>
          </cell>
          <cell r="AF20">
            <v>14797.25</v>
          </cell>
          <cell r="AG20">
            <v>1</v>
          </cell>
          <cell r="AH20">
            <v>0</v>
          </cell>
          <cell r="AI20">
            <v>0</v>
          </cell>
          <cell r="AJ20">
            <v>0</v>
          </cell>
          <cell r="AK20">
            <v>284.48</v>
          </cell>
          <cell r="AL20">
            <v>2967.13</v>
          </cell>
          <cell r="AM20">
            <v>0.20051901535758335</v>
          </cell>
          <cell r="AN20">
            <v>284.48</v>
          </cell>
          <cell r="AO20">
            <v>2967.13</v>
          </cell>
          <cell r="AP20">
            <v>0.20051901535758335</v>
          </cell>
          <cell r="AQ20">
            <v>1134.24</v>
          </cell>
          <cell r="AR20">
            <v>11830.119999999999</v>
          </cell>
          <cell r="AS20">
            <v>0.79948098464241668</v>
          </cell>
          <cell r="AT20">
            <v>284.48</v>
          </cell>
          <cell r="AU20">
            <v>2967.13</v>
          </cell>
          <cell r="AV20">
            <v>0.20051901535758335</v>
          </cell>
          <cell r="AW20">
            <v>0</v>
          </cell>
          <cell r="AX20">
            <v>0</v>
          </cell>
          <cell r="AY20">
            <v>0</v>
          </cell>
          <cell r="AZ20">
            <v>284.48</v>
          </cell>
          <cell r="BA20">
            <v>2967.13</v>
          </cell>
          <cell r="BB20">
            <v>0.20051901535758335</v>
          </cell>
          <cell r="BC20">
            <v>1134.24</v>
          </cell>
          <cell r="BD20">
            <v>11830.119999999999</v>
          </cell>
          <cell r="BE20">
            <v>0.79948098464241668</v>
          </cell>
          <cell r="BF20">
            <v>284.48</v>
          </cell>
          <cell r="BG20">
            <v>2967.13</v>
          </cell>
          <cell r="BH20">
            <v>0.20051901535758335</v>
          </cell>
          <cell r="BI20">
            <v>0</v>
          </cell>
          <cell r="BJ20">
            <v>0</v>
          </cell>
          <cell r="BK20">
            <v>0</v>
          </cell>
          <cell r="BL20">
            <v>284.48</v>
          </cell>
          <cell r="BM20">
            <v>2967.13</v>
          </cell>
          <cell r="BN20">
            <v>0.20051901535758335</v>
          </cell>
          <cell r="BO20">
            <v>1134.24</v>
          </cell>
          <cell r="BP20">
            <v>11830.119999999999</v>
          </cell>
          <cell r="BQ20">
            <v>0.79948098464241668</v>
          </cell>
          <cell r="BR20">
            <v>284.48</v>
          </cell>
          <cell r="BS20">
            <v>2967.13</v>
          </cell>
          <cell r="BT20">
            <v>0.20051901535758335</v>
          </cell>
          <cell r="BU20">
            <v>0</v>
          </cell>
          <cell r="BV20">
            <v>0</v>
          </cell>
          <cell r="BW20">
            <v>0</v>
          </cell>
          <cell r="BX20">
            <v>284.48</v>
          </cell>
          <cell r="BY20">
            <v>2967.13</v>
          </cell>
          <cell r="BZ20">
            <v>0.20051901535758335</v>
          </cell>
          <cell r="CA20">
            <v>1134.24</v>
          </cell>
          <cell r="CB20">
            <v>11830.119999999999</v>
          </cell>
          <cell r="CC20">
            <v>0.79948098464241668</v>
          </cell>
          <cell r="CD20">
            <v>284.48</v>
          </cell>
          <cell r="CE20">
            <v>2967.13</v>
          </cell>
          <cell r="CF20">
            <v>0.20051901535758335</v>
          </cell>
          <cell r="CG20">
            <v>0</v>
          </cell>
          <cell r="CH20">
            <v>0</v>
          </cell>
          <cell r="CI20">
            <v>0</v>
          </cell>
          <cell r="CJ20">
            <v>284.48</v>
          </cell>
          <cell r="CK20">
            <v>2967.13</v>
          </cell>
          <cell r="CL20">
            <v>0.20051901535758335</v>
          </cell>
          <cell r="CM20">
            <v>1134.24</v>
          </cell>
          <cell r="CN20">
            <v>11830.119999999999</v>
          </cell>
          <cell r="CO20">
            <v>0.79948098464241668</v>
          </cell>
          <cell r="CP20">
            <v>284.48</v>
          </cell>
          <cell r="CQ20">
            <v>2967.13</v>
          </cell>
          <cell r="CR20">
            <v>0.20051901535758335</v>
          </cell>
          <cell r="CS20">
            <v>0</v>
          </cell>
          <cell r="CT20">
            <v>0</v>
          </cell>
          <cell r="CU20">
            <v>0</v>
          </cell>
          <cell r="CV20">
            <v>284.48</v>
          </cell>
          <cell r="CW20">
            <v>2967.13</v>
          </cell>
          <cell r="CX20">
            <v>0.20051901535758335</v>
          </cell>
          <cell r="CY20">
            <v>1134.24</v>
          </cell>
          <cell r="CZ20">
            <v>11830.119999999999</v>
          </cell>
          <cell r="DA20">
            <v>0.79948098464241668</v>
          </cell>
          <cell r="DB20">
            <v>284.48</v>
          </cell>
          <cell r="DC20">
            <v>2967.13</v>
          </cell>
          <cell r="DD20">
            <v>0.20051901535758335</v>
          </cell>
          <cell r="DE20">
            <v>0</v>
          </cell>
          <cell r="DF20">
            <v>0</v>
          </cell>
          <cell r="DG20">
            <v>0</v>
          </cell>
          <cell r="DH20">
            <v>284.48</v>
          </cell>
          <cell r="DI20">
            <v>2967.13</v>
          </cell>
          <cell r="DJ20">
            <v>0.20051901535758335</v>
          </cell>
          <cell r="DK20">
            <v>1134.24</v>
          </cell>
          <cell r="DL20">
            <v>11830.119999999999</v>
          </cell>
          <cell r="DM20">
            <v>0.79948098464241668</v>
          </cell>
          <cell r="DN20">
            <v>284.48</v>
          </cell>
          <cell r="DO20">
            <v>2967.13</v>
          </cell>
          <cell r="DP20">
            <v>0.20051901535758335</v>
          </cell>
          <cell r="DQ20">
            <v>0</v>
          </cell>
          <cell r="DR20">
            <v>0</v>
          </cell>
          <cell r="DS20">
            <v>0</v>
          </cell>
          <cell r="DT20">
            <v>284.48</v>
          </cell>
          <cell r="DU20">
            <v>2967.13</v>
          </cell>
          <cell r="DV20">
            <v>0.20051901535758335</v>
          </cell>
          <cell r="DW20">
            <v>1134.24</v>
          </cell>
          <cell r="DX20">
            <v>11830.119999999999</v>
          </cell>
          <cell r="DY20">
            <v>0.79948098464241668</v>
          </cell>
          <cell r="DZ20">
            <v>284.48</v>
          </cell>
          <cell r="EA20">
            <v>2967.13</v>
          </cell>
          <cell r="EB20">
            <v>0.20051901535758335</v>
          </cell>
          <cell r="ED20">
            <v>0</v>
          </cell>
          <cell r="EE20">
            <v>0</v>
          </cell>
          <cell r="EF20">
            <v>284.48</v>
          </cell>
          <cell r="EG20">
            <v>2967.13</v>
          </cell>
          <cell r="EH20">
            <v>0.20051901535758335</v>
          </cell>
          <cell r="EI20">
            <v>1134.24</v>
          </cell>
          <cell r="EJ20">
            <v>11830.119999999999</v>
          </cell>
          <cell r="EK20">
            <v>0.79948098464241668</v>
          </cell>
          <cell r="EL20">
            <v>284.48</v>
          </cell>
          <cell r="EM20">
            <v>2967.13</v>
          </cell>
          <cell r="EN20">
            <v>0.20051901535758335</v>
          </cell>
          <cell r="EP20">
            <v>0</v>
          </cell>
          <cell r="EQ20">
            <v>0</v>
          </cell>
          <cell r="ER20">
            <v>284.48</v>
          </cell>
          <cell r="ES20">
            <v>2967.13</v>
          </cell>
          <cell r="ET20">
            <v>0.20051901535758335</v>
          </cell>
          <cell r="EU20">
            <v>1134.24</v>
          </cell>
          <cell r="EV20">
            <v>11830.119999999999</v>
          </cell>
          <cell r="EW20">
            <v>0.79948098464241668</v>
          </cell>
          <cell r="EX20">
            <v>284.48</v>
          </cell>
          <cell r="EY20">
            <v>2967.13</v>
          </cell>
          <cell r="EZ20">
            <v>0.20051901535758335</v>
          </cell>
          <cell r="FB20">
            <v>0</v>
          </cell>
          <cell r="FC20">
            <v>0</v>
          </cell>
          <cell r="FD20">
            <v>284.48</v>
          </cell>
          <cell r="FE20">
            <v>2967.13</v>
          </cell>
          <cell r="FF20">
            <v>0.20051901535758335</v>
          </cell>
          <cell r="FG20">
            <v>1134.24</v>
          </cell>
          <cell r="FH20">
            <v>11830.119999999999</v>
          </cell>
          <cell r="FI20">
            <v>0.79948098464241668</v>
          </cell>
          <cell r="FJ20">
            <v>284.48</v>
          </cell>
          <cell r="FK20">
            <v>2967.13</v>
          </cell>
          <cell r="FL20">
            <v>0.20051901535758335</v>
          </cell>
          <cell r="FN20">
            <v>0</v>
          </cell>
          <cell r="FO20">
            <v>0</v>
          </cell>
          <cell r="FP20">
            <v>284.48</v>
          </cell>
          <cell r="FQ20">
            <v>2967.13</v>
          </cell>
          <cell r="FR20">
            <v>0.20051901535758335</v>
          </cell>
          <cell r="FS20">
            <v>1134.24</v>
          </cell>
          <cell r="FT20">
            <v>11830.119999999999</v>
          </cell>
          <cell r="FU20">
            <v>0.79948098464241668</v>
          </cell>
          <cell r="FV20">
            <v>284.48</v>
          </cell>
          <cell r="FW20">
            <v>2967.13</v>
          </cell>
          <cell r="FX20">
            <v>0.20051901535758335</v>
          </cell>
          <cell r="FZ20">
            <v>0</v>
          </cell>
          <cell r="GA20">
            <v>0</v>
          </cell>
          <cell r="GB20">
            <v>284.48</v>
          </cell>
          <cell r="GC20">
            <v>2967.13</v>
          </cell>
          <cell r="GD20">
            <v>0.20051901535758335</v>
          </cell>
          <cell r="GE20">
            <v>1134.24</v>
          </cell>
          <cell r="GF20">
            <v>11830.119999999999</v>
          </cell>
          <cell r="GG20">
            <v>0.79948098464241668</v>
          </cell>
        </row>
        <row r="21">
          <cell r="U21">
            <v>16</v>
          </cell>
          <cell r="W21">
            <v>0</v>
          </cell>
          <cell r="X21">
            <v>0</v>
          </cell>
          <cell r="Z21">
            <v>0</v>
          </cell>
          <cell r="AA21">
            <v>0</v>
          </cell>
          <cell r="AC21">
            <v>0</v>
          </cell>
          <cell r="AD21">
            <v>0</v>
          </cell>
          <cell r="AF21">
            <v>5770035.0199999996</v>
          </cell>
          <cell r="AG21">
            <v>1</v>
          </cell>
          <cell r="AI21">
            <v>0</v>
          </cell>
          <cell r="AJ21">
            <v>0</v>
          </cell>
          <cell r="AL21">
            <v>13922.95</v>
          </cell>
          <cell r="AM21">
            <v>2.4129749562594514E-3</v>
          </cell>
          <cell r="AO21">
            <v>13922.95</v>
          </cell>
          <cell r="AP21">
            <v>2.4129749562594514E-3</v>
          </cell>
          <cell r="AR21">
            <v>5756112.0699999994</v>
          </cell>
          <cell r="AS21">
            <v>0.99758702504374053</v>
          </cell>
          <cell r="AU21">
            <v>13922.95</v>
          </cell>
          <cell r="AV21">
            <v>2.4129749562594514E-3</v>
          </cell>
          <cell r="AX21">
            <v>435348.12999999995</v>
          </cell>
          <cell r="AY21">
            <v>7.5449824566229409E-2</v>
          </cell>
          <cell r="BA21">
            <v>449271.07999999996</v>
          </cell>
          <cell r="BB21">
            <v>7.7862799522488854E-2</v>
          </cell>
          <cell r="BD21">
            <v>5320763.9399999995</v>
          </cell>
          <cell r="BE21">
            <v>0.92213720047751113</v>
          </cell>
          <cell r="BG21">
            <v>449271.07999999996</v>
          </cell>
          <cell r="BH21">
            <v>7.7862799522488854E-2</v>
          </cell>
          <cell r="BJ21">
            <v>958400.9800000001</v>
          </cell>
          <cell r="BK21">
            <v>0.16609968166189748</v>
          </cell>
          <cell r="BM21">
            <v>1407672.06</v>
          </cell>
          <cell r="BN21">
            <v>0.24396248118438632</v>
          </cell>
          <cell r="BP21">
            <v>4362362.959999999</v>
          </cell>
          <cell r="BQ21">
            <v>0.75603751881561365</v>
          </cell>
          <cell r="BS21">
            <v>1407672.06</v>
          </cell>
          <cell r="BT21">
            <v>0.24396248118438632</v>
          </cell>
          <cell r="BV21">
            <v>236858.35999999987</v>
          </cell>
          <cell r="BW21">
            <v>4.104972659247394E-2</v>
          </cell>
          <cell r="BY21">
            <v>1644530.42</v>
          </cell>
          <cell r="BZ21">
            <v>0.28501220777686026</v>
          </cell>
          <cell r="CB21">
            <v>4125504.5999999996</v>
          </cell>
          <cell r="CC21">
            <v>0.7149877922231398</v>
          </cell>
          <cell r="CE21">
            <v>1644530.42</v>
          </cell>
          <cell r="CF21">
            <v>0.28501220777686026</v>
          </cell>
          <cell r="CH21">
            <v>0</v>
          </cell>
          <cell r="CI21">
            <v>0</v>
          </cell>
          <cell r="CK21">
            <v>1644530.42</v>
          </cell>
          <cell r="CL21">
            <v>0.28501220777686026</v>
          </cell>
          <cell r="CN21">
            <v>4125504.5999999996</v>
          </cell>
          <cell r="CO21">
            <v>0.7149877922231398</v>
          </cell>
          <cell r="CQ21">
            <v>1644530.42</v>
          </cell>
          <cell r="CR21">
            <v>0.28501220777686026</v>
          </cell>
          <cell r="CT21">
            <v>0</v>
          </cell>
          <cell r="CU21">
            <v>0</v>
          </cell>
          <cell r="CW21">
            <v>1644530.42</v>
          </cell>
          <cell r="CX21">
            <v>0.28501220777686026</v>
          </cell>
          <cell r="CZ21">
            <v>4125504.5999999996</v>
          </cell>
          <cell r="DA21">
            <v>0.7149877922231398</v>
          </cell>
          <cell r="DC21">
            <v>1644530.42</v>
          </cell>
          <cell r="DD21">
            <v>0.28501220777686026</v>
          </cell>
          <cell r="DF21">
            <v>0</v>
          </cell>
          <cell r="DG21">
            <v>0</v>
          </cell>
          <cell r="DI21">
            <v>1644530.42</v>
          </cell>
          <cell r="DJ21">
            <v>0.28501220777686026</v>
          </cell>
          <cell r="DL21">
            <v>4125504.5999999996</v>
          </cell>
          <cell r="DM21">
            <v>0.7149877922231398</v>
          </cell>
          <cell r="DO21">
            <v>1644530.42</v>
          </cell>
          <cell r="DP21">
            <v>0.28501220777686026</v>
          </cell>
          <cell r="DR21">
            <v>0</v>
          </cell>
          <cell r="DS21">
            <v>0</v>
          </cell>
          <cell r="DU21">
            <v>1644530.42</v>
          </cell>
          <cell r="DV21">
            <v>0.28501220777686026</v>
          </cell>
          <cell r="DX21">
            <v>4125504.5999999996</v>
          </cell>
          <cell r="DY21">
            <v>0.7149877922231398</v>
          </cell>
          <cell r="EA21">
            <v>1644530.42</v>
          </cell>
          <cell r="EB21">
            <v>0.28501220777686026</v>
          </cell>
          <cell r="ED21">
            <v>0</v>
          </cell>
          <cell r="EE21">
            <v>0</v>
          </cell>
          <cell r="EG21">
            <v>1644530.42</v>
          </cell>
          <cell r="EH21">
            <v>0.28501220777686026</v>
          </cell>
          <cell r="EJ21">
            <v>4125504.5999999996</v>
          </cell>
          <cell r="EK21">
            <v>0.7149877922231398</v>
          </cell>
          <cell r="EM21">
            <v>1644530.42</v>
          </cell>
          <cell r="EN21">
            <v>0.28501220777686026</v>
          </cell>
          <cell r="EP21">
            <v>0</v>
          </cell>
          <cell r="EQ21">
            <v>0</v>
          </cell>
          <cell r="ES21">
            <v>1644530.42</v>
          </cell>
          <cell r="ET21">
            <v>0.28501220777686026</v>
          </cell>
          <cell r="EV21">
            <v>4125504.5999999996</v>
          </cell>
          <cell r="EW21">
            <v>0.7149877922231398</v>
          </cell>
          <cell r="EY21">
            <v>1644530.42</v>
          </cell>
          <cell r="EZ21">
            <v>0.28501220777686026</v>
          </cell>
          <cell r="FB21">
            <v>0</v>
          </cell>
          <cell r="FC21">
            <v>0</v>
          </cell>
          <cell r="FE21">
            <v>1644530.42</v>
          </cell>
          <cell r="FF21">
            <v>0.28501220777686026</v>
          </cell>
          <cell r="FH21">
            <v>4125504.5999999996</v>
          </cell>
          <cell r="FI21">
            <v>0.7149877922231398</v>
          </cell>
          <cell r="FK21">
            <v>1644530.42</v>
          </cell>
          <cell r="FL21">
            <v>0.28501220777686026</v>
          </cell>
          <cell r="FN21">
            <v>0</v>
          </cell>
          <cell r="FO21">
            <v>0</v>
          </cell>
          <cell r="FQ21">
            <v>1644530.42</v>
          </cell>
          <cell r="FR21">
            <v>0.28501220777686026</v>
          </cell>
          <cell r="FT21">
            <v>4125504.5999999996</v>
          </cell>
          <cell r="FU21">
            <v>0.7149877922231398</v>
          </cell>
          <cell r="FW21">
            <v>1644530.42</v>
          </cell>
          <cell r="FX21">
            <v>0.28501220777686026</v>
          </cell>
          <cell r="FZ21">
            <v>0</v>
          </cell>
          <cell r="GA21">
            <v>0</v>
          </cell>
          <cell r="GC21">
            <v>1644530.42</v>
          </cell>
          <cell r="GD21">
            <v>0.28501220777686026</v>
          </cell>
          <cell r="GF21">
            <v>4125504.5999999996</v>
          </cell>
          <cell r="GG21">
            <v>0.7149877922231398</v>
          </cell>
        </row>
        <row r="22">
          <cell r="U22">
            <v>17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114186.77</v>
          </cell>
          <cell r="AF22">
            <v>3743042.32</v>
          </cell>
          <cell r="AG22">
            <v>1</v>
          </cell>
          <cell r="AH22">
            <v>0</v>
          </cell>
          <cell r="AI22">
            <v>0</v>
          </cell>
          <cell r="AJ22">
            <v>0</v>
          </cell>
          <cell r="AK22">
            <v>136.63999999999999</v>
          </cell>
          <cell r="AL22">
            <v>4479.0600000000004</v>
          </cell>
          <cell r="AM22">
            <v>1.1966362164988829E-3</v>
          </cell>
          <cell r="AN22">
            <v>136.63999999999999</v>
          </cell>
          <cell r="AO22">
            <v>4479.0600000000004</v>
          </cell>
          <cell r="AP22">
            <v>1.1966362164988829E-3</v>
          </cell>
          <cell r="AQ22">
            <v>114050.13</v>
          </cell>
          <cell r="AR22">
            <v>3738563.26</v>
          </cell>
          <cell r="AS22">
            <v>0.9988033637835011</v>
          </cell>
          <cell r="AT22">
            <v>136.63999999999999</v>
          </cell>
          <cell r="AU22">
            <v>4479.0600000000004</v>
          </cell>
          <cell r="AV22">
            <v>1.1966362164988829E-3</v>
          </cell>
          <cell r="AW22">
            <v>8024.73</v>
          </cell>
          <cell r="AX22">
            <v>263050.65000000002</v>
          </cell>
          <cell r="AY22">
            <v>7.0277231062672044E-2</v>
          </cell>
          <cell r="AZ22">
            <v>8161.37</v>
          </cell>
          <cell r="BA22">
            <v>267529.71000000002</v>
          </cell>
          <cell r="BB22">
            <v>7.1473867279170933E-2</v>
          </cell>
          <cell r="BC22">
            <v>106025.40000000001</v>
          </cell>
          <cell r="BD22">
            <v>3475512.61</v>
          </cell>
          <cell r="BE22">
            <v>0.92852613272082907</v>
          </cell>
          <cell r="BF22">
            <v>8161.37</v>
          </cell>
          <cell r="BG22">
            <v>267529.71000000002</v>
          </cell>
          <cell r="BH22">
            <v>7.1473867279170933E-2</v>
          </cell>
          <cell r="BI22">
            <v>20860.14</v>
          </cell>
          <cell r="BJ22">
            <v>683795.3899999999</v>
          </cell>
          <cell r="BK22">
            <v>0.18268438653399993</v>
          </cell>
          <cell r="BL22">
            <v>29021.51</v>
          </cell>
          <cell r="BM22">
            <v>951325.1</v>
          </cell>
          <cell r="BN22">
            <v>0.25415825381317086</v>
          </cell>
          <cell r="BO22">
            <v>85165.260000000009</v>
          </cell>
          <cell r="BP22">
            <v>2791717.2199999997</v>
          </cell>
          <cell r="BQ22">
            <v>0.74584174618682919</v>
          </cell>
          <cell r="BR22">
            <v>29021.51</v>
          </cell>
          <cell r="BS22">
            <v>951325.1</v>
          </cell>
          <cell r="BT22">
            <v>0.25415825381317086</v>
          </cell>
          <cell r="BU22">
            <v>957.97</v>
          </cell>
          <cell r="BV22">
            <v>31402.25</v>
          </cell>
          <cell r="BW22">
            <v>8.3894990532727975E-3</v>
          </cell>
          <cell r="BX22">
            <v>29979.48</v>
          </cell>
          <cell r="BY22">
            <v>982727.35</v>
          </cell>
          <cell r="BZ22">
            <v>0.26254775286644366</v>
          </cell>
          <cell r="CA22">
            <v>84207.290000000008</v>
          </cell>
          <cell r="CB22">
            <v>2760314.9699999997</v>
          </cell>
          <cell r="CC22">
            <v>0.73745224713355628</v>
          </cell>
          <cell r="CD22">
            <v>29979.48</v>
          </cell>
          <cell r="CE22">
            <v>982727.35</v>
          </cell>
          <cell r="CF22">
            <v>0.26254775286644366</v>
          </cell>
          <cell r="CG22">
            <v>0</v>
          </cell>
          <cell r="CH22">
            <v>0</v>
          </cell>
          <cell r="CI22">
            <v>0</v>
          </cell>
          <cell r="CJ22">
            <v>29979.48</v>
          </cell>
          <cell r="CK22">
            <v>982727.35</v>
          </cell>
          <cell r="CL22">
            <v>0.26254775286644366</v>
          </cell>
          <cell r="CM22">
            <v>84207.290000000008</v>
          </cell>
          <cell r="CN22">
            <v>2760314.9699999997</v>
          </cell>
          <cell r="CO22">
            <v>0.73745224713355628</v>
          </cell>
          <cell r="CP22">
            <v>29979.48</v>
          </cell>
          <cell r="CQ22">
            <v>982727.35</v>
          </cell>
          <cell r="CR22">
            <v>0.26254775286644366</v>
          </cell>
          <cell r="CS22">
            <v>0</v>
          </cell>
          <cell r="CT22">
            <v>0</v>
          </cell>
          <cell r="CU22">
            <v>0</v>
          </cell>
          <cell r="CV22">
            <v>29979.48</v>
          </cell>
          <cell r="CW22">
            <v>982727.35</v>
          </cell>
          <cell r="CX22">
            <v>0.26254775286644366</v>
          </cell>
          <cell r="CY22">
            <v>84207.290000000008</v>
          </cell>
          <cell r="CZ22">
            <v>2760314.9699999997</v>
          </cell>
          <cell r="DA22">
            <v>0.73745224713355628</v>
          </cell>
          <cell r="DB22">
            <v>29979.48</v>
          </cell>
          <cell r="DC22">
            <v>982727.35</v>
          </cell>
          <cell r="DD22">
            <v>0.26254775286644366</v>
          </cell>
          <cell r="DE22">
            <v>0</v>
          </cell>
          <cell r="DF22">
            <v>0</v>
          </cell>
          <cell r="DG22">
            <v>0</v>
          </cell>
          <cell r="DH22">
            <v>29979.48</v>
          </cell>
          <cell r="DI22">
            <v>982727.35</v>
          </cell>
          <cell r="DJ22">
            <v>0.26254775286644366</v>
          </cell>
          <cell r="DK22">
            <v>84207.290000000008</v>
          </cell>
          <cell r="DL22">
            <v>2760314.9699999997</v>
          </cell>
          <cell r="DM22">
            <v>0.73745224713355628</v>
          </cell>
          <cell r="DN22">
            <v>29979.48</v>
          </cell>
          <cell r="DO22">
            <v>982727.35</v>
          </cell>
          <cell r="DP22">
            <v>0.26254775286644366</v>
          </cell>
          <cell r="DQ22">
            <v>0</v>
          </cell>
          <cell r="DR22">
            <v>0</v>
          </cell>
          <cell r="DS22">
            <v>0</v>
          </cell>
          <cell r="DT22">
            <v>29979.48</v>
          </cell>
          <cell r="DU22">
            <v>982727.35</v>
          </cell>
          <cell r="DV22">
            <v>0.26254775286644366</v>
          </cell>
          <cell r="DW22">
            <v>84207.290000000008</v>
          </cell>
          <cell r="DX22">
            <v>2760314.9699999997</v>
          </cell>
          <cell r="DY22">
            <v>0.73745224713355628</v>
          </cell>
          <cell r="DZ22">
            <v>29979.48</v>
          </cell>
          <cell r="EA22">
            <v>982727.35</v>
          </cell>
          <cell r="EB22">
            <v>0.26254775286644366</v>
          </cell>
          <cell r="ED22">
            <v>0</v>
          </cell>
          <cell r="EE22">
            <v>0</v>
          </cell>
          <cell r="EF22">
            <v>29979.48</v>
          </cell>
          <cell r="EG22">
            <v>982727.35</v>
          </cell>
          <cell r="EH22">
            <v>0.26254775286644366</v>
          </cell>
          <cell r="EI22">
            <v>84207.290000000008</v>
          </cell>
          <cell r="EJ22">
            <v>2760314.9699999997</v>
          </cell>
          <cell r="EK22">
            <v>0.73745224713355628</v>
          </cell>
          <cell r="EL22">
            <v>29979.48</v>
          </cell>
          <cell r="EM22">
            <v>982727.35</v>
          </cell>
          <cell r="EN22">
            <v>0.26254775286644366</v>
          </cell>
          <cell r="EP22">
            <v>0</v>
          </cell>
          <cell r="EQ22">
            <v>0</v>
          </cell>
          <cell r="ER22">
            <v>29979.48</v>
          </cell>
          <cell r="ES22">
            <v>982727.35</v>
          </cell>
          <cell r="ET22">
            <v>0.26254775286644366</v>
          </cell>
          <cell r="EU22">
            <v>84207.290000000008</v>
          </cell>
          <cell r="EV22">
            <v>2760314.9699999997</v>
          </cell>
          <cell r="EW22">
            <v>0.73745224713355628</v>
          </cell>
          <cell r="EX22">
            <v>29979.48</v>
          </cell>
          <cell r="EY22">
            <v>982727.35</v>
          </cell>
          <cell r="EZ22">
            <v>0.26254775286644366</v>
          </cell>
          <cell r="FB22">
            <v>0</v>
          </cell>
          <cell r="FC22">
            <v>0</v>
          </cell>
          <cell r="FD22">
            <v>29979.48</v>
          </cell>
          <cell r="FE22">
            <v>982727.35</v>
          </cell>
          <cell r="FF22">
            <v>0.26254775286644366</v>
          </cell>
          <cell r="FG22">
            <v>84207.290000000008</v>
          </cell>
          <cell r="FH22">
            <v>2760314.9699999997</v>
          </cell>
          <cell r="FI22">
            <v>0.73745224713355628</v>
          </cell>
          <cell r="FJ22">
            <v>29979.48</v>
          </cell>
          <cell r="FK22">
            <v>982727.35</v>
          </cell>
          <cell r="FL22">
            <v>0.26254775286644366</v>
          </cell>
          <cell r="FN22">
            <v>0</v>
          </cell>
          <cell r="FO22">
            <v>0</v>
          </cell>
          <cell r="FP22">
            <v>29979.48</v>
          </cell>
          <cell r="FQ22">
            <v>982727.35</v>
          </cell>
          <cell r="FR22">
            <v>0.26254775286644366</v>
          </cell>
          <cell r="FS22">
            <v>84207.290000000008</v>
          </cell>
          <cell r="FT22">
            <v>2760314.9699999997</v>
          </cell>
          <cell r="FU22">
            <v>0.73745224713355628</v>
          </cell>
          <cell r="FV22">
            <v>29979.48</v>
          </cell>
          <cell r="FW22">
            <v>982727.35</v>
          </cell>
          <cell r="FX22">
            <v>0.26254775286644366</v>
          </cell>
          <cell r="FZ22">
            <v>0</v>
          </cell>
          <cell r="GA22">
            <v>0</v>
          </cell>
          <cell r="GB22">
            <v>29979.48</v>
          </cell>
          <cell r="GC22">
            <v>982727.35</v>
          </cell>
          <cell r="GD22">
            <v>0.26254775286644366</v>
          </cell>
          <cell r="GE22">
            <v>84207.290000000008</v>
          </cell>
          <cell r="GF22">
            <v>2760314.9699999997</v>
          </cell>
          <cell r="GG22">
            <v>0.73745224713355628</v>
          </cell>
        </row>
        <row r="23">
          <cell r="U23">
            <v>18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7242.64</v>
          </cell>
          <cell r="AF23">
            <v>265804.89</v>
          </cell>
          <cell r="AG23">
            <v>1</v>
          </cell>
          <cell r="AH23">
            <v>0</v>
          </cell>
          <cell r="AI23">
            <v>0</v>
          </cell>
          <cell r="AJ23">
            <v>0</v>
          </cell>
          <cell r="AK23">
            <v>170.69</v>
          </cell>
          <cell r="AL23">
            <v>6264.32</v>
          </cell>
          <cell r="AM23">
            <v>2.3567361759221205E-2</v>
          </cell>
          <cell r="AN23">
            <v>170.69</v>
          </cell>
          <cell r="AO23">
            <v>6264.32</v>
          </cell>
          <cell r="AP23">
            <v>2.3567361759221205E-2</v>
          </cell>
          <cell r="AQ23">
            <v>7071.9500000000007</v>
          </cell>
          <cell r="AR23">
            <v>259540.57</v>
          </cell>
          <cell r="AS23">
            <v>0.97643263824077875</v>
          </cell>
          <cell r="AT23">
            <v>170.69</v>
          </cell>
          <cell r="AU23">
            <v>6264.32</v>
          </cell>
          <cell r="AV23">
            <v>2.3567361759221205E-2</v>
          </cell>
          <cell r="AW23">
            <v>2079.12</v>
          </cell>
          <cell r="AX23">
            <v>76303.709999999992</v>
          </cell>
          <cell r="AY23">
            <v>0.28706661491442087</v>
          </cell>
          <cell r="AZ23">
            <v>2249.81</v>
          </cell>
          <cell r="BA23">
            <v>82568.03</v>
          </cell>
          <cell r="BB23">
            <v>0.31063397667364206</v>
          </cell>
          <cell r="BC23">
            <v>4992.83</v>
          </cell>
          <cell r="BD23">
            <v>183236.86000000002</v>
          </cell>
          <cell r="BE23">
            <v>0.68936602332635788</v>
          </cell>
          <cell r="BF23">
            <v>2249.81</v>
          </cell>
          <cell r="BG23">
            <v>82568.03</v>
          </cell>
          <cell r="BH23">
            <v>0.31063397667364206</v>
          </cell>
          <cell r="BI23">
            <v>2933.03</v>
          </cell>
          <cell r="BJ23">
            <v>107642.20000000001</v>
          </cell>
          <cell r="BK23">
            <v>0.40496696655956937</v>
          </cell>
          <cell r="BL23">
            <v>5182.84</v>
          </cell>
          <cell r="BM23">
            <v>190210.23</v>
          </cell>
          <cell r="BN23">
            <v>0.71560094323321144</v>
          </cell>
          <cell r="BO23">
            <v>2059.8000000000002</v>
          </cell>
          <cell r="BP23">
            <v>75594.66</v>
          </cell>
          <cell r="BQ23">
            <v>0.28439905676678856</v>
          </cell>
          <cell r="BR23">
            <v>5182.84</v>
          </cell>
          <cell r="BS23">
            <v>190210.23</v>
          </cell>
          <cell r="BT23">
            <v>0.71560094323321144</v>
          </cell>
          <cell r="BU23">
            <v>2059.8000000000002</v>
          </cell>
          <cell r="BV23">
            <v>75594.66</v>
          </cell>
          <cell r="BW23">
            <v>0.28439905676678856</v>
          </cell>
          <cell r="BX23">
            <v>7242.64</v>
          </cell>
          <cell r="BY23">
            <v>265804.89</v>
          </cell>
          <cell r="BZ23">
            <v>1</v>
          </cell>
          <cell r="CA23">
            <v>0</v>
          </cell>
          <cell r="CB23">
            <v>0</v>
          </cell>
          <cell r="CC23">
            <v>0</v>
          </cell>
          <cell r="CD23">
            <v>7242.64</v>
          </cell>
          <cell r="CE23">
            <v>265804.89</v>
          </cell>
          <cell r="CF23">
            <v>1</v>
          </cell>
          <cell r="CG23">
            <v>0</v>
          </cell>
          <cell r="CH23">
            <v>0</v>
          </cell>
          <cell r="CI23">
            <v>0</v>
          </cell>
          <cell r="CJ23">
            <v>7242.64</v>
          </cell>
          <cell r="CK23">
            <v>265804.89</v>
          </cell>
          <cell r="CL23">
            <v>1</v>
          </cell>
          <cell r="CM23">
            <v>0</v>
          </cell>
          <cell r="CN23">
            <v>0</v>
          </cell>
          <cell r="CO23">
            <v>0</v>
          </cell>
          <cell r="CP23">
            <v>7242.64</v>
          </cell>
          <cell r="CQ23">
            <v>265804.89</v>
          </cell>
          <cell r="CR23">
            <v>1</v>
          </cell>
          <cell r="CS23">
            <v>0</v>
          </cell>
          <cell r="CT23">
            <v>0</v>
          </cell>
          <cell r="CU23">
            <v>0</v>
          </cell>
          <cell r="CV23">
            <v>7242.64</v>
          </cell>
          <cell r="CW23">
            <v>265804.89</v>
          </cell>
          <cell r="CX23">
            <v>1</v>
          </cell>
          <cell r="CY23">
            <v>0</v>
          </cell>
          <cell r="CZ23">
            <v>0</v>
          </cell>
          <cell r="DA23">
            <v>0</v>
          </cell>
          <cell r="DB23">
            <v>7242.64</v>
          </cell>
          <cell r="DC23">
            <v>265804.89</v>
          </cell>
          <cell r="DD23">
            <v>1</v>
          </cell>
          <cell r="DE23">
            <v>0</v>
          </cell>
          <cell r="DF23">
            <v>0</v>
          </cell>
          <cell r="DG23">
            <v>0</v>
          </cell>
          <cell r="DH23">
            <v>7242.64</v>
          </cell>
          <cell r="DI23">
            <v>265804.89</v>
          </cell>
          <cell r="DJ23">
            <v>1</v>
          </cell>
          <cell r="DK23">
            <v>0</v>
          </cell>
          <cell r="DL23">
            <v>0</v>
          </cell>
          <cell r="DM23">
            <v>0</v>
          </cell>
          <cell r="DN23">
            <v>7242.64</v>
          </cell>
          <cell r="DO23">
            <v>265804.89</v>
          </cell>
          <cell r="DP23">
            <v>1</v>
          </cell>
          <cell r="DQ23">
            <v>0</v>
          </cell>
          <cell r="DR23">
            <v>0</v>
          </cell>
          <cell r="DS23">
            <v>0</v>
          </cell>
          <cell r="DT23">
            <v>7242.64</v>
          </cell>
          <cell r="DU23">
            <v>265804.89</v>
          </cell>
          <cell r="DV23">
            <v>1</v>
          </cell>
          <cell r="DW23">
            <v>0</v>
          </cell>
          <cell r="DX23">
            <v>0</v>
          </cell>
          <cell r="DY23">
            <v>0</v>
          </cell>
          <cell r="DZ23">
            <v>7242.64</v>
          </cell>
          <cell r="EA23">
            <v>265804.89</v>
          </cell>
          <cell r="EB23">
            <v>1</v>
          </cell>
          <cell r="ED23">
            <v>0</v>
          </cell>
          <cell r="EE23">
            <v>0</v>
          </cell>
          <cell r="EF23">
            <v>7242.64</v>
          </cell>
          <cell r="EG23">
            <v>265804.89</v>
          </cell>
          <cell r="EH23">
            <v>1</v>
          </cell>
          <cell r="EI23">
            <v>0</v>
          </cell>
          <cell r="EJ23">
            <v>0</v>
          </cell>
          <cell r="EK23">
            <v>0</v>
          </cell>
          <cell r="EL23">
            <v>7242.64</v>
          </cell>
          <cell r="EM23">
            <v>265804.89</v>
          </cell>
          <cell r="EN23">
            <v>1</v>
          </cell>
          <cell r="EP23">
            <v>0</v>
          </cell>
          <cell r="EQ23">
            <v>0</v>
          </cell>
          <cell r="ER23">
            <v>7242.64</v>
          </cell>
          <cell r="ES23">
            <v>265804.89</v>
          </cell>
          <cell r="ET23">
            <v>1</v>
          </cell>
          <cell r="EU23">
            <v>0</v>
          </cell>
          <cell r="EV23">
            <v>0</v>
          </cell>
          <cell r="EW23">
            <v>0</v>
          </cell>
          <cell r="EX23">
            <v>7242.64</v>
          </cell>
          <cell r="EY23">
            <v>265804.89</v>
          </cell>
          <cell r="EZ23">
            <v>1</v>
          </cell>
          <cell r="FB23">
            <v>0</v>
          </cell>
          <cell r="FC23">
            <v>0</v>
          </cell>
          <cell r="FD23">
            <v>7242.64</v>
          </cell>
          <cell r="FE23">
            <v>265804.89</v>
          </cell>
          <cell r="FF23">
            <v>1</v>
          </cell>
          <cell r="FG23">
            <v>0</v>
          </cell>
          <cell r="FH23">
            <v>0</v>
          </cell>
          <cell r="FI23">
            <v>0</v>
          </cell>
          <cell r="FJ23">
            <v>7242.64</v>
          </cell>
          <cell r="FK23">
            <v>265804.89</v>
          </cell>
          <cell r="FL23">
            <v>1</v>
          </cell>
          <cell r="FN23">
            <v>0</v>
          </cell>
          <cell r="FO23">
            <v>0</v>
          </cell>
          <cell r="FP23">
            <v>7242.64</v>
          </cell>
          <cell r="FQ23">
            <v>265804.89</v>
          </cell>
          <cell r="FR23">
            <v>1</v>
          </cell>
          <cell r="FS23">
            <v>0</v>
          </cell>
          <cell r="FT23">
            <v>0</v>
          </cell>
          <cell r="FU23">
            <v>0</v>
          </cell>
          <cell r="FV23">
            <v>7242.64</v>
          </cell>
          <cell r="FW23">
            <v>265804.89</v>
          </cell>
          <cell r="FX23">
            <v>1</v>
          </cell>
          <cell r="FZ23">
            <v>0</v>
          </cell>
          <cell r="GA23">
            <v>0</v>
          </cell>
          <cell r="GB23">
            <v>7242.64</v>
          </cell>
          <cell r="GC23">
            <v>265804.89</v>
          </cell>
          <cell r="GD23">
            <v>1</v>
          </cell>
          <cell r="GE23">
            <v>0</v>
          </cell>
          <cell r="GF23">
            <v>0</v>
          </cell>
          <cell r="GG23">
            <v>0</v>
          </cell>
        </row>
        <row r="24">
          <cell r="U24">
            <v>19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137164.16</v>
          </cell>
          <cell r="AF24">
            <v>1761187.81</v>
          </cell>
          <cell r="AG24">
            <v>1</v>
          </cell>
          <cell r="AH24">
            <v>0</v>
          </cell>
          <cell r="AI24">
            <v>0</v>
          </cell>
          <cell r="AJ24">
            <v>0</v>
          </cell>
          <cell r="AK24">
            <v>247.63</v>
          </cell>
          <cell r="AL24">
            <v>3179.57</v>
          </cell>
          <cell r="AM24">
            <v>1.8053554436082543E-3</v>
          </cell>
          <cell r="AN24">
            <v>247.63</v>
          </cell>
          <cell r="AO24">
            <v>3179.57</v>
          </cell>
          <cell r="AP24">
            <v>1.8053554436082543E-3</v>
          </cell>
          <cell r="AQ24">
            <v>136916.53</v>
          </cell>
          <cell r="AR24">
            <v>1758008.24</v>
          </cell>
          <cell r="AS24">
            <v>0.99819464455639173</v>
          </cell>
          <cell r="AT24">
            <v>247.63</v>
          </cell>
          <cell r="AU24">
            <v>3179.57</v>
          </cell>
          <cell r="AV24">
            <v>1.8053554436082543E-3</v>
          </cell>
          <cell r="AW24">
            <v>7476.15</v>
          </cell>
          <cell r="AX24">
            <v>95993.76999999999</v>
          </cell>
          <cell r="AY24">
            <v>5.4505129694260142E-2</v>
          </cell>
          <cell r="AZ24">
            <v>7723.78</v>
          </cell>
          <cell r="BA24">
            <v>99173.34</v>
          </cell>
          <cell r="BB24">
            <v>5.6310485137868398E-2</v>
          </cell>
          <cell r="BC24">
            <v>129440.38</v>
          </cell>
          <cell r="BD24">
            <v>1662014.47</v>
          </cell>
          <cell r="BE24">
            <v>0.9436895148621316</v>
          </cell>
          <cell r="BF24">
            <v>7723.78</v>
          </cell>
          <cell r="BG24">
            <v>99173.34</v>
          </cell>
          <cell r="BH24">
            <v>5.6310485137868398E-2</v>
          </cell>
          <cell r="BI24">
            <v>13003.38</v>
          </cell>
          <cell r="BJ24">
            <v>166963.38999999998</v>
          </cell>
          <cell r="BK24">
            <v>9.4801581666636658E-2</v>
          </cell>
          <cell r="BL24">
            <v>20727.16</v>
          </cell>
          <cell r="BM24">
            <v>266136.73</v>
          </cell>
          <cell r="BN24">
            <v>0.15111206680450506</v>
          </cell>
          <cell r="BO24">
            <v>116437</v>
          </cell>
          <cell r="BP24">
            <v>1495051.08</v>
          </cell>
          <cell r="BQ24">
            <v>0.84888793319549494</v>
          </cell>
          <cell r="BR24">
            <v>20727.16</v>
          </cell>
          <cell r="BS24">
            <v>266136.73</v>
          </cell>
          <cell r="BT24">
            <v>0.15111206680450506</v>
          </cell>
          <cell r="BU24">
            <v>10113.82</v>
          </cell>
          <cell r="BV24">
            <v>129861.45000000001</v>
          </cell>
          <cell r="BW24">
            <v>7.373515150550583E-2</v>
          </cell>
          <cell r="BX24">
            <v>30840.98</v>
          </cell>
          <cell r="BY24">
            <v>395998.18</v>
          </cell>
          <cell r="BZ24">
            <v>0.22484721831001089</v>
          </cell>
          <cell r="CA24">
            <v>106323.18000000001</v>
          </cell>
          <cell r="CB24">
            <v>1365189.6300000001</v>
          </cell>
          <cell r="CC24">
            <v>0.77515278168998913</v>
          </cell>
          <cell r="CD24">
            <v>30840.98</v>
          </cell>
          <cell r="CE24">
            <v>395998.18</v>
          </cell>
          <cell r="CF24">
            <v>0.22484721831001089</v>
          </cell>
          <cell r="CG24">
            <v>0</v>
          </cell>
          <cell r="CH24">
            <v>0</v>
          </cell>
          <cell r="CI24">
            <v>0</v>
          </cell>
          <cell r="CJ24">
            <v>30840.98</v>
          </cell>
          <cell r="CK24">
            <v>395998.18</v>
          </cell>
          <cell r="CL24">
            <v>0.22484721831001089</v>
          </cell>
          <cell r="CM24">
            <v>106323.18000000001</v>
          </cell>
          <cell r="CN24">
            <v>1365189.6300000001</v>
          </cell>
          <cell r="CO24">
            <v>0.77515278168998913</v>
          </cell>
          <cell r="CP24">
            <v>30840.98</v>
          </cell>
          <cell r="CQ24">
            <v>395998.18</v>
          </cell>
          <cell r="CR24">
            <v>0.22484721831001089</v>
          </cell>
          <cell r="CS24">
            <v>0</v>
          </cell>
          <cell r="CT24">
            <v>0</v>
          </cell>
          <cell r="CU24">
            <v>0</v>
          </cell>
          <cell r="CV24">
            <v>30840.98</v>
          </cell>
          <cell r="CW24">
            <v>395998.18</v>
          </cell>
          <cell r="CX24">
            <v>0.22484721831001089</v>
          </cell>
          <cell r="CY24">
            <v>106323.18000000001</v>
          </cell>
          <cell r="CZ24">
            <v>1365189.6300000001</v>
          </cell>
          <cell r="DA24">
            <v>0.77515278168998913</v>
          </cell>
          <cell r="DB24">
            <v>30840.98</v>
          </cell>
          <cell r="DC24">
            <v>395998.18</v>
          </cell>
          <cell r="DD24">
            <v>0.22484721831001089</v>
          </cell>
          <cell r="DE24">
            <v>0</v>
          </cell>
          <cell r="DF24">
            <v>0</v>
          </cell>
          <cell r="DG24">
            <v>0</v>
          </cell>
          <cell r="DH24">
            <v>30840.98</v>
          </cell>
          <cell r="DI24">
            <v>395998.18</v>
          </cell>
          <cell r="DJ24">
            <v>0.22484721831001089</v>
          </cell>
          <cell r="DK24">
            <v>106323.18000000001</v>
          </cell>
          <cell r="DL24">
            <v>1365189.6300000001</v>
          </cell>
          <cell r="DM24">
            <v>0.77515278168998913</v>
          </cell>
          <cell r="DN24">
            <v>30840.98</v>
          </cell>
          <cell r="DO24">
            <v>395998.18</v>
          </cell>
          <cell r="DP24">
            <v>0.22484721831001089</v>
          </cell>
          <cell r="DQ24">
            <v>0</v>
          </cell>
          <cell r="DR24">
            <v>0</v>
          </cell>
          <cell r="DS24">
            <v>0</v>
          </cell>
          <cell r="DT24">
            <v>30840.98</v>
          </cell>
          <cell r="DU24">
            <v>395998.18</v>
          </cell>
          <cell r="DV24">
            <v>0.22484721831001089</v>
          </cell>
          <cell r="DW24">
            <v>106323.18000000001</v>
          </cell>
          <cell r="DX24">
            <v>1365189.6300000001</v>
          </cell>
          <cell r="DY24">
            <v>0.77515278168998913</v>
          </cell>
          <cell r="DZ24">
            <v>30840.98</v>
          </cell>
          <cell r="EA24">
            <v>395998.18</v>
          </cell>
          <cell r="EB24">
            <v>0.22484721831001089</v>
          </cell>
          <cell r="ED24">
            <v>0</v>
          </cell>
          <cell r="EE24">
            <v>0</v>
          </cell>
          <cell r="EF24">
            <v>30840.98</v>
          </cell>
          <cell r="EG24">
            <v>395998.18</v>
          </cell>
          <cell r="EH24">
            <v>0.22484721831001089</v>
          </cell>
          <cell r="EI24">
            <v>106323.18000000001</v>
          </cell>
          <cell r="EJ24">
            <v>1365189.6300000001</v>
          </cell>
          <cell r="EK24">
            <v>0.77515278168998913</v>
          </cell>
          <cell r="EL24">
            <v>30840.98</v>
          </cell>
          <cell r="EM24">
            <v>395998.18</v>
          </cell>
          <cell r="EN24">
            <v>0.22484721831001089</v>
          </cell>
          <cell r="EP24">
            <v>0</v>
          </cell>
          <cell r="EQ24">
            <v>0</v>
          </cell>
          <cell r="ER24">
            <v>30840.98</v>
          </cell>
          <cell r="ES24">
            <v>395998.18</v>
          </cell>
          <cell r="ET24">
            <v>0.22484721831001089</v>
          </cell>
          <cell r="EU24">
            <v>106323.18000000001</v>
          </cell>
          <cell r="EV24">
            <v>1365189.6300000001</v>
          </cell>
          <cell r="EW24">
            <v>0.77515278168998913</v>
          </cell>
          <cell r="EX24">
            <v>30840.98</v>
          </cell>
          <cell r="EY24">
            <v>395998.18</v>
          </cell>
          <cell r="EZ24">
            <v>0.22484721831001089</v>
          </cell>
          <cell r="FB24">
            <v>0</v>
          </cell>
          <cell r="FC24">
            <v>0</v>
          </cell>
          <cell r="FD24">
            <v>30840.98</v>
          </cell>
          <cell r="FE24">
            <v>395998.18</v>
          </cell>
          <cell r="FF24">
            <v>0.22484721831001089</v>
          </cell>
          <cell r="FG24">
            <v>106323.18000000001</v>
          </cell>
          <cell r="FH24">
            <v>1365189.6300000001</v>
          </cell>
          <cell r="FI24">
            <v>0.77515278168998913</v>
          </cell>
          <cell r="FJ24">
            <v>30840.98</v>
          </cell>
          <cell r="FK24">
            <v>395998.18</v>
          </cell>
          <cell r="FL24">
            <v>0.22484721831001089</v>
          </cell>
          <cell r="FN24">
            <v>0</v>
          </cell>
          <cell r="FO24">
            <v>0</v>
          </cell>
          <cell r="FP24">
            <v>30840.98</v>
          </cell>
          <cell r="FQ24">
            <v>395998.18</v>
          </cell>
          <cell r="FR24">
            <v>0.22484721831001089</v>
          </cell>
          <cell r="FS24">
            <v>106323.18000000001</v>
          </cell>
          <cell r="FT24">
            <v>1365189.6300000001</v>
          </cell>
          <cell r="FU24">
            <v>0.77515278168998913</v>
          </cell>
          <cell r="FV24">
            <v>30840.98</v>
          </cell>
          <cell r="FW24">
            <v>395998.18</v>
          </cell>
          <cell r="FX24">
            <v>0.22484721831001089</v>
          </cell>
          <cell r="FZ24">
            <v>0</v>
          </cell>
          <cell r="GA24">
            <v>0</v>
          </cell>
          <cell r="GB24">
            <v>30840.98</v>
          </cell>
          <cell r="GC24">
            <v>395998.18</v>
          </cell>
          <cell r="GD24">
            <v>0.22484721831001089</v>
          </cell>
          <cell r="GE24">
            <v>106323.18000000001</v>
          </cell>
          <cell r="GF24">
            <v>1365189.6300000001</v>
          </cell>
          <cell r="GG24">
            <v>0.77515278168998913</v>
          </cell>
        </row>
        <row r="25">
          <cell r="U25">
            <v>20</v>
          </cell>
          <cell r="W25">
            <v>0</v>
          </cell>
          <cell r="X25">
            <v>0</v>
          </cell>
          <cell r="Z25">
            <v>0</v>
          </cell>
          <cell r="AA25">
            <v>0</v>
          </cell>
          <cell r="AC25">
            <v>0</v>
          </cell>
          <cell r="AD25">
            <v>0</v>
          </cell>
          <cell r="AF25">
            <v>24601742.109999996</v>
          </cell>
          <cell r="AG25">
            <v>1</v>
          </cell>
          <cell r="AI25">
            <v>0</v>
          </cell>
          <cell r="AJ25">
            <v>0</v>
          </cell>
          <cell r="AL25">
            <v>0</v>
          </cell>
          <cell r="AM25">
            <v>0</v>
          </cell>
          <cell r="AO25">
            <v>0</v>
          </cell>
          <cell r="AP25">
            <v>0</v>
          </cell>
          <cell r="AR25">
            <v>24601742.109999996</v>
          </cell>
          <cell r="AS25">
            <v>1</v>
          </cell>
          <cell r="AU25">
            <v>0</v>
          </cell>
          <cell r="AV25">
            <v>0</v>
          </cell>
          <cell r="AX25">
            <v>117740.51</v>
          </cell>
          <cell r="AY25">
            <v>4.7858606709051477E-3</v>
          </cell>
          <cell r="BA25">
            <v>117740.51</v>
          </cell>
          <cell r="BB25">
            <v>4.7858606709051477E-3</v>
          </cell>
          <cell r="BD25">
            <v>24484001.599999994</v>
          </cell>
          <cell r="BE25">
            <v>0.99521413932909486</v>
          </cell>
          <cell r="BG25">
            <v>117740.51</v>
          </cell>
          <cell r="BH25">
            <v>4.7858606709051477E-3</v>
          </cell>
          <cell r="BJ25">
            <v>803555.15000000014</v>
          </cell>
          <cell r="BK25">
            <v>3.2662530417850978E-2</v>
          </cell>
          <cell r="BM25">
            <v>921295.66000000015</v>
          </cell>
          <cell r="BN25">
            <v>3.7448391088756125E-2</v>
          </cell>
          <cell r="BP25">
            <v>23680446.449999996</v>
          </cell>
          <cell r="BQ25">
            <v>0.96255160891124392</v>
          </cell>
          <cell r="BS25">
            <v>921295.66000000015</v>
          </cell>
          <cell r="BT25">
            <v>3.7448391088756125E-2</v>
          </cell>
          <cell r="BV25">
            <v>2016791.0300000003</v>
          </cell>
          <cell r="BW25">
            <v>8.1977569758371907E-2</v>
          </cell>
          <cell r="BY25">
            <v>2938086.6900000004</v>
          </cell>
          <cell r="BZ25">
            <v>0.11942596084712803</v>
          </cell>
          <cell r="CB25">
            <v>21663655.419999994</v>
          </cell>
          <cell r="CC25">
            <v>0.88057403915287202</v>
          </cell>
          <cell r="CE25">
            <v>2938086.6900000004</v>
          </cell>
          <cell r="CF25">
            <v>0.11942596084712803</v>
          </cell>
          <cell r="CH25">
            <v>0</v>
          </cell>
          <cell r="CI25">
            <v>0</v>
          </cell>
          <cell r="CK25">
            <v>2938086.6900000004</v>
          </cell>
          <cell r="CL25">
            <v>0.11942596084712803</v>
          </cell>
          <cell r="CN25">
            <v>21663655.419999994</v>
          </cell>
          <cell r="CO25">
            <v>0.88057403915287202</v>
          </cell>
          <cell r="CQ25">
            <v>2938086.6900000004</v>
          </cell>
          <cell r="CR25">
            <v>0.11942596084712803</v>
          </cell>
          <cell r="CT25">
            <v>0</v>
          </cell>
          <cell r="CU25">
            <v>0</v>
          </cell>
          <cell r="CW25">
            <v>2938086.6900000004</v>
          </cell>
          <cell r="CX25">
            <v>0.11942596084712803</v>
          </cell>
          <cell r="CZ25">
            <v>21663655.419999994</v>
          </cell>
          <cell r="DA25">
            <v>0.88057403915287202</v>
          </cell>
          <cell r="DC25">
            <v>2938086.6900000004</v>
          </cell>
          <cell r="DD25">
            <v>0.11942596084712803</v>
          </cell>
          <cell r="DF25">
            <v>0</v>
          </cell>
          <cell r="DG25">
            <v>0</v>
          </cell>
          <cell r="DI25">
            <v>2938086.6900000004</v>
          </cell>
          <cell r="DJ25">
            <v>0.11942596084712803</v>
          </cell>
          <cell r="DL25">
            <v>21663655.419999994</v>
          </cell>
          <cell r="DM25">
            <v>0.88057403915287202</v>
          </cell>
          <cell r="DO25">
            <v>2938086.6900000004</v>
          </cell>
          <cell r="DP25">
            <v>0.11942596084712803</v>
          </cell>
          <cell r="DR25">
            <v>0</v>
          </cell>
          <cell r="DS25">
            <v>0</v>
          </cell>
          <cell r="DU25">
            <v>2938086.6900000004</v>
          </cell>
          <cell r="DV25">
            <v>0.11942596084712803</v>
          </cell>
          <cell r="DX25">
            <v>21663655.419999994</v>
          </cell>
          <cell r="DY25">
            <v>0.88057403915287202</v>
          </cell>
          <cell r="EA25">
            <v>2938086.6900000004</v>
          </cell>
          <cell r="EB25">
            <v>0.11942596084712803</v>
          </cell>
          <cell r="ED25">
            <v>0</v>
          </cell>
          <cell r="EE25">
            <v>0</v>
          </cell>
          <cell r="EG25">
            <v>2938086.6900000004</v>
          </cell>
          <cell r="EH25">
            <v>0.11942596084712803</v>
          </cell>
          <cell r="EJ25">
            <v>21663655.419999994</v>
          </cell>
          <cell r="EK25">
            <v>0.88057403915287202</v>
          </cell>
          <cell r="EM25">
            <v>2938086.6900000004</v>
          </cell>
          <cell r="EN25">
            <v>0.11942596084712803</v>
          </cell>
          <cell r="EP25">
            <v>0</v>
          </cell>
          <cell r="EQ25">
            <v>0</v>
          </cell>
          <cell r="ES25">
            <v>2938086.6900000004</v>
          </cell>
          <cell r="ET25">
            <v>0.11942596084712803</v>
          </cell>
          <cell r="EV25">
            <v>21663655.419999994</v>
          </cell>
          <cell r="EW25">
            <v>0.88057403915287202</v>
          </cell>
          <cell r="EY25">
            <v>2938086.6900000004</v>
          </cell>
          <cell r="EZ25">
            <v>0.11942596084712803</v>
          </cell>
          <cell r="FB25">
            <v>0</v>
          </cell>
          <cell r="FC25">
            <v>0</v>
          </cell>
          <cell r="FE25">
            <v>2938086.6900000004</v>
          </cell>
          <cell r="FF25">
            <v>0.11942596084712803</v>
          </cell>
          <cell r="FH25">
            <v>21663655.419999994</v>
          </cell>
          <cell r="FI25">
            <v>0.88057403915287202</v>
          </cell>
          <cell r="FK25">
            <v>2938086.6900000004</v>
          </cell>
          <cell r="FL25">
            <v>0.11942596084712803</v>
          </cell>
          <cell r="FN25">
            <v>0</v>
          </cell>
          <cell r="FO25">
            <v>0</v>
          </cell>
          <cell r="FQ25">
            <v>2938086.6900000004</v>
          </cell>
          <cell r="FR25">
            <v>0.11942596084712803</v>
          </cell>
          <cell r="FT25">
            <v>21663655.419999994</v>
          </cell>
          <cell r="FU25">
            <v>0.88057403915287202</v>
          </cell>
          <cell r="FW25">
            <v>2938086.6900000004</v>
          </cell>
          <cell r="FX25">
            <v>0.11942596084712803</v>
          </cell>
          <cell r="FZ25">
            <v>0</v>
          </cell>
          <cell r="GA25">
            <v>0</v>
          </cell>
          <cell r="GC25">
            <v>2938086.6900000004</v>
          </cell>
          <cell r="GD25">
            <v>0.11942596084712803</v>
          </cell>
          <cell r="GF25">
            <v>21663655.419999994</v>
          </cell>
          <cell r="GG25">
            <v>0.88057403915287202</v>
          </cell>
        </row>
        <row r="26">
          <cell r="U26">
            <v>21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772824.05</v>
          </cell>
          <cell r="AF26">
            <v>548705.07999999996</v>
          </cell>
          <cell r="AG26">
            <v>1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772824.05</v>
          </cell>
          <cell r="AR26">
            <v>548705.07999999996</v>
          </cell>
          <cell r="AS26">
            <v>1</v>
          </cell>
          <cell r="AT26">
            <v>0</v>
          </cell>
          <cell r="AU26">
            <v>0</v>
          </cell>
          <cell r="AV26">
            <v>0</v>
          </cell>
          <cell r="AW26">
            <v>49382.43</v>
          </cell>
          <cell r="AX26">
            <v>35061.53</v>
          </cell>
          <cell r="AY26">
            <v>6.3898679414449752E-2</v>
          </cell>
          <cell r="AZ26">
            <v>49382.43</v>
          </cell>
          <cell r="BA26">
            <v>35061.53</v>
          </cell>
          <cell r="BB26">
            <v>6.3898679414449752E-2</v>
          </cell>
          <cell r="BC26">
            <v>723441.62</v>
          </cell>
          <cell r="BD26">
            <v>513643.54999999993</v>
          </cell>
          <cell r="BE26">
            <v>0.93610132058555029</v>
          </cell>
          <cell r="BF26">
            <v>49382.43</v>
          </cell>
          <cell r="BG26">
            <v>35061.53</v>
          </cell>
          <cell r="BH26">
            <v>6.3898679414449752E-2</v>
          </cell>
          <cell r="BI26">
            <v>31914.639999999999</v>
          </cell>
          <cell r="BJ26">
            <v>22659.39</v>
          </cell>
          <cell r="BK26">
            <v>4.1296118490464856E-2</v>
          </cell>
          <cell r="BL26">
            <v>81297.070000000007</v>
          </cell>
          <cell r="BM26">
            <v>57720.92</v>
          </cell>
          <cell r="BN26">
            <v>0.10519479790491461</v>
          </cell>
          <cell r="BO26">
            <v>691526.98</v>
          </cell>
          <cell r="BP26">
            <v>490984.16</v>
          </cell>
          <cell r="BQ26">
            <v>0.89480520209508541</v>
          </cell>
          <cell r="BR26">
            <v>81297.070000000007</v>
          </cell>
          <cell r="BS26">
            <v>57720.92</v>
          </cell>
          <cell r="BT26">
            <v>0.10519479790491461</v>
          </cell>
          <cell r="BU26">
            <v>65299.23</v>
          </cell>
          <cell r="BV26">
            <v>46362.45</v>
          </cell>
          <cell r="BW26">
            <v>8.44942970092422E-2</v>
          </cell>
          <cell r="BX26">
            <v>146596.30000000002</v>
          </cell>
          <cell r="BY26">
            <v>104083.37</v>
          </cell>
          <cell r="BZ26">
            <v>0.18968909491415681</v>
          </cell>
          <cell r="CA26">
            <v>626227.75</v>
          </cell>
          <cell r="CB26">
            <v>444621.70999999996</v>
          </cell>
          <cell r="CC26">
            <v>0.81031090508584325</v>
          </cell>
          <cell r="CD26">
            <v>146596.30000000002</v>
          </cell>
          <cell r="CE26">
            <v>104083.37</v>
          </cell>
          <cell r="CF26">
            <v>0.18968909491415681</v>
          </cell>
          <cell r="CG26">
            <v>0</v>
          </cell>
          <cell r="CH26">
            <v>0</v>
          </cell>
          <cell r="CI26">
            <v>0</v>
          </cell>
          <cell r="CJ26">
            <v>146596.30000000002</v>
          </cell>
          <cell r="CK26">
            <v>104083.37</v>
          </cell>
          <cell r="CL26">
            <v>0.18968909491415681</v>
          </cell>
          <cell r="CM26">
            <v>626227.75</v>
          </cell>
          <cell r="CN26">
            <v>444621.70999999996</v>
          </cell>
          <cell r="CO26">
            <v>0.81031090508584325</v>
          </cell>
          <cell r="CP26">
            <v>146596.30000000002</v>
          </cell>
          <cell r="CQ26">
            <v>104083.37</v>
          </cell>
          <cell r="CR26">
            <v>0.18968909491415681</v>
          </cell>
          <cell r="CS26">
            <v>0</v>
          </cell>
          <cell r="CT26">
            <v>0</v>
          </cell>
          <cell r="CU26">
            <v>0</v>
          </cell>
          <cell r="CV26">
            <v>146596.30000000002</v>
          </cell>
          <cell r="CW26">
            <v>104083.37</v>
          </cell>
          <cell r="CX26">
            <v>0.18968909491415681</v>
          </cell>
          <cell r="CY26">
            <v>626227.75</v>
          </cell>
          <cell r="CZ26">
            <v>444621.70999999996</v>
          </cell>
          <cell r="DA26">
            <v>0.81031090508584325</v>
          </cell>
          <cell r="DB26">
            <v>146596.30000000002</v>
          </cell>
          <cell r="DC26">
            <v>104083.37</v>
          </cell>
          <cell r="DD26">
            <v>0.18968909491415681</v>
          </cell>
          <cell r="DE26">
            <v>0</v>
          </cell>
          <cell r="DF26">
            <v>0</v>
          </cell>
          <cell r="DG26">
            <v>0</v>
          </cell>
          <cell r="DH26">
            <v>146596.30000000002</v>
          </cell>
          <cell r="DI26">
            <v>104083.37</v>
          </cell>
          <cell r="DJ26">
            <v>0.18968909491415681</v>
          </cell>
          <cell r="DK26">
            <v>626227.75</v>
          </cell>
          <cell r="DL26">
            <v>444621.70999999996</v>
          </cell>
          <cell r="DM26">
            <v>0.81031090508584325</v>
          </cell>
          <cell r="DN26">
            <v>146596.30000000002</v>
          </cell>
          <cell r="DO26">
            <v>104083.37</v>
          </cell>
          <cell r="DP26">
            <v>0.18968909491415681</v>
          </cell>
          <cell r="DQ26">
            <v>0</v>
          </cell>
          <cell r="DR26">
            <v>0</v>
          </cell>
          <cell r="DS26">
            <v>0</v>
          </cell>
          <cell r="DT26">
            <v>146596.30000000002</v>
          </cell>
          <cell r="DU26">
            <v>104083.37</v>
          </cell>
          <cell r="DV26">
            <v>0.18968909491415681</v>
          </cell>
          <cell r="DW26">
            <v>626227.75</v>
          </cell>
          <cell r="DX26">
            <v>444621.70999999996</v>
          </cell>
          <cell r="DY26">
            <v>0.81031090508584325</v>
          </cell>
          <cell r="DZ26">
            <v>146596.30000000002</v>
          </cell>
          <cell r="EA26">
            <v>104083.37</v>
          </cell>
          <cell r="EB26">
            <v>0.18968909491415681</v>
          </cell>
          <cell r="ED26">
            <v>0</v>
          </cell>
          <cell r="EE26">
            <v>0</v>
          </cell>
          <cell r="EF26">
            <v>146596.30000000002</v>
          </cell>
          <cell r="EG26">
            <v>104083.37</v>
          </cell>
          <cell r="EH26">
            <v>0.18968909491415681</v>
          </cell>
          <cell r="EI26">
            <v>626227.75</v>
          </cell>
          <cell r="EJ26">
            <v>444621.70999999996</v>
          </cell>
          <cell r="EK26">
            <v>0.81031090508584325</v>
          </cell>
          <cell r="EL26">
            <v>146596.30000000002</v>
          </cell>
          <cell r="EM26">
            <v>104083.37</v>
          </cell>
          <cell r="EN26">
            <v>0.18968909491415681</v>
          </cell>
          <cell r="EP26">
            <v>0</v>
          </cell>
          <cell r="EQ26">
            <v>0</v>
          </cell>
          <cell r="ER26">
            <v>146596.30000000002</v>
          </cell>
          <cell r="ES26">
            <v>104083.37</v>
          </cell>
          <cell r="ET26">
            <v>0.18968909491415681</v>
          </cell>
          <cell r="EU26">
            <v>626227.75</v>
          </cell>
          <cell r="EV26">
            <v>444621.70999999996</v>
          </cell>
          <cell r="EW26">
            <v>0.81031090508584325</v>
          </cell>
          <cell r="EX26">
            <v>146596.30000000002</v>
          </cell>
          <cell r="EY26">
            <v>104083.37</v>
          </cell>
          <cell r="EZ26">
            <v>0.18968909491415681</v>
          </cell>
          <cell r="FB26">
            <v>0</v>
          </cell>
          <cell r="FC26">
            <v>0</v>
          </cell>
          <cell r="FD26">
            <v>146596.30000000002</v>
          </cell>
          <cell r="FE26">
            <v>104083.37</v>
          </cell>
          <cell r="FF26">
            <v>0.18968909491415681</v>
          </cell>
          <cell r="FG26">
            <v>626227.75</v>
          </cell>
          <cell r="FH26">
            <v>444621.70999999996</v>
          </cell>
          <cell r="FI26">
            <v>0.81031090508584325</v>
          </cell>
          <cell r="FJ26">
            <v>146596.30000000002</v>
          </cell>
          <cell r="FK26">
            <v>104083.37</v>
          </cell>
          <cell r="FL26">
            <v>0.18968909491415681</v>
          </cell>
          <cell r="FN26">
            <v>0</v>
          </cell>
          <cell r="FO26">
            <v>0</v>
          </cell>
          <cell r="FP26">
            <v>146596.30000000002</v>
          </cell>
          <cell r="FQ26">
            <v>104083.37</v>
          </cell>
          <cell r="FR26">
            <v>0.18968909491415681</v>
          </cell>
          <cell r="FS26">
            <v>626227.75</v>
          </cell>
          <cell r="FT26">
            <v>444621.70999999996</v>
          </cell>
          <cell r="FU26">
            <v>0.81031090508584325</v>
          </cell>
          <cell r="FV26">
            <v>146596.30000000002</v>
          </cell>
          <cell r="FW26">
            <v>104083.37</v>
          </cell>
          <cell r="FX26">
            <v>0.18968909491415681</v>
          </cell>
          <cell r="FZ26">
            <v>0</v>
          </cell>
          <cell r="GA26">
            <v>0</v>
          </cell>
          <cell r="GB26">
            <v>146596.30000000002</v>
          </cell>
          <cell r="GC26">
            <v>104083.37</v>
          </cell>
          <cell r="GD26">
            <v>0.18968909491415681</v>
          </cell>
          <cell r="GE26">
            <v>626227.75</v>
          </cell>
          <cell r="GF26">
            <v>444621.70999999996</v>
          </cell>
          <cell r="GG26">
            <v>0.81031090508584325</v>
          </cell>
        </row>
        <row r="27">
          <cell r="U27">
            <v>22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660960.82999999996</v>
          </cell>
          <cell r="AF27">
            <v>449453.36</v>
          </cell>
          <cell r="AG27">
            <v>1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660960.82999999996</v>
          </cell>
          <cell r="AR27">
            <v>449453.36</v>
          </cell>
          <cell r="AS27">
            <v>1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660960.82999999996</v>
          </cell>
          <cell r="BD27">
            <v>449453.36</v>
          </cell>
          <cell r="BE27">
            <v>1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660960.82999999996</v>
          </cell>
          <cell r="BP27">
            <v>449453.36</v>
          </cell>
          <cell r="BQ27">
            <v>1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660960.82999999996</v>
          </cell>
          <cell r="CB27">
            <v>449453.36</v>
          </cell>
          <cell r="CC27">
            <v>1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660960.82999999996</v>
          </cell>
          <cell r="CN27">
            <v>449453.36</v>
          </cell>
          <cell r="CO27">
            <v>1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660960.82999999996</v>
          </cell>
          <cell r="CZ27">
            <v>449453.36</v>
          </cell>
          <cell r="DA27">
            <v>1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660960.82999999996</v>
          </cell>
          <cell r="DL27">
            <v>449453.36</v>
          </cell>
          <cell r="DM27">
            <v>1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660960.82999999996</v>
          </cell>
          <cell r="DX27">
            <v>449453.36</v>
          </cell>
          <cell r="DY27">
            <v>1</v>
          </cell>
          <cell r="DZ27">
            <v>0</v>
          </cell>
          <cell r="EA27">
            <v>0</v>
          </cell>
          <cell r="EB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660960.82999999996</v>
          </cell>
          <cell r="EJ27">
            <v>449453.36</v>
          </cell>
          <cell r="EK27">
            <v>1</v>
          </cell>
          <cell r="EL27">
            <v>0</v>
          </cell>
          <cell r="EM27">
            <v>0</v>
          </cell>
          <cell r="EN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660960.82999999996</v>
          </cell>
          <cell r="EV27">
            <v>449453.36</v>
          </cell>
          <cell r="EW27">
            <v>1</v>
          </cell>
          <cell r="EX27">
            <v>0</v>
          </cell>
          <cell r="EY27">
            <v>0</v>
          </cell>
          <cell r="EZ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660960.82999999996</v>
          </cell>
          <cell r="FH27">
            <v>449453.36</v>
          </cell>
          <cell r="FI27">
            <v>1</v>
          </cell>
          <cell r="FJ27">
            <v>0</v>
          </cell>
          <cell r="FK27">
            <v>0</v>
          </cell>
          <cell r="FL27">
            <v>0</v>
          </cell>
          <cell r="FN27">
            <v>0</v>
          </cell>
          <cell r="FO27">
            <v>0</v>
          </cell>
          <cell r="FP27">
            <v>0</v>
          </cell>
          <cell r="FQ27">
            <v>0</v>
          </cell>
          <cell r="FR27">
            <v>0</v>
          </cell>
          <cell r="FS27">
            <v>660960.82999999996</v>
          </cell>
          <cell r="FT27">
            <v>449453.36</v>
          </cell>
          <cell r="FU27">
            <v>1</v>
          </cell>
          <cell r="FV27">
            <v>0</v>
          </cell>
          <cell r="FW27">
            <v>0</v>
          </cell>
          <cell r="FX27">
            <v>0</v>
          </cell>
          <cell r="FZ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660960.82999999996</v>
          </cell>
          <cell r="GF27">
            <v>449453.36</v>
          </cell>
          <cell r="GG27">
            <v>1</v>
          </cell>
        </row>
        <row r="28">
          <cell r="U28">
            <v>23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58225.84</v>
          </cell>
          <cell r="AF28">
            <v>7817983.54</v>
          </cell>
          <cell r="AG28">
            <v>1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58225.84</v>
          </cell>
          <cell r="AR28">
            <v>7817983.54</v>
          </cell>
          <cell r="AS28">
            <v>1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58225.84</v>
          </cell>
          <cell r="BD28">
            <v>7817983.54</v>
          </cell>
          <cell r="BE28">
            <v>1</v>
          </cell>
          <cell r="BF28">
            <v>0</v>
          </cell>
          <cell r="BG28">
            <v>0</v>
          </cell>
          <cell r="BH28">
            <v>0</v>
          </cell>
          <cell r="BI28">
            <v>1941.81</v>
          </cell>
          <cell r="BJ28">
            <v>260726.83</v>
          </cell>
          <cell r="BK28">
            <v>3.3349626366698644E-2</v>
          </cell>
          <cell r="BL28">
            <v>1941.81</v>
          </cell>
          <cell r="BM28">
            <v>260726.83</v>
          </cell>
          <cell r="BN28">
            <v>3.3349626366698644E-2</v>
          </cell>
          <cell r="BO28">
            <v>56284.03</v>
          </cell>
          <cell r="BP28">
            <v>7557256.71</v>
          </cell>
          <cell r="BQ28">
            <v>0.96665037363330131</v>
          </cell>
          <cell r="BR28">
            <v>1941.81</v>
          </cell>
          <cell r="BS28">
            <v>260726.83</v>
          </cell>
          <cell r="BT28">
            <v>3.3349626366698644E-2</v>
          </cell>
          <cell r="BU28">
            <v>5029.3999999999996</v>
          </cell>
          <cell r="BV28">
            <v>675297.54</v>
          </cell>
          <cell r="BW28">
            <v>8.6377457376944022E-2</v>
          </cell>
          <cell r="BX28">
            <v>6971.2099999999991</v>
          </cell>
          <cell r="BY28">
            <v>936024.37</v>
          </cell>
          <cell r="BZ28">
            <v>0.11972708374364267</v>
          </cell>
          <cell r="CA28">
            <v>51254.63</v>
          </cell>
          <cell r="CB28">
            <v>6881959.1699999999</v>
          </cell>
          <cell r="CC28">
            <v>0.88027291625635729</v>
          </cell>
          <cell r="CD28">
            <v>6971.2099999999991</v>
          </cell>
          <cell r="CE28">
            <v>936024.37</v>
          </cell>
          <cell r="CF28">
            <v>0.11972708374364267</v>
          </cell>
          <cell r="CG28">
            <v>0</v>
          </cell>
          <cell r="CH28">
            <v>0</v>
          </cell>
          <cell r="CI28">
            <v>0</v>
          </cell>
          <cell r="CJ28">
            <v>6971.2099999999991</v>
          </cell>
          <cell r="CK28">
            <v>936024.37</v>
          </cell>
          <cell r="CL28">
            <v>0.11972708374364267</v>
          </cell>
          <cell r="CM28">
            <v>51254.63</v>
          </cell>
          <cell r="CN28">
            <v>6881959.1699999999</v>
          </cell>
          <cell r="CO28">
            <v>0.88027291625635729</v>
          </cell>
          <cell r="CP28">
            <v>6971.2099999999991</v>
          </cell>
          <cell r="CQ28">
            <v>936024.37</v>
          </cell>
          <cell r="CR28">
            <v>0.11972708374364267</v>
          </cell>
          <cell r="CS28">
            <v>0</v>
          </cell>
          <cell r="CT28">
            <v>0</v>
          </cell>
          <cell r="CU28">
            <v>0</v>
          </cell>
          <cell r="CV28">
            <v>6971.2099999999991</v>
          </cell>
          <cell r="CW28">
            <v>936024.37</v>
          </cell>
          <cell r="CX28">
            <v>0.11972708374364267</v>
          </cell>
          <cell r="CY28">
            <v>51254.63</v>
          </cell>
          <cell r="CZ28">
            <v>6881959.1699999999</v>
          </cell>
          <cell r="DA28">
            <v>0.88027291625635729</v>
          </cell>
          <cell r="DB28">
            <v>6971.2099999999991</v>
          </cell>
          <cell r="DC28">
            <v>936024.37</v>
          </cell>
          <cell r="DD28">
            <v>0.11972708374364267</v>
          </cell>
          <cell r="DE28">
            <v>0</v>
          </cell>
          <cell r="DF28">
            <v>0</v>
          </cell>
          <cell r="DG28">
            <v>0</v>
          </cell>
          <cell r="DH28">
            <v>6971.2099999999991</v>
          </cell>
          <cell r="DI28">
            <v>936024.37</v>
          </cell>
          <cell r="DJ28">
            <v>0.11972708374364267</v>
          </cell>
          <cell r="DK28">
            <v>51254.63</v>
          </cell>
          <cell r="DL28">
            <v>6881959.1699999999</v>
          </cell>
          <cell r="DM28">
            <v>0.88027291625635729</v>
          </cell>
          <cell r="DN28">
            <v>6971.2099999999991</v>
          </cell>
          <cell r="DO28">
            <v>936024.37</v>
          </cell>
          <cell r="DP28">
            <v>0.11972708374364267</v>
          </cell>
          <cell r="DQ28">
            <v>0</v>
          </cell>
          <cell r="DR28">
            <v>0</v>
          </cell>
          <cell r="DS28">
            <v>0</v>
          </cell>
          <cell r="DT28">
            <v>6971.2099999999991</v>
          </cell>
          <cell r="DU28">
            <v>936024.37</v>
          </cell>
          <cell r="DV28">
            <v>0.11972708374364267</v>
          </cell>
          <cell r="DW28">
            <v>51254.63</v>
          </cell>
          <cell r="DX28">
            <v>6881959.1699999999</v>
          </cell>
          <cell r="DY28">
            <v>0.88027291625635729</v>
          </cell>
          <cell r="DZ28">
            <v>6971.2099999999991</v>
          </cell>
          <cell r="EA28">
            <v>936024.37</v>
          </cell>
          <cell r="EB28">
            <v>0.11972708374364267</v>
          </cell>
          <cell r="ED28">
            <v>0</v>
          </cell>
          <cell r="EE28">
            <v>0</v>
          </cell>
          <cell r="EF28">
            <v>6971.2099999999991</v>
          </cell>
          <cell r="EG28">
            <v>936024.37</v>
          </cell>
          <cell r="EH28">
            <v>0.11972708374364267</v>
          </cell>
          <cell r="EI28">
            <v>51254.63</v>
          </cell>
          <cell r="EJ28">
            <v>6881959.1699999999</v>
          </cell>
          <cell r="EK28">
            <v>0.88027291625635729</v>
          </cell>
          <cell r="EL28">
            <v>6971.2099999999991</v>
          </cell>
          <cell r="EM28">
            <v>936024.37</v>
          </cell>
          <cell r="EN28">
            <v>0.11972708374364267</v>
          </cell>
          <cell r="EP28">
            <v>0</v>
          </cell>
          <cell r="EQ28">
            <v>0</v>
          </cell>
          <cell r="ER28">
            <v>6971.2099999999991</v>
          </cell>
          <cell r="ES28">
            <v>936024.37</v>
          </cell>
          <cell r="ET28">
            <v>0.11972708374364267</v>
          </cell>
          <cell r="EU28">
            <v>51254.63</v>
          </cell>
          <cell r="EV28">
            <v>6881959.1699999999</v>
          </cell>
          <cell r="EW28">
            <v>0.88027291625635729</v>
          </cell>
          <cell r="EX28">
            <v>6971.2099999999991</v>
          </cell>
          <cell r="EY28">
            <v>936024.37</v>
          </cell>
          <cell r="EZ28">
            <v>0.11972708374364267</v>
          </cell>
          <cell r="FB28">
            <v>0</v>
          </cell>
          <cell r="FC28">
            <v>0</v>
          </cell>
          <cell r="FD28">
            <v>6971.2099999999991</v>
          </cell>
          <cell r="FE28">
            <v>936024.37</v>
          </cell>
          <cell r="FF28">
            <v>0.11972708374364267</v>
          </cell>
          <cell r="FG28">
            <v>51254.63</v>
          </cell>
          <cell r="FH28">
            <v>6881959.1699999999</v>
          </cell>
          <cell r="FI28">
            <v>0.88027291625635729</v>
          </cell>
          <cell r="FJ28">
            <v>6971.2099999999991</v>
          </cell>
          <cell r="FK28">
            <v>936024.37</v>
          </cell>
          <cell r="FL28">
            <v>0.11972708374364267</v>
          </cell>
          <cell r="FN28">
            <v>0</v>
          </cell>
          <cell r="FO28">
            <v>0</v>
          </cell>
          <cell r="FP28">
            <v>6971.2099999999991</v>
          </cell>
          <cell r="FQ28">
            <v>936024.37</v>
          </cell>
          <cell r="FR28">
            <v>0.11972708374364267</v>
          </cell>
          <cell r="FS28">
            <v>51254.63</v>
          </cell>
          <cell r="FT28">
            <v>6881959.1699999999</v>
          </cell>
          <cell r="FU28">
            <v>0.88027291625635729</v>
          </cell>
          <cell r="FV28">
            <v>6971.2099999999991</v>
          </cell>
          <cell r="FW28">
            <v>936024.37</v>
          </cell>
          <cell r="FX28">
            <v>0.11972708374364267</v>
          </cell>
          <cell r="FZ28">
            <v>0</v>
          </cell>
          <cell r="GA28">
            <v>0</v>
          </cell>
          <cell r="GB28">
            <v>6971.2099999999991</v>
          </cell>
          <cell r="GC28">
            <v>936024.37</v>
          </cell>
          <cell r="GD28">
            <v>0.11972708374364267</v>
          </cell>
          <cell r="GE28">
            <v>51254.63</v>
          </cell>
          <cell r="GF28">
            <v>6881959.1699999999</v>
          </cell>
          <cell r="GG28">
            <v>0.88027291625635729</v>
          </cell>
        </row>
        <row r="29">
          <cell r="U29">
            <v>24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2178182.6800000002</v>
          </cell>
          <cell r="AF29">
            <v>12001786.57</v>
          </cell>
          <cell r="AG29">
            <v>1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2178182.6800000002</v>
          </cell>
          <cell r="AR29">
            <v>12001786.57</v>
          </cell>
          <cell r="AS29">
            <v>1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2178182.6800000002</v>
          </cell>
          <cell r="BD29">
            <v>12001786.57</v>
          </cell>
          <cell r="BE29">
            <v>1</v>
          </cell>
          <cell r="BF29">
            <v>0</v>
          </cell>
          <cell r="BG29">
            <v>0</v>
          </cell>
          <cell r="BH29">
            <v>0</v>
          </cell>
          <cell r="BI29">
            <v>69845.289999999994</v>
          </cell>
          <cell r="BJ29">
            <v>384847.55</v>
          </cell>
          <cell r="BK29">
            <v>3.2065855175426601E-2</v>
          </cell>
          <cell r="BL29">
            <v>69845.289999999994</v>
          </cell>
          <cell r="BM29">
            <v>384847.55</v>
          </cell>
          <cell r="BN29">
            <v>3.2065855175426601E-2</v>
          </cell>
          <cell r="BO29">
            <v>2108337.39</v>
          </cell>
          <cell r="BP29">
            <v>11616939.02</v>
          </cell>
          <cell r="BQ29">
            <v>0.96793414482457341</v>
          </cell>
          <cell r="BR29">
            <v>69845.289999999994</v>
          </cell>
          <cell r="BS29">
            <v>384847.55</v>
          </cell>
          <cell r="BT29">
            <v>3.2065855175426601E-2</v>
          </cell>
          <cell r="BU29">
            <v>178487.66</v>
          </cell>
          <cell r="BV29">
            <v>983467</v>
          </cell>
          <cell r="BW29">
            <v>8.1943383534106629E-2</v>
          </cell>
          <cell r="BX29">
            <v>248332.95</v>
          </cell>
          <cell r="BY29">
            <v>1368314.55</v>
          </cell>
          <cell r="BZ29">
            <v>0.11400923870953322</v>
          </cell>
          <cell r="CA29">
            <v>1929849.7300000002</v>
          </cell>
          <cell r="CB29">
            <v>10633472.02</v>
          </cell>
          <cell r="CC29">
            <v>0.88599076129046672</v>
          </cell>
          <cell r="CD29">
            <v>248332.95</v>
          </cell>
          <cell r="CE29">
            <v>1368314.55</v>
          </cell>
          <cell r="CF29">
            <v>0.11400923870953322</v>
          </cell>
          <cell r="CG29">
            <v>0</v>
          </cell>
          <cell r="CH29">
            <v>0</v>
          </cell>
          <cell r="CI29">
            <v>0</v>
          </cell>
          <cell r="CJ29">
            <v>248332.95</v>
          </cell>
          <cell r="CK29">
            <v>1368314.55</v>
          </cell>
          <cell r="CL29">
            <v>0.11400923870953322</v>
          </cell>
          <cell r="CM29">
            <v>1929849.7300000002</v>
          </cell>
          <cell r="CN29">
            <v>10633472.02</v>
          </cell>
          <cell r="CO29">
            <v>0.88599076129046672</v>
          </cell>
          <cell r="CP29">
            <v>248332.95</v>
          </cell>
          <cell r="CQ29">
            <v>1368314.55</v>
          </cell>
          <cell r="CR29">
            <v>0.11400923870953322</v>
          </cell>
          <cell r="CS29">
            <v>0</v>
          </cell>
          <cell r="CT29">
            <v>0</v>
          </cell>
          <cell r="CU29">
            <v>0</v>
          </cell>
          <cell r="CV29">
            <v>248332.95</v>
          </cell>
          <cell r="CW29">
            <v>1368314.55</v>
          </cell>
          <cell r="CX29">
            <v>0.11400923870953322</v>
          </cell>
          <cell r="CY29">
            <v>1929849.7300000002</v>
          </cell>
          <cell r="CZ29">
            <v>10633472.02</v>
          </cell>
          <cell r="DA29">
            <v>0.88599076129046672</v>
          </cell>
          <cell r="DB29">
            <v>248332.95</v>
          </cell>
          <cell r="DC29">
            <v>1368314.55</v>
          </cell>
          <cell r="DD29">
            <v>0.11400923870953322</v>
          </cell>
          <cell r="DE29">
            <v>0</v>
          </cell>
          <cell r="DF29">
            <v>0</v>
          </cell>
          <cell r="DG29">
            <v>0</v>
          </cell>
          <cell r="DH29">
            <v>248332.95</v>
          </cell>
          <cell r="DI29">
            <v>1368314.55</v>
          </cell>
          <cell r="DJ29">
            <v>0.11400923870953322</v>
          </cell>
          <cell r="DK29">
            <v>1929849.7300000002</v>
          </cell>
          <cell r="DL29">
            <v>10633472.02</v>
          </cell>
          <cell r="DM29">
            <v>0.88599076129046672</v>
          </cell>
          <cell r="DN29">
            <v>248332.95</v>
          </cell>
          <cell r="DO29">
            <v>1368314.55</v>
          </cell>
          <cell r="DP29">
            <v>0.11400923870953322</v>
          </cell>
          <cell r="DQ29">
            <v>0</v>
          </cell>
          <cell r="DR29">
            <v>0</v>
          </cell>
          <cell r="DS29">
            <v>0</v>
          </cell>
          <cell r="DT29">
            <v>248332.95</v>
          </cell>
          <cell r="DU29">
            <v>1368314.55</v>
          </cell>
          <cell r="DV29">
            <v>0.11400923870953322</v>
          </cell>
          <cell r="DW29">
            <v>1929849.7300000002</v>
          </cell>
          <cell r="DX29">
            <v>10633472.02</v>
          </cell>
          <cell r="DY29">
            <v>0.88599076129046672</v>
          </cell>
          <cell r="DZ29">
            <v>248332.95</v>
          </cell>
          <cell r="EA29">
            <v>1368314.55</v>
          </cell>
          <cell r="EB29">
            <v>0.11400923870953322</v>
          </cell>
          <cell r="ED29">
            <v>0</v>
          </cell>
          <cell r="EE29">
            <v>0</v>
          </cell>
          <cell r="EF29">
            <v>248332.95</v>
          </cell>
          <cell r="EG29">
            <v>1368314.55</v>
          </cell>
          <cell r="EH29">
            <v>0.11400923870953322</v>
          </cell>
          <cell r="EI29">
            <v>1929849.7300000002</v>
          </cell>
          <cell r="EJ29">
            <v>10633472.02</v>
          </cell>
          <cell r="EK29">
            <v>0.88599076129046672</v>
          </cell>
          <cell r="EL29">
            <v>248332.95</v>
          </cell>
          <cell r="EM29">
            <v>1368314.55</v>
          </cell>
          <cell r="EN29">
            <v>0.11400923870953322</v>
          </cell>
          <cell r="EP29">
            <v>0</v>
          </cell>
          <cell r="EQ29">
            <v>0</v>
          </cell>
          <cell r="ER29">
            <v>248332.95</v>
          </cell>
          <cell r="ES29">
            <v>1368314.55</v>
          </cell>
          <cell r="ET29">
            <v>0.11400923870953322</v>
          </cell>
          <cell r="EU29">
            <v>1929849.7300000002</v>
          </cell>
          <cell r="EV29">
            <v>10633472.02</v>
          </cell>
          <cell r="EW29">
            <v>0.88599076129046672</v>
          </cell>
          <cell r="EX29">
            <v>248332.95</v>
          </cell>
          <cell r="EY29">
            <v>1368314.55</v>
          </cell>
          <cell r="EZ29">
            <v>0.11400923870953322</v>
          </cell>
          <cell r="FB29">
            <v>0</v>
          </cell>
          <cell r="FC29">
            <v>0</v>
          </cell>
          <cell r="FD29">
            <v>248332.95</v>
          </cell>
          <cell r="FE29">
            <v>1368314.55</v>
          </cell>
          <cell r="FF29">
            <v>0.11400923870953322</v>
          </cell>
          <cell r="FG29">
            <v>1929849.7300000002</v>
          </cell>
          <cell r="FH29">
            <v>10633472.02</v>
          </cell>
          <cell r="FI29">
            <v>0.88599076129046672</v>
          </cell>
          <cell r="FJ29">
            <v>248332.95</v>
          </cell>
          <cell r="FK29">
            <v>1368314.55</v>
          </cell>
          <cell r="FL29">
            <v>0.11400923870953322</v>
          </cell>
          <cell r="FN29">
            <v>0</v>
          </cell>
          <cell r="FO29">
            <v>0</v>
          </cell>
          <cell r="FP29">
            <v>248332.95</v>
          </cell>
          <cell r="FQ29">
            <v>1368314.55</v>
          </cell>
          <cell r="FR29">
            <v>0.11400923870953322</v>
          </cell>
          <cell r="FS29">
            <v>1929849.7300000002</v>
          </cell>
          <cell r="FT29">
            <v>10633472.02</v>
          </cell>
          <cell r="FU29">
            <v>0.88599076129046672</v>
          </cell>
          <cell r="FV29">
            <v>248332.95</v>
          </cell>
          <cell r="FW29">
            <v>1368314.55</v>
          </cell>
          <cell r="FX29">
            <v>0.11400923870953322</v>
          </cell>
          <cell r="FZ29">
            <v>0</v>
          </cell>
          <cell r="GA29">
            <v>0</v>
          </cell>
          <cell r="GB29">
            <v>248332.95</v>
          </cell>
          <cell r="GC29">
            <v>1368314.55</v>
          </cell>
          <cell r="GD29">
            <v>0.11400923870953322</v>
          </cell>
          <cell r="GE29">
            <v>1929849.7300000002</v>
          </cell>
          <cell r="GF29">
            <v>10633472.02</v>
          </cell>
          <cell r="GG29">
            <v>0.88599076129046672</v>
          </cell>
        </row>
        <row r="30">
          <cell r="U30">
            <v>25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231847.27</v>
          </cell>
          <cell r="AF30">
            <v>1558013.65</v>
          </cell>
          <cell r="AG30">
            <v>1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231847.27</v>
          </cell>
          <cell r="AR30">
            <v>1558013.65</v>
          </cell>
          <cell r="AS30">
            <v>1</v>
          </cell>
          <cell r="AT30">
            <v>0</v>
          </cell>
          <cell r="AU30">
            <v>0</v>
          </cell>
          <cell r="AV30">
            <v>0</v>
          </cell>
          <cell r="AW30">
            <v>12303.42</v>
          </cell>
          <cell r="AX30">
            <v>82678.98</v>
          </cell>
          <cell r="AY30">
            <v>5.3066916326439117E-2</v>
          </cell>
          <cell r="AZ30">
            <v>12303.42</v>
          </cell>
          <cell r="BA30">
            <v>82678.98</v>
          </cell>
          <cell r="BB30">
            <v>5.3066916326439117E-2</v>
          </cell>
          <cell r="BC30">
            <v>219543.84999999998</v>
          </cell>
          <cell r="BD30">
            <v>1475334.67</v>
          </cell>
          <cell r="BE30">
            <v>0.94693308367356088</v>
          </cell>
          <cell r="BF30">
            <v>12303.42</v>
          </cell>
          <cell r="BG30">
            <v>82678.98</v>
          </cell>
          <cell r="BH30">
            <v>5.3066916326439117E-2</v>
          </cell>
          <cell r="BI30">
            <v>9092.9699999999993</v>
          </cell>
          <cell r="BJ30">
            <v>61104.759999999995</v>
          </cell>
          <cell r="BK30">
            <v>3.9219656387477736E-2</v>
          </cell>
          <cell r="BL30">
            <v>21396.39</v>
          </cell>
          <cell r="BM30">
            <v>143783.74</v>
          </cell>
          <cell r="BN30">
            <v>9.2286572713916853E-2</v>
          </cell>
          <cell r="BO30">
            <v>210450.88</v>
          </cell>
          <cell r="BP30">
            <v>1414229.91</v>
          </cell>
          <cell r="BQ30">
            <v>0.90771342728608317</v>
          </cell>
          <cell r="BR30">
            <v>21396.39</v>
          </cell>
          <cell r="BS30">
            <v>143783.74</v>
          </cell>
          <cell r="BT30">
            <v>9.2286572713916853E-2</v>
          </cell>
          <cell r="BU30">
            <v>18002.849999999999</v>
          </cell>
          <cell r="BV30">
            <v>120979.15000000002</v>
          </cell>
          <cell r="BW30">
            <v>7.7649608525573593E-2</v>
          </cell>
          <cell r="BX30">
            <v>39399.24</v>
          </cell>
          <cell r="BY30">
            <v>264762.89</v>
          </cell>
          <cell r="BZ30">
            <v>0.16993618123949045</v>
          </cell>
          <cell r="CA30">
            <v>192448.03</v>
          </cell>
          <cell r="CB30">
            <v>1293250.7599999998</v>
          </cell>
          <cell r="CC30">
            <v>0.83006381876050961</v>
          </cell>
          <cell r="CD30">
            <v>39399.24</v>
          </cell>
          <cell r="CE30">
            <v>264762.89</v>
          </cell>
          <cell r="CF30">
            <v>0.16993618123949045</v>
          </cell>
          <cell r="CG30">
            <v>0</v>
          </cell>
          <cell r="CH30">
            <v>0</v>
          </cell>
          <cell r="CI30">
            <v>0</v>
          </cell>
          <cell r="CJ30">
            <v>39399.24</v>
          </cell>
          <cell r="CK30">
            <v>264762.89</v>
          </cell>
          <cell r="CL30">
            <v>0.16993618123949045</v>
          </cell>
          <cell r="CM30">
            <v>192448.03</v>
          </cell>
          <cell r="CN30">
            <v>1293250.7599999998</v>
          </cell>
          <cell r="CO30">
            <v>0.83006381876050961</v>
          </cell>
          <cell r="CP30">
            <v>39399.24</v>
          </cell>
          <cell r="CQ30">
            <v>264762.89</v>
          </cell>
          <cell r="CR30">
            <v>0.16993618123949045</v>
          </cell>
          <cell r="CS30">
            <v>0</v>
          </cell>
          <cell r="CT30">
            <v>0</v>
          </cell>
          <cell r="CU30">
            <v>0</v>
          </cell>
          <cell r="CV30">
            <v>39399.24</v>
          </cell>
          <cell r="CW30">
            <v>264762.89</v>
          </cell>
          <cell r="CX30">
            <v>0.16993618123949045</v>
          </cell>
          <cell r="CY30">
            <v>192448.03</v>
          </cell>
          <cell r="CZ30">
            <v>1293250.7599999998</v>
          </cell>
          <cell r="DA30">
            <v>0.83006381876050961</v>
          </cell>
          <cell r="DB30">
            <v>39399.24</v>
          </cell>
          <cell r="DC30">
            <v>264762.89</v>
          </cell>
          <cell r="DD30">
            <v>0.16993618123949045</v>
          </cell>
          <cell r="DE30">
            <v>0</v>
          </cell>
          <cell r="DF30">
            <v>0</v>
          </cell>
          <cell r="DG30">
            <v>0</v>
          </cell>
          <cell r="DH30">
            <v>39399.24</v>
          </cell>
          <cell r="DI30">
            <v>264762.89</v>
          </cell>
          <cell r="DJ30">
            <v>0.16993618123949045</v>
          </cell>
          <cell r="DK30">
            <v>192448.03</v>
          </cell>
          <cell r="DL30">
            <v>1293250.7599999998</v>
          </cell>
          <cell r="DM30">
            <v>0.83006381876050961</v>
          </cell>
          <cell r="DN30">
            <v>39399.24</v>
          </cell>
          <cell r="DO30">
            <v>264762.89</v>
          </cell>
          <cell r="DP30">
            <v>0.16993618123949045</v>
          </cell>
          <cell r="DQ30">
            <v>0</v>
          </cell>
          <cell r="DR30">
            <v>0</v>
          </cell>
          <cell r="DS30">
            <v>0</v>
          </cell>
          <cell r="DT30">
            <v>39399.24</v>
          </cell>
          <cell r="DU30">
            <v>264762.89</v>
          </cell>
          <cell r="DV30">
            <v>0.16993618123949045</v>
          </cell>
          <cell r="DW30">
            <v>192448.03</v>
          </cell>
          <cell r="DX30">
            <v>1293250.7599999998</v>
          </cell>
          <cell r="DY30">
            <v>0.83006381876050961</v>
          </cell>
          <cell r="DZ30">
            <v>39399.24</v>
          </cell>
          <cell r="EA30">
            <v>264762.89</v>
          </cell>
          <cell r="EB30">
            <v>0.16993618123949045</v>
          </cell>
          <cell r="ED30">
            <v>0</v>
          </cell>
          <cell r="EE30">
            <v>0</v>
          </cell>
          <cell r="EF30">
            <v>39399.24</v>
          </cell>
          <cell r="EG30">
            <v>264762.89</v>
          </cell>
          <cell r="EH30">
            <v>0.16993618123949045</v>
          </cell>
          <cell r="EI30">
            <v>192448.03</v>
          </cell>
          <cell r="EJ30">
            <v>1293250.7599999998</v>
          </cell>
          <cell r="EK30">
            <v>0.83006381876050961</v>
          </cell>
          <cell r="EL30">
            <v>39399.24</v>
          </cell>
          <cell r="EM30">
            <v>264762.89</v>
          </cell>
          <cell r="EN30">
            <v>0.16993618123949045</v>
          </cell>
          <cell r="EP30">
            <v>0</v>
          </cell>
          <cell r="EQ30">
            <v>0</v>
          </cell>
          <cell r="ER30">
            <v>39399.24</v>
          </cell>
          <cell r="ES30">
            <v>264762.89</v>
          </cell>
          <cell r="ET30">
            <v>0.16993618123949045</v>
          </cell>
          <cell r="EU30">
            <v>192448.03</v>
          </cell>
          <cell r="EV30">
            <v>1293250.7599999998</v>
          </cell>
          <cell r="EW30">
            <v>0.83006381876050961</v>
          </cell>
          <cell r="EX30">
            <v>39399.24</v>
          </cell>
          <cell r="EY30">
            <v>264762.89</v>
          </cell>
          <cell r="EZ30">
            <v>0.16993618123949045</v>
          </cell>
          <cell r="FB30">
            <v>0</v>
          </cell>
          <cell r="FC30">
            <v>0</v>
          </cell>
          <cell r="FD30">
            <v>39399.24</v>
          </cell>
          <cell r="FE30">
            <v>264762.89</v>
          </cell>
          <cell r="FF30">
            <v>0.16993618123949045</v>
          </cell>
          <cell r="FG30">
            <v>192448.03</v>
          </cell>
          <cell r="FH30">
            <v>1293250.7599999998</v>
          </cell>
          <cell r="FI30">
            <v>0.83006381876050961</v>
          </cell>
          <cell r="FJ30">
            <v>39399.24</v>
          </cell>
          <cell r="FK30">
            <v>264762.89</v>
          </cell>
          <cell r="FL30">
            <v>0.16993618123949045</v>
          </cell>
          <cell r="FN30">
            <v>0</v>
          </cell>
          <cell r="FO30">
            <v>0</v>
          </cell>
          <cell r="FP30">
            <v>39399.24</v>
          </cell>
          <cell r="FQ30">
            <v>264762.89</v>
          </cell>
          <cell r="FR30">
            <v>0.16993618123949045</v>
          </cell>
          <cell r="FS30">
            <v>192448.03</v>
          </cell>
          <cell r="FT30">
            <v>1293250.7599999998</v>
          </cell>
          <cell r="FU30">
            <v>0.83006381876050961</v>
          </cell>
          <cell r="FV30">
            <v>39399.24</v>
          </cell>
          <cell r="FW30">
            <v>264762.89</v>
          </cell>
          <cell r="FX30">
            <v>0.16993618123949045</v>
          </cell>
          <cell r="FZ30">
            <v>0</v>
          </cell>
          <cell r="GA30">
            <v>0</v>
          </cell>
          <cell r="GB30">
            <v>39399.24</v>
          </cell>
          <cell r="GC30">
            <v>264762.89</v>
          </cell>
          <cell r="GD30">
            <v>0.16993618123949045</v>
          </cell>
          <cell r="GE30">
            <v>192448.03</v>
          </cell>
          <cell r="GF30">
            <v>1293250.7599999998</v>
          </cell>
          <cell r="GG30">
            <v>0.83006381876050961</v>
          </cell>
        </row>
        <row r="31">
          <cell r="U31">
            <v>26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2730791.96</v>
          </cell>
          <cell r="AF31">
            <v>1556551.42</v>
          </cell>
          <cell r="AG31">
            <v>1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2730791.96</v>
          </cell>
          <cell r="AR31">
            <v>1556551.42</v>
          </cell>
          <cell r="AS31">
            <v>1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2730791.96</v>
          </cell>
          <cell r="BD31">
            <v>1556551.42</v>
          </cell>
          <cell r="BE31">
            <v>1</v>
          </cell>
          <cell r="BF31">
            <v>0</v>
          </cell>
          <cell r="BG31">
            <v>0</v>
          </cell>
          <cell r="BH31">
            <v>0</v>
          </cell>
          <cell r="BI31">
            <v>91069.41</v>
          </cell>
          <cell r="BJ31">
            <v>51909.56</v>
          </cell>
          <cell r="BK31">
            <v>3.3349081394304342E-2</v>
          </cell>
          <cell r="BL31">
            <v>91069.41</v>
          </cell>
          <cell r="BM31">
            <v>51909.56</v>
          </cell>
          <cell r="BN31">
            <v>3.3349081394304342E-2</v>
          </cell>
          <cell r="BO31">
            <v>2639722.5499999998</v>
          </cell>
          <cell r="BP31">
            <v>1504641.8599999999</v>
          </cell>
          <cell r="BQ31">
            <v>0.96665091860569563</v>
          </cell>
          <cell r="BR31">
            <v>91069.41</v>
          </cell>
          <cell r="BS31">
            <v>51909.56</v>
          </cell>
          <cell r="BT31">
            <v>3.3349081394304342E-2</v>
          </cell>
          <cell r="BU31">
            <v>235880.06</v>
          </cell>
          <cell r="BV31">
            <v>134451.64000000001</v>
          </cell>
          <cell r="BW31">
            <v>8.6377898135867576E-2</v>
          </cell>
          <cell r="BX31">
            <v>326949.46999999997</v>
          </cell>
          <cell r="BY31">
            <v>186361.2</v>
          </cell>
          <cell r="BZ31">
            <v>0.11972697953017192</v>
          </cell>
          <cell r="CA31">
            <v>2403842.4900000002</v>
          </cell>
          <cell r="CB31">
            <v>1370190.22</v>
          </cell>
          <cell r="CC31">
            <v>0.88027302046982814</v>
          </cell>
          <cell r="CD31">
            <v>326949.46999999997</v>
          </cell>
          <cell r="CE31">
            <v>186361.2</v>
          </cell>
          <cell r="CF31">
            <v>0.11972697953017192</v>
          </cell>
          <cell r="CG31">
            <v>0</v>
          </cell>
          <cell r="CH31">
            <v>0</v>
          </cell>
          <cell r="CI31">
            <v>0</v>
          </cell>
          <cell r="CJ31">
            <v>326949.46999999997</v>
          </cell>
          <cell r="CK31">
            <v>186361.2</v>
          </cell>
          <cell r="CL31">
            <v>0.11972697953017192</v>
          </cell>
          <cell r="CM31">
            <v>2403842.4900000002</v>
          </cell>
          <cell r="CN31">
            <v>1370190.22</v>
          </cell>
          <cell r="CO31">
            <v>0.88027302046982814</v>
          </cell>
          <cell r="CP31">
            <v>326949.46999999997</v>
          </cell>
          <cell r="CQ31">
            <v>186361.2</v>
          </cell>
          <cell r="CR31">
            <v>0.11972697953017192</v>
          </cell>
          <cell r="CS31">
            <v>0</v>
          </cell>
          <cell r="CT31">
            <v>0</v>
          </cell>
          <cell r="CU31">
            <v>0</v>
          </cell>
          <cell r="CV31">
            <v>326949.46999999997</v>
          </cell>
          <cell r="CW31">
            <v>186361.2</v>
          </cell>
          <cell r="CX31">
            <v>0.11972697953017192</v>
          </cell>
          <cell r="CY31">
            <v>2403842.4900000002</v>
          </cell>
          <cell r="CZ31">
            <v>1370190.22</v>
          </cell>
          <cell r="DA31">
            <v>0.88027302046982814</v>
          </cell>
          <cell r="DB31">
            <v>326949.46999999997</v>
          </cell>
          <cell r="DC31">
            <v>186361.2</v>
          </cell>
          <cell r="DD31">
            <v>0.11972697953017192</v>
          </cell>
          <cell r="DE31">
            <v>0</v>
          </cell>
          <cell r="DF31">
            <v>0</v>
          </cell>
          <cell r="DG31">
            <v>0</v>
          </cell>
          <cell r="DH31">
            <v>326949.46999999997</v>
          </cell>
          <cell r="DI31">
            <v>186361.2</v>
          </cell>
          <cell r="DJ31">
            <v>0.11972697953017192</v>
          </cell>
          <cell r="DK31">
            <v>2403842.4900000002</v>
          </cell>
          <cell r="DL31">
            <v>1370190.22</v>
          </cell>
          <cell r="DM31">
            <v>0.88027302046982814</v>
          </cell>
          <cell r="DN31">
            <v>326949.46999999997</v>
          </cell>
          <cell r="DO31">
            <v>186361.2</v>
          </cell>
          <cell r="DP31">
            <v>0.11972697953017192</v>
          </cell>
          <cell r="DQ31">
            <v>0</v>
          </cell>
          <cell r="DR31">
            <v>0</v>
          </cell>
          <cell r="DS31">
            <v>0</v>
          </cell>
          <cell r="DT31">
            <v>326949.46999999997</v>
          </cell>
          <cell r="DU31">
            <v>186361.2</v>
          </cell>
          <cell r="DV31">
            <v>0.11972697953017192</v>
          </cell>
          <cell r="DW31">
            <v>2403842.4900000002</v>
          </cell>
          <cell r="DX31">
            <v>1370190.22</v>
          </cell>
          <cell r="DY31">
            <v>0.88027302046982814</v>
          </cell>
          <cell r="DZ31">
            <v>326949.46999999997</v>
          </cell>
          <cell r="EA31">
            <v>186361.2</v>
          </cell>
          <cell r="EB31">
            <v>0.11972697953017192</v>
          </cell>
          <cell r="ED31">
            <v>0</v>
          </cell>
          <cell r="EE31">
            <v>0</v>
          </cell>
          <cell r="EF31">
            <v>326949.46999999997</v>
          </cell>
          <cell r="EG31">
            <v>186361.2</v>
          </cell>
          <cell r="EH31">
            <v>0.11972697953017192</v>
          </cell>
          <cell r="EI31">
            <v>2403842.4900000002</v>
          </cell>
          <cell r="EJ31">
            <v>1370190.22</v>
          </cell>
          <cell r="EK31">
            <v>0.88027302046982814</v>
          </cell>
          <cell r="EL31">
            <v>326949.46999999997</v>
          </cell>
          <cell r="EM31">
            <v>186361.2</v>
          </cell>
          <cell r="EN31">
            <v>0.11972697953017192</v>
          </cell>
          <cell r="EP31">
            <v>0</v>
          </cell>
          <cell r="EQ31">
            <v>0</v>
          </cell>
          <cell r="ER31">
            <v>326949.46999999997</v>
          </cell>
          <cell r="ES31">
            <v>186361.2</v>
          </cell>
          <cell r="ET31">
            <v>0.11972697953017192</v>
          </cell>
          <cell r="EU31">
            <v>2403842.4900000002</v>
          </cell>
          <cell r="EV31">
            <v>1370190.22</v>
          </cell>
          <cell r="EW31">
            <v>0.88027302046982814</v>
          </cell>
          <cell r="EX31">
            <v>326949.46999999997</v>
          </cell>
          <cell r="EY31">
            <v>186361.2</v>
          </cell>
          <cell r="EZ31">
            <v>0.11972697953017192</v>
          </cell>
          <cell r="FB31">
            <v>0</v>
          </cell>
          <cell r="FC31">
            <v>0</v>
          </cell>
          <cell r="FD31">
            <v>326949.46999999997</v>
          </cell>
          <cell r="FE31">
            <v>186361.2</v>
          </cell>
          <cell r="FF31">
            <v>0.11972697953017192</v>
          </cell>
          <cell r="FG31">
            <v>2403842.4900000002</v>
          </cell>
          <cell r="FH31">
            <v>1370190.22</v>
          </cell>
          <cell r="FI31">
            <v>0.88027302046982814</v>
          </cell>
          <cell r="FJ31">
            <v>326949.46999999997</v>
          </cell>
          <cell r="FK31">
            <v>186361.2</v>
          </cell>
          <cell r="FL31">
            <v>0.11972697953017192</v>
          </cell>
          <cell r="FN31">
            <v>0</v>
          </cell>
          <cell r="FO31">
            <v>0</v>
          </cell>
          <cell r="FP31">
            <v>326949.46999999997</v>
          </cell>
          <cell r="FQ31">
            <v>186361.2</v>
          </cell>
          <cell r="FR31">
            <v>0.11972697953017192</v>
          </cell>
          <cell r="FS31">
            <v>2403842.4900000002</v>
          </cell>
          <cell r="FT31">
            <v>1370190.22</v>
          </cell>
          <cell r="FU31">
            <v>0.88027302046982814</v>
          </cell>
          <cell r="FV31">
            <v>326949.46999999997</v>
          </cell>
          <cell r="FW31">
            <v>186361.2</v>
          </cell>
          <cell r="FX31">
            <v>0.11972697953017192</v>
          </cell>
          <cell r="FZ31">
            <v>0</v>
          </cell>
          <cell r="GA31">
            <v>0</v>
          </cell>
          <cell r="GB31">
            <v>326949.46999999997</v>
          </cell>
          <cell r="GC31">
            <v>186361.2</v>
          </cell>
          <cell r="GD31">
            <v>0.11972697953017192</v>
          </cell>
          <cell r="GE31">
            <v>2403842.4900000002</v>
          </cell>
          <cell r="GF31">
            <v>1370190.22</v>
          </cell>
          <cell r="GG31">
            <v>0.88027302046982814</v>
          </cell>
        </row>
        <row r="32">
          <cell r="U32">
            <v>27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40758.129999999997</v>
          </cell>
          <cell r="AF32">
            <v>669248.49</v>
          </cell>
          <cell r="AG32">
            <v>1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40758.129999999997</v>
          </cell>
          <cell r="AR32">
            <v>669248.49</v>
          </cell>
          <cell r="AS32">
            <v>1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40758.129999999997</v>
          </cell>
          <cell r="BD32">
            <v>669248.49</v>
          </cell>
          <cell r="BE32">
            <v>1</v>
          </cell>
          <cell r="BF32">
            <v>0</v>
          </cell>
          <cell r="BG32">
            <v>0</v>
          </cell>
          <cell r="BH32">
            <v>0</v>
          </cell>
          <cell r="BI32">
            <v>1358.53</v>
          </cell>
          <cell r="BJ32">
            <v>22307.06</v>
          </cell>
          <cell r="BK32">
            <v>3.3331505910457866E-2</v>
          </cell>
          <cell r="BL32">
            <v>1358.53</v>
          </cell>
          <cell r="BM32">
            <v>22307.06</v>
          </cell>
          <cell r="BN32">
            <v>3.3331505910457866E-2</v>
          </cell>
          <cell r="BO32">
            <v>39399.599999999999</v>
          </cell>
          <cell r="BP32">
            <v>646941.42999999993</v>
          </cell>
          <cell r="BQ32">
            <v>0.96666849408954214</v>
          </cell>
          <cell r="BR32">
            <v>1358.53</v>
          </cell>
          <cell r="BS32">
            <v>22307.06</v>
          </cell>
          <cell r="BT32">
            <v>3.3331505910457866E-2</v>
          </cell>
          <cell r="BU32">
            <v>3424.68</v>
          </cell>
          <cell r="BV32">
            <v>56233.25</v>
          </cell>
          <cell r="BW32">
            <v>8.4024470492268133E-2</v>
          </cell>
          <cell r="BX32">
            <v>4783.21</v>
          </cell>
          <cell r="BY32">
            <v>78540.31</v>
          </cell>
          <cell r="BZ32">
            <v>0.11735597640272599</v>
          </cell>
          <cell r="CA32">
            <v>35974.92</v>
          </cell>
          <cell r="CB32">
            <v>590708.17999999993</v>
          </cell>
          <cell r="CC32">
            <v>0.88264402359727401</v>
          </cell>
          <cell r="CD32">
            <v>4783.21</v>
          </cell>
          <cell r="CE32">
            <v>78540.31</v>
          </cell>
          <cell r="CF32">
            <v>0.11735597640272599</v>
          </cell>
          <cell r="CG32">
            <v>0</v>
          </cell>
          <cell r="CH32">
            <v>0</v>
          </cell>
          <cell r="CI32">
            <v>0</v>
          </cell>
          <cell r="CJ32">
            <v>4783.21</v>
          </cell>
          <cell r="CK32">
            <v>78540.31</v>
          </cell>
          <cell r="CL32">
            <v>0.11735597640272599</v>
          </cell>
          <cell r="CM32">
            <v>35974.92</v>
          </cell>
          <cell r="CN32">
            <v>590708.17999999993</v>
          </cell>
          <cell r="CO32">
            <v>0.88264402359727401</v>
          </cell>
          <cell r="CP32">
            <v>4783.21</v>
          </cell>
          <cell r="CQ32">
            <v>78540.31</v>
          </cell>
          <cell r="CR32">
            <v>0.11735597640272599</v>
          </cell>
          <cell r="CS32">
            <v>0</v>
          </cell>
          <cell r="CT32">
            <v>0</v>
          </cell>
          <cell r="CU32">
            <v>0</v>
          </cell>
          <cell r="CV32">
            <v>4783.21</v>
          </cell>
          <cell r="CW32">
            <v>78540.31</v>
          </cell>
          <cell r="CX32">
            <v>0.11735597640272599</v>
          </cell>
          <cell r="CY32">
            <v>35974.92</v>
          </cell>
          <cell r="CZ32">
            <v>590708.17999999993</v>
          </cell>
          <cell r="DA32">
            <v>0.88264402359727401</v>
          </cell>
          <cell r="DB32">
            <v>4783.21</v>
          </cell>
          <cell r="DC32">
            <v>78540.31</v>
          </cell>
          <cell r="DD32">
            <v>0.11735597640272599</v>
          </cell>
          <cell r="DE32">
            <v>0</v>
          </cell>
          <cell r="DF32">
            <v>0</v>
          </cell>
          <cell r="DG32">
            <v>0</v>
          </cell>
          <cell r="DH32">
            <v>4783.21</v>
          </cell>
          <cell r="DI32">
            <v>78540.31</v>
          </cell>
          <cell r="DJ32">
            <v>0.11735597640272599</v>
          </cell>
          <cell r="DK32">
            <v>35974.92</v>
          </cell>
          <cell r="DL32">
            <v>590708.17999999993</v>
          </cell>
          <cell r="DM32">
            <v>0.88264402359727401</v>
          </cell>
          <cell r="DN32">
            <v>4783.21</v>
          </cell>
          <cell r="DO32">
            <v>78540.31</v>
          </cell>
          <cell r="DP32">
            <v>0.11735597640272599</v>
          </cell>
          <cell r="DQ32">
            <v>0</v>
          </cell>
          <cell r="DR32">
            <v>0</v>
          </cell>
          <cell r="DS32">
            <v>0</v>
          </cell>
          <cell r="DT32">
            <v>4783.21</v>
          </cell>
          <cell r="DU32">
            <v>78540.31</v>
          </cell>
          <cell r="DV32">
            <v>0.11735597640272599</v>
          </cell>
          <cell r="DW32">
            <v>35974.92</v>
          </cell>
          <cell r="DX32">
            <v>590708.17999999993</v>
          </cell>
          <cell r="DY32">
            <v>0.88264402359727401</v>
          </cell>
          <cell r="DZ32">
            <v>4783.21</v>
          </cell>
          <cell r="EA32">
            <v>78540.31</v>
          </cell>
          <cell r="EB32">
            <v>0.11735597640272599</v>
          </cell>
          <cell r="ED32">
            <v>0</v>
          </cell>
          <cell r="EE32">
            <v>0</v>
          </cell>
          <cell r="EF32">
            <v>4783.21</v>
          </cell>
          <cell r="EG32">
            <v>78540.31</v>
          </cell>
          <cell r="EH32">
            <v>0.11735597640272599</v>
          </cell>
          <cell r="EI32">
            <v>35974.92</v>
          </cell>
          <cell r="EJ32">
            <v>590708.17999999993</v>
          </cell>
          <cell r="EK32">
            <v>0.88264402359727401</v>
          </cell>
          <cell r="EL32">
            <v>4783.21</v>
          </cell>
          <cell r="EM32">
            <v>78540.31</v>
          </cell>
          <cell r="EN32">
            <v>0.11735597640272599</v>
          </cell>
          <cell r="EP32">
            <v>0</v>
          </cell>
          <cell r="EQ32">
            <v>0</v>
          </cell>
          <cell r="ER32">
            <v>4783.21</v>
          </cell>
          <cell r="ES32">
            <v>78540.31</v>
          </cell>
          <cell r="ET32">
            <v>0.11735597640272599</v>
          </cell>
          <cell r="EU32">
            <v>35974.92</v>
          </cell>
          <cell r="EV32">
            <v>590708.17999999993</v>
          </cell>
          <cell r="EW32">
            <v>0.88264402359727401</v>
          </cell>
          <cell r="EX32">
            <v>4783.21</v>
          </cell>
          <cell r="EY32">
            <v>78540.31</v>
          </cell>
          <cell r="EZ32">
            <v>0.11735597640272599</v>
          </cell>
          <cell r="FB32">
            <v>0</v>
          </cell>
          <cell r="FC32">
            <v>0</v>
          </cell>
          <cell r="FD32">
            <v>4783.21</v>
          </cell>
          <cell r="FE32">
            <v>78540.31</v>
          </cell>
          <cell r="FF32">
            <v>0.11735597640272599</v>
          </cell>
          <cell r="FG32">
            <v>35974.92</v>
          </cell>
          <cell r="FH32">
            <v>590708.17999999993</v>
          </cell>
          <cell r="FI32">
            <v>0.88264402359727401</v>
          </cell>
          <cell r="FJ32">
            <v>4783.21</v>
          </cell>
          <cell r="FK32">
            <v>78540.31</v>
          </cell>
          <cell r="FL32">
            <v>0.11735597640272599</v>
          </cell>
          <cell r="FN32">
            <v>0</v>
          </cell>
          <cell r="FO32">
            <v>0</v>
          </cell>
          <cell r="FP32">
            <v>4783.21</v>
          </cell>
          <cell r="FQ32">
            <v>78540.31</v>
          </cell>
          <cell r="FR32">
            <v>0.11735597640272599</v>
          </cell>
          <cell r="FS32">
            <v>35974.92</v>
          </cell>
          <cell r="FT32">
            <v>590708.17999999993</v>
          </cell>
          <cell r="FU32">
            <v>0.88264402359727401</v>
          </cell>
          <cell r="FV32">
            <v>4783.21</v>
          </cell>
          <cell r="FW32">
            <v>78540.31</v>
          </cell>
          <cell r="FX32">
            <v>0.11735597640272599</v>
          </cell>
          <cell r="FZ32">
            <v>0</v>
          </cell>
          <cell r="GA32">
            <v>0</v>
          </cell>
          <cell r="GB32">
            <v>4783.21</v>
          </cell>
          <cell r="GC32">
            <v>78540.31</v>
          </cell>
          <cell r="GD32">
            <v>0.11735597640272599</v>
          </cell>
          <cell r="GE32">
            <v>35974.92</v>
          </cell>
          <cell r="GF32">
            <v>590708.17999999993</v>
          </cell>
          <cell r="GG32">
            <v>0.88264402359727401</v>
          </cell>
        </row>
        <row r="33">
          <cell r="U33">
            <v>28</v>
          </cell>
          <cell r="W33">
            <v>0</v>
          </cell>
          <cell r="X33">
            <v>0</v>
          </cell>
          <cell r="Z33">
            <v>0</v>
          </cell>
          <cell r="AA33">
            <v>0</v>
          </cell>
          <cell r="AC33">
            <v>0</v>
          </cell>
          <cell r="AD33">
            <v>0</v>
          </cell>
          <cell r="AF33">
            <v>48386.92</v>
          </cell>
          <cell r="AG33">
            <v>1</v>
          </cell>
          <cell r="AI33">
            <v>0</v>
          </cell>
          <cell r="AJ33">
            <v>0</v>
          </cell>
          <cell r="AL33">
            <v>0</v>
          </cell>
          <cell r="AM33">
            <v>0</v>
          </cell>
          <cell r="AO33">
            <v>0</v>
          </cell>
          <cell r="AP33">
            <v>0</v>
          </cell>
          <cell r="AR33">
            <v>48386.92</v>
          </cell>
          <cell r="AS33">
            <v>1</v>
          </cell>
          <cell r="AU33">
            <v>0</v>
          </cell>
          <cell r="AV33">
            <v>0</v>
          </cell>
          <cell r="AX33">
            <v>0</v>
          </cell>
          <cell r="AY33">
            <v>0</v>
          </cell>
          <cell r="BA33">
            <v>0</v>
          </cell>
          <cell r="BB33">
            <v>0</v>
          </cell>
          <cell r="BD33">
            <v>48386.92</v>
          </cell>
          <cell r="BE33">
            <v>1</v>
          </cell>
          <cell r="BG33">
            <v>0</v>
          </cell>
          <cell r="BH33">
            <v>0</v>
          </cell>
          <cell r="BJ33">
            <v>0</v>
          </cell>
          <cell r="BK33">
            <v>0</v>
          </cell>
          <cell r="BM33">
            <v>0</v>
          </cell>
          <cell r="BN33">
            <v>0</v>
          </cell>
          <cell r="BP33">
            <v>48386.92</v>
          </cell>
          <cell r="BQ33">
            <v>1</v>
          </cell>
          <cell r="BS33">
            <v>0</v>
          </cell>
          <cell r="BT33">
            <v>0</v>
          </cell>
          <cell r="BV33">
            <v>0</v>
          </cell>
          <cell r="BW33">
            <v>0</v>
          </cell>
          <cell r="BY33">
            <v>0</v>
          </cell>
          <cell r="BZ33">
            <v>0</v>
          </cell>
          <cell r="CB33">
            <v>48386.92</v>
          </cell>
          <cell r="CC33">
            <v>1</v>
          </cell>
          <cell r="CE33">
            <v>0</v>
          </cell>
          <cell r="CF33">
            <v>0</v>
          </cell>
          <cell r="CH33">
            <v>0</v>
          </cell>
          <cell r="CI33">
            <v>0</v>
          </cell>
          <cell r="CK33">
            <v>0</v>
          </cell>
          <cell r="CL33">
            <v>0</v>
          </cell>
          <cell r="CN33">
            <v>48386.92</v>
          </cell>
          <cell r="CO33">
            <v>1</v>
          </cell>
          <cell r="CQ33">
            <v>0</v>
          </cell>
          <cell r="CR33">
            <v>0</v>
          </cell>
          <cell r="CT33">
            <v>0</v>
          </cell>
          <cell r="CU33">
            <v>0</v>
          </cell>
          <cell r="CW33">
            <v>0</v>
          </cell>
          <cell r="CX33">
            <v>0</v>
          </cell>
          <cell r="CZ33">
            <v>48386.92</v>
          </cell>
          <cell r="DA33">
            <v>1</v>
          </cell>
          <cell r="DC33">
            <v>0</v>
          </cell>
          <cell r="DD33">
            <v>0</v>
          </cell>
          <cell r="DF33">
            <v>0</v>
          </cell>
          <cell r="DG33">
            <v>0</v>
          </cell>
          <cell r="DI33">
            <v>0</v>
          </cell>
          <cell r="DJ33">
            <v>0</v>
          </cell>
          <cell r="DL33">
            <v>48386.92</v>
          </cell>
          <cell r="DM33">
            <v>1</v>
          </cell>
          <cell r="DO33">
            <v>0</v>
          </cell>
          <cell r="DP33">
            <v>0</v>
          </cell>
          <cell r="DR33">
            <v>0</v>
          </cell>
          <cell r="DS33">
            <v>0</v>
          </cell>
          <cell r="DU33">
            <v>0</v>
          </cell>
          <cell r="DV33">
            <v>0</v>
          </cell>
          <cell r="DX33">
            <v>48386.92</v>
          </cell>
          <cell r="DY33">
            <v>1</v>
          </cell>
          <cell r="EA33">
            <v>0</v>
          </cell>
          <cell r="EB33">
            <v>0</v>
          </cell>
          <cell r="ED33">
            <v>0</v>
          </cell>
          <cell r="EE33">
            <v>0</v>
          </cell>
          <cell r="EG33">
            <v>0</v>
          </cell>
          <cell r="EH33">
            <v>0</v>
          </cell>
          <cell r="EJ33">
            <v>48386.92</v>
          </cell>
          <cell r="EK33">
            <v>1</v>
          </cell>
          <cell r="EM33">
            <v>0</v>
          </cell>
          <cell r="EN33">
            <v>0</v>
          </cell>
          <cell r="EP33">
            <v>0</v>
          </cell>
          <cell r="EQ33">
            <v>0</v>
          </cell>
          <cell r="ES33">
            <v>0</v>
          </cell>
          <cell r="ET33">
            <v>0</v>
          </cell>
          <cell r="EV33">
            <v>48386.92</v>
          </cell>
          <cell r="EW33">
            <v>1</v>
          </cell>
          <cell r="EY33">
            <v>0</v>
          </cell>
          <cell r="EZ33">
            <v>0</v>
          </cell>
          <cell r="FB33">
            <v>0</v>
          </cell>
          <cell r="FC33">
            <v>0</v>
          </cell>
          <cell r="FE33">
            <v>0</v>
          </cell>
          <cell r="FF33">
            <v>0</v>
          </cell>
          <cell r="FH33">
            <v>48386.92</v>
          </cell>
          <cell r="FI33">
            <v>1</v>
          </cell>
          <cell r="FK33">
            <v>0</v>
          </cell>
          <cell r="FL33">
            <v>0</v>
          </cell>
          <cell r="FN33">
            <v>0</v>
          </cell>
          <cell r="FO33">
            <v>0</v>
          </cell>
          <cell r="FQ33">
            <v>0</v>
          </cell>
          <cell r="FR33">
            <v>0</v>
          </cell>
          <cell r="FT33">
            <v>48386.92</v>
          </cell>
          <cell r="FU33">
            <v>1</v>
          </cell>
          <cell r="FW33">
            <v>0</v>
          </cell>
          <cell r="FX33">
            <v>0</v>
          </cell>
          <cell r="FZ33">
            <v>0</v>
          </cell>
          <cell r="GA33">
            <v>0</v>
          </cell>
          <cell r="GC33">
            <v>0</v>
          </cell>
          <cell r="GD33">
            <v>0</v>
          </cell>
          <cell r="GF33">
            <v>48386.92</v>
          </cell>
          <cell r="GG33">
            <v>1</v>
          </cell>
        </row>
        <row r="34">
          <cell r="U34">
            <v>29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1114.79</v>
          </cell>
          <cell r="AF34">
            <v>28460.59</v>
          </cell>
          <cell r="AG34">
            <v>1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1114.79</v>
          </cell>
          <cell r="AR34">
            <v>28460.59</v>
          </cell>
          <cell r="AS34">
            <v>1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1114.79</v>
          </cell>
          <cell r="BD34">
            <v>28460.59</v>
          </cell>
          <cell r="BE34">
            <v>1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1114.79</v>
          </cell>
          <cell r="BP34">
            <v>28460.59</v>
          </cell>
          <cell r="BQ34">
            <v>1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1114.79</v>
          </cell>
          <cell r="CB34">
            <v>28460.59</v>
          </cell>
          <cell r="CC34">
            <v>1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1114.79</v>
          </cell>
          <cell r="CN34">
            <v>28460.59</v>
          </cell>
          <cell r="CO34">
            <v>1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1114.79</v>
          </cell>
          <cell r="CZ34">
            <v>28460.59</v>
          </cell>
          <cell r="DA34">
            <v>1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1114.79</v>
          </cell>
          <cell r="DL34">
            <v>28460.59</v>
          </cell>
          <cell r="DM34">
            <v>1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0</v>
          </cell>
          <cell r="DU34">
            <v>0</v>
          </cell>
          <cell r="DV34">
            <v>0</v>
          </cell>
          <cell r="DW34">
            <v>1114.79</v>
          </cell>
          <cell r="DX34">
            <v>28460.59</v>
          </cell>
          <cell r="DY34">
            <v>1</v>
          </cell>
          <cell r="DZ34">
            <v>0</v>
          </cell>
          <cell r="EA34">
            <v>0</v>
          </cell>
          <cell r="EB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1114.79</v>
          </cell>
          <cell r="EJ34">
            <v>28460.59</v>
          </cell>
          <cell r="EK34">
            <v>1</v>
          </cell>
          <cell r="EL34">
            <v>0</v>
          </cell>
          <cell r="EM34">
            <v>0</v>
          </cell>
          <cell r="EN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1114.79</v>
          </cell>
          <cell r="EV34">
            <v>28460.59</v>
          </cell>
          <cell r="EW34">
            <v>1</v>
          </cell>
          <cell r="EX34">
            <v>0</v>
          </cell>
          <cell r="EY34">
            <v>0</v>
          </cell>
          <cell r="EZ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1114.79</v>
          </cell>
          <cell r="FH34">
            <v>28460.59</v>
          </cell>
          <cell r="FI34">
            <v>1</v>
          </cell>
          <cell r="FJ34">
            <v>0</v>
          </cell>
          <cell r="FK34">
            <v>0</v>
          </cell>
          <cell r="FL34">
            <v>0</v>
          </cell>
          <cell r="FN34">
            <v>0</v>
          </cell>
          <cell r="FO34">
            <v>0</v>
          </cell>
          <cell r="FP34">
            <v>0</v>
          </cell>
          <cell r="FQ34">
            <v>0</v>
          </cell>
          <cell r="FR34">
            <v>0</v>
          </cell>
          <cell r="FS34">
            <v>1114.79</v>
          </cell>
          <cell r="FT34">
            <v>28460.59</v>
          </cell>
          <cell r="FU34">
            <v>1</v>
          </cell>
          <cell r="FV34">
            <v>0</v>
          </cell>
          <cell r="FW34">
            <v>0</v>
          </cell>
          <cell r="FX34">
            <v>0</v>
          </cell>
          <cell r="FZ34">
            <v>0</v>
          </cell>
          <cell r="GA34">
            <v>0</v>
          </cell>
          <cell r="GB34">
            <v>0</v>
          </cell>
          <cell r="GC34">
            <v>0</v>
          </cell>
          <cell r="GD34">
            <v>0</v>
          </cell>
          <cell r="GE34">
            <v>1114.79</v>
          </cell>
          <cell r="GF34">
            <v>28460.59</v>
          </cell>
          <cell r="GG34">
            <v>1</v>
          </cell>
        </row>
        <row r="35">
          <cell r="U35">
            <v>30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33.840000000000003</v>
          </cell>
          <cell r="AF35">
            <v>529.26</v>
          </cell>
          <cell r="AG35">
            <v>1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33.840000000000003</v>
          </cell>
          <cell r="AR35">
            <v>529.26</v>
          </cell>
          <cell r="AS35">
            <v>1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33.840000000000003</v>
          </cell>
          <cell r="BD35">
            <v>529.26</v>
          </cell>
          <cell r="BE35">
            <v>1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33.840000000000003</v>
          </cell>
          <cell r="BP35">
            <v>529.26</v>
          </cell>
          <cell r="BQ35">
            <v>1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33.840000000000003</v>
          </cell>
          <cell r="CB35">
            <v>529.26</v>
          </cell>
          <cell r="CC35">
            <v>1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33.840000000000003</v>
          </cell>
          <cell r="CN35">
            <v>529.26</v>
          </cell>
          <cell r="CO35">
            <v>1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33.840000000000003</v>
          </cell>
          <cell r="CZ35">
            <v>529.26</v>
          </cell>
          <cell r="DA35">
            <v>1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33.840000000000003</v>
          </cell>
          <cell r="DL35">
            <v>529.26</v>
          </cell>
          <cell r="DM35">
            <v>1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33.840000000000003</v>
          </cell>
          <cell r="DX35">
            <v>529.26</v>
          </cell>
          <cell r="DY35">
            <v>1</v>
          </cell>
          <cell r="DZ35">
            <v>0</v>
          </cell>
          <cell r="EA35">
            <v>0</v>
          </cell>
          <cell r="EB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33.840000000000003</v>
          </cell>
          <cell r="EJ35">
            <v>529.26</v>
          </cell>
          <cell r="EK35">
            <v>1</v>
          </cell>
          <cell r="EL35">
            <v>0</v>
          </cell>
          <cell r="EM35">
            <v>0</v>
          </cell>
          <cell r="EN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33.840000000000003</v>
          </cell>
          <cell r="EV35">
            <v>529.26</v>
          </cell>
          <cell r="EW35">
            <v>1</v>
          </cell>
          <cell r="EX35">
            <v>0</v>
          </cell>
          <cell r="EY35">
            <v>0</v>
          </cell>
          <cell r="EZ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33.840000000000003</v>
          </cell>
          <cell r="FH35">
            <v>529.26</v>
          </cell>
          <cell r="FI35">
            <v>1</v>
          </cell>
          <cell r="FJ35">
            <v>0</v>
          </cell>
          <cell r="FK35">
            <v>0</v>
          </cell>
          <cell r="FL35">
            <v>0</v>
          </cell>
          <cell r="FN35">
            <v>0</v>
          </cell>
          <cell r="FO35">
            <v>0</v>
          </cell>
          <cell r="FP35">
            <v>0</v>
          </cell>
          <cell r="FQ35">
            <v>0</v>
          </cell>
          <cell r="FR35">
            <v>0</v>
          </cell>
          <cell r="FS35">
            <v>33.840000000000003</v>
          </cell>
          <cell r="FT35">
            <v>529.26</v>
          </cell>
          <cell r="FU35">
            <v>1</v>
          </cell>
          <cell r="FV35">
            <v>0</v>
          </cell>
          <cell r="FW35">
            <v>0</v>
          </cell>
          <cell r="FX35">
            <v>0</v>
          </cell>
          <cell r="FZ35">
            <v>0</v>
          </cell>
          <cell r="GA35">
            <v>0</v>
          </cell>
          <cell r="GB35">
            <v>0</v>
          </cell>
          <cell r="GC35">
            <v>0</v>
          </cell>
          <cell r="GD35">
            <v>0</v>
          </cell>
          <cell r="GE35">
            <v>33.840000000000003</v>
          </cell>
          <cell r="GF35">
            <v>529.26</v>
          </cell>
          <cell r="GG35">
            <v>1</v>
          </cell>
        </row>
        <row r="36">
          <cell r="U36">
            <v>31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23.37</v>
          </cell>
          <cell r="AF36">
            <v>610.19000000000005</v>
          </cell>
          <cell r="AG36">
            <v>1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23.37</v>
          </cell>
          <cell r="AR36">
            <v>610.19000000000005</v>
          </cell>
          <cell r="AS36">
            <v>1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23.37</v>
          </cell>
          <cell r="BD36">
            <v>610.19000000000005</v>
          </cell>
          <cell r="BE36">
            <v>1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23.37</v>
          </cell>
          <cell r="BP36">
            <v>610.19000000000005</v>
          </cell>
          <cell r="BQ36">
            <v>1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23.37</v>
          </cell>
          <cell r="CB36">
            <v>610.19000000000005</v>
          </cell>
          <cell r="CC36">
            <v>1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23.37</v>
          </cell>
          <cell r="CN36">
            <v>610.19000000000005</v>
          </cell>
          <cell r="CO36">
            <v>1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23.37</v>
          </cell>
          <cell r="CZ36">
            <v>610.19000000000005</v>
          </cell>
          <cell r="DA36">
            <v>1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23.37</v>
          </cell>
          <cell r="DL36">
            <v>610.19000000000005</v>
          </cell>
          <cell r="DM36">
            <v>1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23.37</v>
          </cell>
          <cell r="DX36">
            <v>610.19000000000005</v>
          </cell>
          <cell r="DY36">
            <v>1</v>
          </cell>
          <cell r="DZ36">
            <v>0</v>
          </cell>
          <cell r="EA36">
            <v>0</v>
          </cell>
          <cell r="EB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23.37</v>
          </cell>
          <cell r="EJ36">
            <v>610.19000000000005</v>
          </cell>
          <cell r="EK36">
            <v>1</v>
          </cell>
          <cell r="EL36">
            <v>0</v>
          </cell>
          <cell r="EM36">
            <v>0</v>
          </cell>
          <cell r="EN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23.37</v>
          </cell>
          <cell r="EV36">
            <v>610.19000000000005</v>
          </cell>
          <cell r="EW36">
            <v>1</v>
          </cell>
          <cell r="EX36">
            <v>0</v>
          </cell>
          <cell r="EY36">
            <v>0</v>
          </cell>
          <cell r="EZ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23.37</v>
          </cell>
          <cell r="FH36">
            <v>610.19000000000005</v>
          </cell>
          <cell r="FI36">
            <v>1</v>
          </cell>
          <cell r="FJ36">
            <v>0</v>
          </cell>
          <cell r="FK36">
            <v>0</v>
          </cell>
          <cell r="FL36">
            <v>0</v>
          </cell>
          <cell r="FN36">
            <v>0</v>
          </cell>
          <cell r="FO36">
            <v>0</v>
          </cell>
          <cell r="FP36">
            <v>0</v>
          </cell>
          <cell r="FQ36">
            <v>0</v>
          </cell>
          <cell r="FR36">
            <v>0</v>
          </cell>
          <cell r="FS36">
            <v>23.37</v>
          </cell>
          <cell r="FT36">
            <v>610.19000000000005</v>
          </cell>
          <cell r="FU36">
            <v>1</v>
          </cell>
          <cell r="FV36">
            <v>0</v>
          </cell>
          <cell r="FW36">
            <v>0</v>
          </cell>
          <cell r="FX36">
            <v>0</v>
          </cell>
          <cell r="FZ36">
            <v>0</v>
          </cell>
          <cell r="GA36">
            <v>0</v>
          </cell>
          <cell r="GB36">
            <v>0</v>
          </cell>
          <cell r="GC36">
            <v>0</v>
          </cell>
          <cell r="GD36">
            <v>0</v>
          </cell>
          <cell r="GE36">
            <v>23.37</v>
          </cell>
          <cell r="GF36">
            <v>610.19000000000005</v>
          </cell>
          <cell r="GG36">
            <v>1</v>
          </cell>
        </row>
        <row r="37">
          <cell r="U37">
            <v>32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17.63</v>
          </cell>
          <cell r="AF37">
            <v>4530.03</v>
          </cell>
          <cell r="AG37">
            <v>1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17.63</v>
          </cell>
          <cell r="AR37">
            <v>4530.03</v>
          </cell>
          <cell r="AS37">
            <v>1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17.63</v>
          </cell>
          <cell r="BD37">
            <v>4530.03</v>
          </cell>
          <cell r="BE37">
            <v>1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17.63</v>
          </cell>
          <cell r="BP37">
            <v>4530.03</v>
          </cell>
          <cell r="BQ37">
            <v>1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17.63</v>
          </cell>
          <cell r="CB37">
            <v>4530.03</v>
          </cell>
          <cell r="CC37">
            <v>1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17.63</v>
          </cell>
          <cell r="CN37">
            <v>4530.03</v>
          </cell>
          <cell r="CO37">
            <v>1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17.63</v>
          </cell>
          <cell r="CZ37">
            <v>4530.03</v>
          </cell>
          <cell r="DA37">
            <v>1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17.63</v>
          </cell>
          <cell r="DL37">
            <v>4530.03</v>
          </cell>
          <cell r="DM37">
            <v>1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17.63</v>
          </cell>
          <cell r="DX37">
            <v>4530.03</v>
          </cell>
          <cell r="DY37">
            <v>1</v>
          </cell>
          <cell r="DZ37">
            <v>0</v>
          </cell>
          <cell r="EA37">
            <v>0</v>
          </cell>
          <cell r="EB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17.63</v>
          </cell>
          <cell r="EJ37">
            <v>4530.03</v>
          </cell>
          <cell r="EK37">
            <v>1</v>
          </cell>
          <cell r="EL37">
            <v>0</v>
          </cell>
          <cell r="EM37">
            <v>0</v>
          </cell>
          <cell r="EN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17.63</v>
          </cell>
          <cell r="EV37">
            <v>4530.03</v>
          </cell>
          <cell r="EW37">
            <v>1</v>
          </cell>
          <cell r="EX37">
            <v>0</v>
          </cell>
          <cell r="EY37">
            <v>0</v>
          </cell>
          <cell r="EZ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17.63</v>
          </cell>
          <cell r="FH37">
            <v>4530.03</v>
          </cell>
          <cell r="FI37">
            <v>1</v>
          </cell>
          <cell r="FJ37">
            <v>0</v>
          </cell>
          <cell r="FK37">
            <v>0</v>
          </cell>
          <cell r="FL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17.63</v>
          </cell>
          <cell r="FT37">
            <v>4530.03</v>
          </cell>
          <cell r="FU37">
            <v>1</v>
          </cell>
          <cell r="FV37">
            <v>0</v>
          </cell>
          <cell r="FW37">
            <v>0</v>
          </cell>
          <cell r="FX37">
            <v>0</v>
          </cell>
          <cell r="FZ37">
            <v>0</v>
          </cell>
          <cell r="GA37">
            <v>0</v>
          </cell>
          <cell r="GB37">
            <v>0</v>
          </cell>
          <cell r="GC37">
            <v>0</v>
          </cell>
          <cell r="GD37">
            <v>0</v>
          </cell>
          <cell r="GE37">
            <v>17.63</v>
          </cell>
          <cell r="GF37">
            <v>4530.03</v>
          </cell>
          <cell r="GG37">
            <v>1</v>
          </cell>
        </row>
        <row r="38">
          <cell r="U38">
            <v>33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20.57</v>
          </cell>
          <cell r="AF38">
            <v>1091.6500000000001</v>
          </cell>
          <cell r="AG38">
            <v>1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20.57</v>
          </cell>
          <cell r="AR38">
            <v>1091.6500000000001</v>
          </cell>
          <cell r="AS38">
            <v>1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20.57</v>
          </cell>
          <cell r="BD38">
            <v>1091.6500000000001</v>
          </cell>
          <cell r="BE38">
            <v>1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20.57</v>
          </cell>
          <cell r="BP38">
            <v>1091.6500000000001</v>
          </cell>
          <cell r="BQ38">
            <v>1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20.57</v>
          </cell>
          <cell r="CB38">
            <v>1091.6500000000001</v>
          </cell>
          <cell r="CC38">
            <v>1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20.57</v>
          </cell>
          <cell r="CN38">
            <v>1091.6500000000001</v>
          </cell>
          <cell r="CO38">
            <v>1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20.57</v>
          </cell>
          <cell r="CZ38">
            <v>1091.6500000000001</v>
          </cell>
          <cell r="DA38">
            <v>1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20.57</v>
          </cell>
          <cell r="DL38">
            <v>1091.6500000000001</v>
          </cell>
          <cell r="DM38">
            <v>1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20.57</v>
          </cell>
          <cell r="DX38">
            <v>1091.6500000000001</v>
          </cell>
          <cell r="DY38">
            <v>1</v>
          </cell>
          <cell r="DZ38">
            <v>0</v>
          </cell>
          <cell r="EA38">
            <v>0</v>
          </cell>
          <cell r="EB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20.57</v>
          </cell>
          <cell r="EJ38">
            <v>1091.6500000000001</v>
          </cell>
          <cell r="EK38">
            <v>1</v>
          </cell>
          <cell r="EL38">
            <v>0</v>
          </cell>
          <cell r="EM38">
            <v>0</v>
          </cell>
          <cell r="EN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20.57</v>
          </cell>
          <cell r="EV38">
            <v>1091.6500000000001</v>
          </cell>
          <cell r="EW38">
            <v>1</v>
          </cell>
          <cell r="EX38">
            <v>0</v>
          </cell>
          <cell r="EY38">
            <v>0</v>
          </cell>
          <cell r="EZ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20.57</v>
          </cell>
          <cell r="FH38">
            <v>1091.6500000000001</v>
          </cell>
          <cell r="FI38">
            <v>1</v>
          </cell>
          <cell r="FJ38">
            <v>0</v>
          </cell>
          <cell r="FK38">
            <v>0</v>
          </cell>
          <cell r="FL38">
            <v>0</v>
          </cell>
          <cell r="FN38">
            <v>0</v>
          </cell>
          <cell r="FO38">
            <v>0</v>
          </cell>
          <cell r="FP38">
            <v>0</v>
          </cell>
          <cell r="FQ38">
            <v>0</v>
          </cell>
          <cell r="FR38">
            <v>0</v>
          </cell>
          <cell r="FS38">
            <v>20.57</v>
          </cell>
          <cell r="FT38">
            <v>1091.6500000000001</v>
          </cell>
          <cell r="FU38">
            <v>1</v>
          </cell>
          <cell r="FV38">
            <v>0</v>
          </cell>
          <cell r="FW38">
            <v>0</v>
          </cell>
          <cell r="FX38">
            <v>0</v>
          </cell>
          <cell r="FZ38">
            <v>0</v>
          </cell>
          <cell r="GA38">
            <v>0</v>
          </cell>
          <cell r="GB38">
            <v>0</v>
          </cell>
          <cell r="GC38">
            <v>0</v>
          </cell>
          <cell r="GD38">
            <v>0</v>
          </cell>
          <cell r="GE38">
            <v>20.57</v>
          </cell>
          <cell r="GF38">
            <v>1091.6500000000001</v>
          </cell>
          <cell r="GG38">
            <v>1</v>
          </cell>
        </row>
        <row r="39">
          <cell r="U39">
            <v>34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10.5</v>
          </cell>
          <cell r="AF39">
            <v>3323.99</v>
          </cell>
          <cell r="AG39">
            <v>1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10.5</v>
          </cell>
          <cell r="AR39">
            <v>3323.99</v>
          </cell>
          <cell r="AS39">
            <v>1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10.5</v>
          </cell>
          <cell r="BD39">
            <v>3323.99</v>
          </cell>
          <cell r="BE39">
            <v>1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10.5</v>
          </cell>
          <cell r="BP39">
            <v>3323.99</v>
          </cell>
          <cell r="BQ39">
            <v>1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10.5</v>
          </cell>
          <cell r="CB39">
            <v>3323.99</v>
          </cell>
          <cell r="CC39">
            <v>1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10.5</v>
          </cell>
          <cell r="CN39">
            <v>3323.99</v>
          </cell>
          <cell r="CO39">
            <v>1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10.5</v>
          </cell>
          <cell r="CZ39">
            <v>3323.99</v>
          </cell>
          <cell r="DA39">
            <v>1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10.5</v>
          </cell>
          <cell r="DL39">
            <v>3323.99</v>
          </cell>
          <cell r="DM39">
            <v>1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10.5</v>
          </cell>
          <cell r="DX39">
            <v>3323.99</v>
          </cell>
          <cell r="DY39">
            <v>1</v>
          </cell>
          <cell r="DZ39">
            <v>0</v>
          </cell>
          <cell r="EA39">
            <v>0</v>
          </cell>
          <cell r="EB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10.5</v>
          </cell>
          <cell r="EJ39">
            <v>3323.99</v>
          </cell>
          <cell r="EK39">
            <v>1</v>
          </cell>
          <cell r="EL39">
            <v>0</v>
          </cell>
          <cell r="EM39">
            <v>0</v>
          </cell>
          <cell r="EN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10.5</v>
          </cell>
          <cell r="EV39">
            <v>3323.99</v>
          </cell>
          <cell r="EW39">
            <v>1</v>
          </cell>
          <cell r="EX39">
            <v>0</v>
          </cell>
          <cell r="EY39">
            <v>0</v>
          </cell>
          <cell r="EZ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10.5</v>
          </cell>
          <cell r="FH39">
            <v>3323.99</v>
          </cell>
          <cell r="FI39">
            <v>1</v>
          </cell>
          <cell r="FJ39">
            <v>0</v>
          </cell>
          <cell r="FK39">
            <v>0</v>
          </cell>
          <cell r="FL39">
            <v>0</v>
          </cell>
          <cell r="FN39">
            <v>0</v>
          </cell>
          <cell r="FO39">
            <v>0</v>
          </cell>
          <cell r="FP39">
            <v>0</v>
          </cell>
          <cell r="FQ39">
            <v>0</v>
          </cell>
          <cell r="FR39">
            <v>0</v>
          </cell>
          <cell r="FS39">
            <v>10.5</v>
          </cell>
          <cell r="FT39">
            <v>3323.99</v>
          </cell>
          <cell r="FU39">
            <v>1</v>
          </cell>
          <cell r="FV39">
            <v>0</v>
          </cell>
          <cell r="FW39">
            <v>0</v>
          </cell>
          <cell r="FX39">
            <v>0</v>
          </cell>
          <cell r="FZ39">
            <v>0</v>
          </cell>
          <cell r="GA39">
            <v>0</v>
          </cell>
          <cell r="GB39">
            <v>0</v>
          </cell>
          <cell r="GC39">
            <v>0</v>
          </cell>
          <cell r="GD39">
            <v>0</v>
          </cell>
          <cell r="GE39">
            <v>10.5</v>
          </cell>
          <cell r="GF39">
            <v>3323.99</v>
          </cell>
          <cell r="GG39">
            <v>1</v>
          </cell>
        </row>
        <row r="40">
          <cell r="U40">
            <v>35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30.16</v>
          </cell>
          <cell r="AF40">
            <v>329.95</v>
          </cell>
          <cell r="AG40">
            <v>1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30.16</v>
          </cell>
          <cell r="AR40">
            <v>329.95</v>
          </cell>
          <cell r="AS40">
            <v>1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30.16</v>
          </cell>
          <cell r="BD40">
            <v>329.95</v>
          </cell>
          <cell r="BE40">
            <v>1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30.16</v>
          </cell>
          <cell r="BP40">
            <v>329.95</v>
          </cell>
          <cell r="BQ40">
            <v>1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30.16</v>
          </cell>
          <cell r="CB40">
            <v>329.95</v>
          </cell>
          <cell r="CC40">
            <v>1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30.16</v>
          </cell>
          <cell r="CN40">
            <v>329.95</v>
          </cell>
          <cell r="CO40">
            <v>1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30.16</v>
          </cell>
          <cell r="CZ40">
            <v>329.95</v>
          </cell>
          <cell r="DA40">
            <v>1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30.16</v>
          </cell>
          <cell r="DL40">
            <v>329.95</v>
          </cell>
          <cell r="DM40">
            <v>1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30.16</v>
          </cell>
          <cell r="DX40">
            <v>329.95</v>
          </cell>
          <cell r="DY40">
            <v>1</v>
          </cell>
          <cell r="DZ40">
            <v>0</v>
          </cell>
          <cell r="EA40">
            <v>0</v>
          </cell>
          <cell r="EB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30.16</v>
          </cell>
          <cell r="EJ40">
            <v>329.95</v>
          </cell>
          <cell r="EK40">
            <v>1</v>
          </cell>
          <cell r="EL40">
            <v>0</v>
          </cell>
          <cell r="EM40">
            <v>0</v>
          </cell>
          <cell r="EN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30.16</v>
          </cell>
          <cell r="EV40">
            <v>329.95</v>
          </cell>
          <cell r="EW40">
            <v>1</v>
          </cell>
          <cell r="EX40">
            <v>0</v>
          </cell>
          <cell r="EY40">
            <v>0</v>
          </cell>
          <cell r="EZ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30.16</v>
          </cell>
          <cell r="FH40">
            <v>329.95</v>
          </cell>
          <cell r="FI40">
            <v>1</v>
          </cell>
          <cell r="FJ40">
            <v>0</v>
          </cell>
          <cell r="FK40">
            <v>0</v>
          </cell>
          <cell r="FL40">
            <v>0</v>
          </cell>
          <cell r="FN40">
            <v>0</v>
          </cell>
          <cell r="FO40">
            <v>0</v>
          </cell>
          <cell r="FP40">
            <v>0</v>
          </cell>
          <cell r="FQ40">
            <v>0</v>
          </cell>
          <cell r="FR40">
            <v>0</v>
          </cell>
          <cell r="FS40">
            <v>30.16</v>
          </cell>
          <cell r="FT40">
            <v>329.95</v>
          </cell>
          <cell r="FU40">
            <v>1</v>
          </cell>
          <cell r="FV40">
            <v>0</v>
          </cell>
          <cell r="FW40">
            <v>0</v>
          </cell>
          <cell r="FX40">
            <v>0</v>
          </cell>
          <cell r="FZ40">
            <v>0</v>
          </cell>
          <cell r="GA40">
            <v>0</v>
          </cell>
          <cell r="GB40">
            <v>0</v>
          </cell>
          <cell r="GC40">
            <v>0</v>
          </cell>
          <cell r="GD40">
            <v>0</v>
          </cell>
          <cell r="GE40">
            <v>30.16</v>
          </cell>
          <cell r="GF40">
            <v>329.95</v>
          </cell>
          <cell r="GG40">
            <v>1</v>
          </cell>
        </row>
        <row r="41">
          <cell r="U41">
            <v>36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164</v>
          </cell>
          <cell r="AF41">
            <v>1193.92</v>
          </cell>
          <cell r="AG41">
            <v>1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164</v>
          </cell>
          <cell r="AR41">
            <v>1193.92</v>
          </cell>
          <cell r="AS41">
            <v>1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164</v>
          </cell>
          <cell r="BD41">
            <v>1193.92</v>
          </cell>
          <cell r="BE41">
            <v>1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164</v>
          </cell>
          <cell r="BP41">
            <v>1193.92</v>
          </cell>
          <cell r="BQ41">
            <v>1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164</v>
          </cell>
          <cell r="CB41">
            <v>1193.92</v>
          </cell>
          <cell r="CC41">
            <v>1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164</v>
          </cell>
          <cell r="CN41">
            <v>1193.92</v>
          </cell>
          <cell r="CO41">
            <v>1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164</v>
          </cell>
          <cell r="CZ41">
            <v>1193.92</v>
          </cell>
          <cell r="DA41">
            <v>1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164</v>
          </cell>
          <cell r="DL41">
            <v>1193.92</v>
          </cell>
          <cell r="DM41">
            <v>1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164</v>
          </cell>
          <cell r="DX41">
            <v>1193.92</v>
          </cell>
          <cell r="DY41">
            <v>1</v>
          </cell>
          <cell r="DZ41">
            <v>0</v>
          </cell>
          <cell r="EA41">
            <v>0</v>
          </cell>
          <cell r="EB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164</v>
          </cell>
          <cell r="EJ41">
            <v>1193.92</v>
          </cell>
          <cell r="EK41">
            <v>1</v>
          </cell>
          <cell r="EL41">
            <v>0</v>
          </cell>
          <cell r="EM41">
            <v>0</v>
          </cell>
          <cell r="EN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164</v>
          </cell>
          <cell r="EV41">
            <v>1193.92</v>
          </cell>
          <cell r="EW41">
            <v>1</v>
          </cell>
          <cell r="EX41">
            <v>0</v>
          </cell>
          <cell r="EY41">
            <v>0</v>
          </cell>
          <cell r="EZ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164</v>
          </cell>
          <cell r="FH41">
            <v>1193.92</v>
          </cell>
          <cell r="FI41">
            <v>1</v>
          </cell>
          <cell r="FJ41">
            <v>0</v>
          </cell>
          <cell r="FK41">
            <v>0</v>
          </cell>
          <cell r="FL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  <cell r="FR41">
            <v>0</v>
          </cell>
          <cell r="FS41">
            <v>164</v>
          </cell>
          <cell r="FT41">
            <v>1193.92</v>
          </cell>
          <cell r="FU41">
            <v>1</v>
          </cell>
          <cell r="FV41">
            <v>0</v>
          </cell>
          <cell r="FW41">
            <v>0</v>
          </cell>
          <cell r="FX41">
            <v>0</v>
          </cell>
          <cell r="FZ41">
            <v>0</v>
          </cell>
          <cell r="GA41">
            <v>0</v>
          </cell>
          <cell r="GB41">
            <v>0</v>
          </cell>
          <cell r="GC41">
            <v>0</v>
          </cell>
          <cell r="GD41">
            <v>0</v>
          </cell>
          <cell r="GE41">
            <v>164</v>
          </cell>
          <cell r="GF41">
            <v>1193.92</v>
          </cell>
          <cell r="GG41">
            <v>1</v>
          </cell>
        </row>
        <row r="42">
          <cell r="U42">
            <v>37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49.25</v>
          </cell>
          <cell r="AF42">
            <v>8317.34</v>
          </cell>
          <cell r="AG42">
            <v>1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49.25</v>
          </cell>
          <cell r="AR42">
            <v>8317.34</v>
          </cell>
          <cell r="AS42">
            <v>1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49.25</v>
          </cell>
          <cell r="BD42">
            <v>8317.34</v>
          </cell>
          <cell r="BE42">
            <v>1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49.25</v>
          </cell>
          <cell r="BP42">
            <v>8317.34</v>
          </cell>
          <cell r="BQ42">
            <v>1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49.25</v>
          </cell>
          <cell r="CB42">
            <v>8317.34</v>
          </cell>
          <cell r="CC42">
            <v>1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49.25</v>
          </cell>
          <cell r="CN42">
            <v>8317.34</v>
          </cell>
          <cell r="CO42">
            <v>1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49.25</v>
          </cell>
          <cell r="CZ42">
            <v>8317.34</v>
          </cell>
          <cell r="DA42">
            <v>1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49.25</v>
          </cell>
          <cell r="DL42">
            <v>8317.34</v>
          </cell>
          <cell r="DM42">
            <v>1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49.25</v>
          </cell>
          <cell r="DX42">
            <v>8317.34</v>
          </cell>
          <cell r="DY42">
            <v>1</v>
          </cell>
          <cell r="DZ42">
            <v>0</v>
          </cell>
          <cell r="EA42">
            <v>0</v>
          </cell>
          <cell r="EB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49.25</v>
          </cell>
          <cell r="EJ42">
            <v>8317.34</v>
          </cell>
          <cell r="EK42">
            <v>1</v>
          </cell>
          <cell r="EL42">
            <v>0</v>
          </cell>
          <cell r="EM42">
            <v>0</v>
          </cell>
          <cell r="EN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49.25</v>
          </cell>
          <cell r="EV42">
            <v>8317.34</v>
          </cell>
          <cell r="EW42">
            <v>1</v>
          </cell>
          <cell r="EX42">
            <v>0</v>
          </cell>
          <cell r="EY42">
            <v>0</v>
          </cell>
          <cell r="EZ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49.25</v>
          </cell>
          <cell r="FH42">
            <v>8317.34</v>
          </cell>
          <cell r="FI42">
            <v>1</v>
          </cell>
          <cell r="FJ42">
            <v>0</v>
          </cell>
          <cell r="FK42">
            <v>0</v>
          </cell>
          <cell r="FL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49.25</v>
          </cell>
          <cell r="FT42">
            <v>8317.34</v>
          </cell>
          <cell r="FU42">
            <v>1</v>
          </cell>
          <cell r="FV42">
            <v>0</v>
          </cell>
          <cell r="FW42">
            <v>0</v>
          </cell>
          <cell r="FX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  <cell r="GE42">
            <v>49.25</v>
          </cell>
          <cell r="GF42">
            <v>8317.34</v>
          </cell>
          <cell r="GG42">
            <v>1</v>
          </cell>
        </row>
        <row r="43">
          <cell r="U43">
            <v>38</v>
          </cell>
          <cell r="W43">
            <v>0</v>
          </cell>
          <cell r="X43">
            <v>0</v>
          </cell>
          <cell r="Z43">
            <v>0</v>
          </cell>
          <cell r="AA43">
            <v>0</v>
          </cell>
          <cell r="AC43">
            <v>0</v>
          </cell>
          <cell r="AD43">
            <v>0</v>
          </cell>
          <cell r="AF43">
            <v>3385971.73</v>
          </cell>
          <cell r="AG43">
            <v>1</v>
          </cell>
          <cell r="AI43">
            <v>0</v>
          </cell>
          <cell r="AJ43">
            <v>0</v>
          </cell>
          <cell r="AL43">
            <v>26126.969999999998</v>
          </cell>
          <cell r="AM43">
            <v>7.716239851772182E-3</v>
          </cell>
          <cell r="AO43">
            <v>26126.969999999998</v>
          </cell>
          <cell r="AP43">
            <v>7.716239851772182E-3</v>
          </cell>
          <cell r="AR43">
            <v>3359844.76</v>
          </cell>
          <cell r="AS43">
            <v>0.99228376014822783</v>
          </cell>
          <cell r="AU43">
            <v>26126.969999999998</v>
          </cell>
          <cell r="AV43">
            <v>7.716239851772182E-3</v>
          </cell>
          <cell r="AX43">
            <v>465188.76000000007</v>
          </cell>
          <cell r="AY43">
            <v>0.13738707735755373</v>
          </cell>
          <cell r="BA43">
            <v>491315.73000000004</v>
          </cell>
          <cell r="BB43">
            <v>0.14510331720932593</v>
          </cell>
          <cell r="BD43">
            <v>2894656</v>
          </cell>
          <cell r="BE43">
            <v>0.8548966827906741</v>
          </cell>
          <cell r="BG43">
            <v>491315.73000000004</v>
          </cell>
          <cell r="BH43">
            <v>0.14510331720932593</v>
          </cell>
          <cell r="BJ43">
            <v>247152.22999999992</v>
          </cell>
          <cell r="BK43">
            <v>7.2992998674563631E-2</v>
          </cell>
          <cell r="BM43">
            <v>738467.96</v>
          </cell>
          <cell r="BN43">
            <v>0.21809631588388956</v>
          </cell>
          <cell r="BP43">
            <v>2647503.77</v>
          </cell>
          <cell r="BQ43">
            <v>0.78190368411611044</v>
          </cell>
          <cell r="BS43">
            <v>738467.96</v>
          </cell>
          <cell r="BT43">
            <v>0.21809631588388956</v>
          </cell>
          <cell r="BV43">
            <v>314243.54000000004</v>
          </cell>
          <cell r="BW43">
            <v>9.2807490746533772E-2</v>
          </cell>
          <cell r="BY43">
            <v>1052711.5</v>
          </cell>
          <cell r="BZ43">
            <v>0.31090380663042333</v>
          </cell>
          <cell r="CB43">
            <v>2333260.23</v>
          </cell>
          <cell r="CC43">
            <v>0.68909619336957673</v>
          </cell>
          <cell r="CE43">
            <v>1052711.5</v>
          </cell>
          <cell r="CF43">
            <v>0.31090380663042333</v>
          </cell>
          <cell r="CH43">
            <v>0</v>
          </cell>
          <cell r="CI43">
            <v>0</v>
          </cell>
          <cell r="CK43">
            <v>1052711.5</v>
          </cell>
          <cell r="CL43">
            <v>0.31090380663042333</v>
          </cell>
          <cell r="CN43">
            <v>2333260.23</v>
          </cell>
          <cell r="CO43">
            <v>0.68909619336957673</v>
          </cell>
          <cell r="CQ43">
            <v>1052711.5</v>
          </cell>
          <cell r="CR43">
            <v>0.31090380663042333</v>
          </cell>
          <cell r="CT43">
            <v>0</v>
          </cell>
          <cell r="CU43">
            <v>0</v>
          </cell>
          <cell r="CW43">
            <v>1052711.5</v>
          </cell>
          <cell r="CX43">
            <v>0.31090380663042333</v>
          </cell>
          <cell r="CZ43">
            <v>2333260.23</v>
          </cell>
          <cell r="DA43">
            <v>0.68909619336957673</v>
          </cell>
          <cell r="DC43">
            <v>1052711.5</v>
          </cell>
          <cell r="DD43">
            <v>0.31090380663042333</v>
          </cell>
          <cell r="DF43">
            <v>0</v>
          </cell>
          <cell r="DG43">
            <v>0</v>
          </cell>
          <cell r="DI43">
            <v>1052711.5</v>
          </cell>
          <cell r="DJ43">
            <v>0.31090380663042333</v>
          </cell>
          <cell r="DL43">
            <v>2333260.23</v>
          </cell>
          <cell r="DM43">
            <v>0.68909619336957673</v>
          </cell>
          <cell r="DO43">
            <v>1052711.5</v>
          </cell>
          <cell r="DP43">
            <v>0.31090380663042333</v>
          </cell>
          <cell r="DR43">
            <v>0</v>
          </cell>
          <cell r="DS43">
            <v>0</v>
          </cell>
          <cell r="DU43">
            <v>1052711.5</v>
          </cell>
          <cell r="DV43">
            <v>0.31090380663042333</v>
          </cell>
          <cell r="DX43">
            <v>2333260.23</v>
          </cell>
          <cell r="DY43">
            <v>0.68909619336957673</v>
          </cell>
          <cell r="EA43">
            <v>1052711.5</v>
          </cell>
          <cell r="EB43">
            <v>0.31090380663042333</v>
          </cell>
          <cell r="ED43">
            <v>0</v>
          </cell>
          <cell r="EE43">
            <v>0</v>
          </cell>
          <cell r="EG43">
            <v>1052711.5</v>
          </cell>
          <cell r="EH43">
            <v>0.31090380663042333</v>
          </cell>
          <cell r="EJ43">
            <v>2333260.23</v>
          </cell>
          <cell r="EK43">
            <v>0.68909619336957673</v>
          </cell>
          <cell r="EM43">
            <v>1052711.5</v>
          </cell>
          <cell r="EN43">
            <v>0.31090380663042333</v>
          </cell>
          <cell r="EP43">
            <v>0</v>
          </cell>
          <cell r="EQ43">
            <v>0</v>
          </cell>
          <cell r="ES43">
            <v>1052711.5</v>
          </cell>
          <cell r="ET43">
            <v>0.31090380663042333</v>
          </cell>
          <cell r="EV43">
            <v>2333260.23</v>
          </cell>
          <cell r="EW43">
            <v>0.68909619336957673</v>
          </cell>
          <cell r="EY43">
            <v>1052711.5</v>
          </cell>
          <cell r="EZ43">
            <v>0.31090380663042333</v>
          </cell>
          <cell r="FB43">
            <v>0</v>
          </cell>
          <cell r="FC43">
            <v>0</v>
          </cell>
          <cell r="FE43">
            <v>1052711.5</v>
          </cell>
          <cell r="FF43">
            <v>0.31090380663042333</v>
          </cell>
          <cell r="FH43">
            <v>2333260.23</v>
          </cell>
          <cell r="FI43">
            <v>0.68909619336957673</v>
          </cell>
          <cell r="FK43">
            <v>1052711.5</v>
          </cell>
          <cell r="FL43">
            <v>0.31090380663042333</v>
          </cell>
          <cell r="FN43">
            <v>0</v>
          </cell>
          <cell r="FO43">
            <v>0</v>
          </cell>
          <cell r="FQ43">
            <v>1052711.5</v>
          </cell>
          <cell r="FR43">
            <v>0.31090380663042333</v>
          </cell>
          <cell r="FT43">
            <v>2333260.23</v>
          </cell>
          <cell r="FU43">
            <v>0.68909619336957673</v>
          </cell>
          <cell r="FW43">
            <v>1052711.5</v>
          </cell>
          <cell r="FX43">
            <v>0.31090380663042333</v>
          </cell>
          <cell r="FZ43">
            <v>0</v>
          </cell>
          <cell r="GA43">
            <v>0</v>
          </cell>
          <cell r="GC43">
            <v>1052711.5</v>
          </cell>
          <cell r="GD43">
            <v>0.31090380663042333</v>
          </cell>
          <cell r="GF43">
            <v>2333260.23</v>
          </cell>
          <cell r="GG43">
            <v>0.68909619336957673</v>
          </cell>
        </row>
        <row r="44">
          <cell r="U44">
            <v>39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186121.1</v>
          </cell>
          <cell r="AF44">
            <v>789153.46</v>
          </cell>
          <cell r="AG44">
            <v>1</v>
          </cell>
          <cell r="AH44">
            <v>0</v>
          </cell>
          <cell r="AI44">
            <v>0</v>
          </cell>
          <cell r="AJ44">
            <v>0</v>
          </cell>
          <cell r="AK44">
            <v>1067.02</v>
          </cell>
          <cell r="AL44">
            <v>4524.16</v>
          </cell>
          <cell r="AM44">
            <v>5.7329280416511131E-3</v>
          </cell>
          <cell r="AN44">
            <v>1067.02</v>
          </cell>
          <cell r="AO44">
            <v>4524.16</v>
          </cell>
          <cell r="AP44">
            <v>5.7329280416511131E-3</v>
          </cell>
          <cell r="AQ44">
            <v>185054.08000000002</v>
          </cell>
          <cell r="AR44">
            <v>784629.29999999993</v>
          </cell>
          <cell r="AS44">
            <v>0.99426707195834885</v>
          </cell>
          <cell r="AT44">
            <v>1067.02</v>
          </cell>
          <cell r="AU44">
            <v>4524.16</v>
          </cell>
          <cell r="AV44">
            <v>5.7329280416511131E-3</v>
          </cell>
          <cell r="AW44">
            <v>24160.39</v>
          </cell>
          <cell r="AX44">
            <v>102440.06</v>
          </cell>
          <cell r="AY44">
            <v>0.12981006254474256</v>
          </cell>
          <cell r="AZ44">
            <v>25227.41</v>
          </cell>
          <cell r="BA44">
            <v>106964.22</v>
          </cell>
          <cell r="BB44">
            <v>0.13554299058639369</v>
          </cell>
          <cell r="BC44">
            <v>160893.69</v>
          </cell>
          <cell r="BD44">
            <v>682189.24</v>
          </cell>
          <cell r="BE44">
            <v>0.86445700941360637</v>
          </cell>
          <cell r="BF44">
            <v>25227.41</v>
          </cell>
          <cell r="BG44">
            <v>106964.22</v>
          </cell>
          <cell r="BH44">
            <v>0.13554299058639369</v>
          </cell>
          <cell r="BI44">
            <v>21228.36</v>
          </cell>
          <cell r="BJ44">
            <v>90008.239999999991</v>
          </cell>
          <cell r="BK44">
            <v>0.11405670070812335</v>
          </cell>
          <cell r="BL44">
            <v>46455.770000000004</v>
          </cell>
          <cell r="BM44">
            <v>196972.46</v>
          </cell>
          <cell r="BN44">
            <v>0.24959969129451703</v>
          </cell>
          <cell r="BO44">
            <v>139665.33000000002</v>
          </cell>
          <cell r="BP44">
            <v>592181</v>
          </cell>
          <cell r="BQ44">
            <v>0.75040030870548291</v>
          </cell>
          <cell r="BR44">
            <v>46455.770000000004</v>
          </cell>
          <cell r="BS44">
            <v>196972.46</v>
          </cell>
          <cell r="BT44">
            <v>0.24959969129451703</v>
          </cell>
          <cell r="BU44">
            <v>9487.35</v>
          </cell>
          <cell r="BV44">
            <v>40226.369999999995</v>
          </cell>
          <cell r="BW44">
            <v>5.0974077969575149E-2</v>
          </cell>
          <cell r="BX44">
            <v>55943.12</v>
          </cell>
          <cell r="BY44">
            <v>237198.83</v>
          </cell>
          <cell r="BZ44">
            <v>0.30057376926409218</v>
          </cell>
          <cell r="CA44">
            <v>130177.98000000001</v>
          </cell>
          <cell r="CB44">
            <v>551954.63</v>
          </cell>
          <cell r="CC44">
            <v>0.69942623073590782</v>
          </cell>
          <cell r="CD44">
            <v>55943.12</v>
          </cell>
          <cell r="CE44">
            <v>237198.83</v>
          </cell>
          <cell r="CF44">
            <v>0.30057376926409218</v>
          </cell>
          <cell r="CG44">
            <v>0</v>
          </cell>
          <cell r="CH44">
            <v>0</v>
          </cell>
          <cell r="CI44">
            <v>0</v>
          </cell>
          <cell r="CJ44">
            <v>55943.12</v>
          </cell>
          <cell r="CK44">
            <v>237198.83</v>
          </cell>
          <cell r="CL44">
            <v>0.30057376926409218</v>
          </cell>
          <cell r="CM44">
            <v>130177.98000000001</v>
          </cell>
          <cell r="CN44">
            <v>551954.63</v>
          </cell>
          <cell r="CO44">
            <v>0.69942623073590782</v>
          </cell>
          <cell r="CP44">
            <v>55943.12</v>
          </cell>
          <cell r="CQ44">
            <v>237198.83</v>
          </cell>
          <cell r="CR44">
            <v>0.30057376926409218</v>
          </cell>
          <cell r="CS44">
            <v>0</v>
          </cell>
          <cell r="CT44">
            <v>0</v>
          </cell>
          <cell r="CU44">
            <v>0</v>
          </cell>
          <cell r="CV44">
            <v>55943.12</v>
          </cell>
          <cell r="CW44">
            <v>237198.83</v>
          </cell>
          <cell r="CX44">
            <v>0.30057376926409218</v>
          </cell>
          <cell r="CY44">
            <v>130177.98000000001</v>
          </cell>
          <cell r="CZ44">
            <v>551954.63</v>
          </cell>
          <cell r="DA44">
            <v>0.69942623073590782</v>
          </cell>
          <cell r="DB44">
            <v>55943.12</v>
          </cell>
          <cell r="DC44">
            <v>237198.83</v>
          </cell>
          <cell r="DD44">
            <v>0.30057376926409218</v>
          </cell>
          <cell r="DE44">
            <v>0</v>
          </cell>
          <cell r="DF44">
            <v>0</v>
          </cell>
          <cell r="DG44">
            <v>0</v>
          </cell>
          <cell r="DH44">
            <v>55943.12</v>
          </cell>
          <cell r="DI44">
            <v>237198.83</v>
          </cell>
          <cell r="DJ44">
            <v>0.30057376926409218</v>
          </cell>
          <cell r="DK44">
            <v>130177.98000000001</v>
          </cell>
          <cell r="DL44">
            <v>551954.63</v>
          </cell>
          <cell r="DM44">
            <v>0.69942623073590782</v>
          </cell>
          <cell r="DN44">
            <v>55943.12</v>
          </cell>
          <cell r="DO44">
            <v>237198.83</v>
          </cell>
          <cell r="DP44">
            <v>0.30057376926409218</v>
          </cell>
          <cell r="DQ44">
            <v>0</v>
          </cell>
          <cell r="DR44">
            <v>0</v>
          </cell>
          <cell r="DS44">
            <v>0</v>
          </cell>
          <cell r="DT44">
            <v>55943.12</v>
          </cell>
          <cell r="DU44">
            <v>237198.83</v>
          </cell>
          <cell r="DV44">
            <v>0.30057376926409218</v>
          </cell>
          <cell r="DW44">
            <v>130177.98000000001</v>
          </cell>
          <cell r="DX44">
            <v>551954.63</v>
          </cell>
          <cell r="DY44">
            <v>0.69942623073590782</v>
          </cell>
          <cell r="DZ44">
            <v>55943.12</v>
          </cell>
          <cell r="EA44">
            <v>237198.83</v>
          </cell>
          <cell r="EB44">
            <v>0.30057376926409218</v>
          </cell>
          <cell r="ED44">
            <v>0</v>
          </cell>
          <cell r="EE44">
            <v>0</v>
          </cell>
          <cell r="EF44">
            <v>55943.12</v>
          </cell>
          <cell r="EG44">
            <v>237198.83</v>
          </cell>
          <cell r="EH44">
            <v>0.30057376926409218</v>
          </cell>
          <cell r="EI44">
            <v>130177.98000000001</v>
          </cell>
          <cell r="EJ44">
            <v>551954.63</v>
          </cell>
          <cell r="EK44">
            <v>0.69942623073590782</v>
          </cell>
          <cell r="EL44">
            <v>55943.12</v>
          </cell>
          <cell r="EM44">
            <v>237198.83</v>
          </cell>
          <cell r="EN44">
            <v>0.30057376926409218</v>
          </cell>
          <cell r="EP44">
            <v>0</v>
          </cell>
          <cell r="EQ44">
            <v>0</v>
          </cell>
          <cell r="ER44">
            <v>55943.12</v>
          </cell>
          <cell r="ES44">
            <v>237198.83</v>
          </cell>
          <cell r="ET44">
            <v>0.30057376926409218</v>
          </cell>
          <cell r="EU44">
            <v>130177.98000000001</v>
          </cell>
          <cell r="EV44">
            <v>551954.63</v>
          </cell>
          <cell r="EW44">
            <v>0.69942623073590782</v>
          </cell>
          <cell r="EX44">
            <v>55943.12</v>
          </cell>
          <cell r="EY44">
            <v>237198.83</v>
          </cell>
          <cell r="EZ44">
            <v>0.30057376926409218</v>
          </cell>
          <cell r="FB44">
            <v>0</v>
          </cell>
          <cell r="FC44">
            <v>0</v>
          </cell>
          <cell r="FD44">
            <v>55943.12</v>
          </cell>
          <cell r="FE44">
            <v>237198.83</v>
          </cell>
          <cell r="FF44">
            <v>0.30057376926409218</v>
          </cell>
          <cell r="FG44">
            <v>130177.98000000001</v>
          </cell>
          <cell r="FH44">
            <v>551954.63</v>
          </cell>
          <cell r="FI44">
            <v>0.69942623073590782</v>
          </cell>
          <cell r="FJ44">
            <v>55943.12</v>
          </cell>
          <cell r="FK44">
            <v>237198.83</v>
          </cell>
          <cell r="FL44">
            <v>0.30057376926409218</v>
          </cell>
          <cell r="FN44">
            <v>0</v>
          </cell>
          <cell r="FO44">
            <v>0</v>
          </cell>
          <cell r="FP44">
            <v>55943.12</v>
          </cell>
          <cell r="FQ44">
            <v>237198.83</v>
          </cell>
          <cell r="FR44">
            <v>0.30057376926409218</v>
          </cell>
          <cell r="FS44">
            <v>130177.98000000001</v>
          </cell>
          <cell r="FT44">
            <v>551954.63</v>
          </cell>
          <cell r="FU44">
            <v>0.69942623073590782</v>
          </cell>
          <cell r="FV44">
            <v>55943.12</v>
          </cell>
          <cell r="FW44">
            <v>237198.83</v>
          </cell>
          <cell r="FX44">
            <v>0.30057376926409218</v>
          </cell>
          <cell r="FZ44">
            <v>0</v>
          </cell>
          <cell r="GA44">
            <v>0</v>
          </cell>
          <cell r="GB44">
            <v>55943.12</v>
          </cell>
          <cell r="GC44">
            <v>237198.83</v>
          </cell>
          <cell r="GD44">
            <v>0.30057376926409218</v>
          </cell>
          <cell r="GE44">
            <v>130177.98000000001</v>
          </cell>
          <cell r="GF44">
            <v>551954.63</v>
          </cell>
          <cell r="GG44">
            <v>0.69942623073590782</v>
          </cell>
        </row>
        <row r="45">
          <cell r="U45">
            <v>40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1245609.01</v>
          </cell>
          <cell r="AF45">
            <v>959118.94</v>
          </cell>
          <cell r="AG45">
            <v>1</v>
          </cell>
          <cell r="AH45">
            <v>0</v>
          </cell>
          <cell r="AI45">
            <v>0</v>
          </cell>
          <cell r="AJ45">
            <v>0</v>
          </cell>
          <cell r="AK45">
            <v>26052.31</v>
          </cell>
          <cell r="AL45">
            <v>20060.28</v>
          </cell>
          <cell r="AM45">
            <v>2.0915320471098193E-2</v>
          </cell>
          <cell r="AN45">
            <v>26052.31</v>
          </cell>
          <cell r="AO45">
            <v>20060.28</v>
          </cell>
          <cell r="AP45">
            <v>2.0915320471098193E-2</v>
          </cell>
          <cell r="AQ45">
            <v>1219556.7</v>
          </cell>
          <cell r="AR45">
            <v>939058.65999999992</v>
          </cell>
          <cell r="AS45">
            <v>0.97908467952890177</v>
          </cell>
          <cell r="AT45">
            <v>26052.31</v>
          </cell>
          <cell r="AU45">
            <v>20060.28</v>
          </cell>
          <cell r="AV45">
            <v>2.0915320471098193E-2</v>
          </cell>
          <cell r="AW45">
            <v>467748.43</v>
          </cell>
          <cell r="AX45">
            <v>360166.29000000004</v>
          </cell>
          <cell r="AY45">
            <v>0.37551785808754862</v>
          </cell>
          <cell r="AZ45">
            <v>493800.74</v>
          </cell>
          <cell r="BA45">
            <v>380226.57</v>
          </cell>
          <cell r="BB45">
            <v>0.39643317855864679</v>
          </cell>
          <cell r="BC45">
            <v>751808.27</v>
          </cell>
          <cell r="BD45">
            <v>578892.36999999988</v>
          </cell>
          <cell r="BE45">
            <v>0.60356682144135321</v>
          </cell>
          <cell r="BF45">
            <v>493800.74</v>
          </cell>
          <cell r="BG45">
            <v>380226.57</v>
          </cell>
          <cell r="BH45">
            <v>0.39643317855864679</v>
          </cell>
          <cell r="BI45">
            <v>126520.31</v>
          </cell>
          <cell r="BJ45">
            <v>97420.640000000014</v>
          </cell>
          <cell r="BK45">
            <v>0.10157305411985712</v>
          </cell>
          <cell r="BL45">
            <v>620321.05000000005</v>
          </cell>
          <cell r="BM45">
            <v>477647.21</v>
          </cell>
          <cell r="BN45">
            <v>0.49800623267850391</v>
          </cell>
          <cell r="BO45">
            <v>625287.96</v>
          </cell>
          <cell r="BP45">
            <v>481471.72999999992</v>
          </cell>
          <cell r="BQ45">
            <v>0.50199376732149603</v>
          </cell>
          <cell r="BR45">
            <v>620321.05000000005</v>
          </cell>
          <cell r="BS45">
            <v>477647.21</v>
          </cell>
          <cell r="BT45">
            <v>0.49800623267850391</v>
          </cell>
          <cell r="BU45">
            <v>176047.59</v>
          </cell>
          <cell r="BV45">
            <v>135556.63999999996</v>
          </cell>
          <cell r="BW45">
            <v>0.14133454605744727</v>
          </cell>
          <cell r="BX45">
            <v>796368.64</v>
          </cell>
          <cell r="BY45">
            <v>613203.85</v>
          </cell>
          <cell r="BZ45">
            <v>0.63934077873595119</v>
          </cell>
          <cell r="CA45">
            <v>449240.37</v>
          </cell>
          <cell r="CB45">
            <v>345915.08999999997</v>
          </cell>
          <cell r="CC45">
            <v>0.36065922126404881</v>
          </cell>
          <cell r="CD45">
            <v>796368.64</v>
          </cell>
          <cell r="CE45">
            <v>613203.85</v>
          </cell>
          <cell r="CF45">
            <v>0.63934077873595119</v>
          </cell>
          <cell r="CG45">
            <v>0</v>
          </cell>
          <cell r="CH45">
            <v>0</v>
          </cell>
          <cell r="CI45">
            <v>0</v>
          </cell>
          <cell r="CJ45">
            <v>796368.64</v>
          </cell>
          <cell r="CK45">
            <v>613203.85</v>
          </cell>
          <cell r="CL45">
            <v>0.63934077873595119</v>
          </cell>
          <cell r="CM45">
            <v>449240.37</v>
          </cell>
          <cell r="CN45">
            <v>345915.08999999997</v>
          </cell>
          <cell r="CO45">
            <v>0.36065922126404881</v>
          </cell>
          <cell r="CP45">
            <v>796368.64</v>
          </cell>
          <cell r="CQ45">
            <v>613203.85</v>
          </cell>
          <cell r="CR45">
            <v>0.63934077873595119</v>
          </cell>
          <cell r="CS45">
            <v>0</v>
          </cell>
          <cell r="CT45">
            <v>0</v>
          </cell>
          <cell r="CU45">
            <v>0</v>
          </cell>
          <cell r="CV45">
            <v>796368.64</v>
          </cell>
          <cell r="CW45">
            <v>613203.85</v>
          </cell>
          <cell r="CX45">
            <v>0.63934077873595119</v>
          </cell>
          <cell r="CY45">
            <v>449240.37</v>
          </cell>
          <cell r="CZ45">
            <v>345915.08999999997</v>
          </cell>
          <cell r="DA45">
            <v>0.36065922126404881</v>
          </cell>
          <cell r="DB45">
            <v>796368.64</v>
          </cell>
          <cell r="DC45">
            <v>613203.85</v>
          </cell>
          <cell r="DD45">
            <v>0.63934077873595119</v>
          </cell>
          <cell r="DE45">
            <v>0</v>
          </cell>
          <cell r="DF45">
            <v>0</v>
          </cell>
          <cell r="DG45">
            <v>0</v>
          </cell>
          <cell r="DH45">
            <v>796368.64</v>
          </cell>
          <cell r="DI45">
            <v>613203.85</v>
          </cell>
          <cell r="DJ45">
            <v>0.63934077873595119</v>
          </cell>
          <cell r="DK45">
            <v>449240.37</v>
          </cell>
          <cell r="DL45">
            <v>345915.08999999997</v>
          </cell>
          <cell r="DM45">
            <v>0.36065922126404881</v>
          </cell>
          <cell r="DN45">
            <v>796368.64</v>
          </cell>
          <cell r="DO45">
            <v>613203.85</v>
          </cell>
          <cell r="DP45">
            <v>0.63934077873595119</v>
          </cell>
          <cell r="DQ45">
            <v>0</v>
          </cell>
          <cell r="DR45">
            <v>0</v>
          </cell>
          <cell r="DS45">
            <v>0</v>
          </cell>
          <cell r="DT45">
            <v>796368.64</v>
          </cell>
          <cell r="DU45">
            <v>613203.85</v>
          </cell>
          <cell r="DV45">
            <v>0.63934077873595119</v>
          </cell>
          <cell r="DW45">
            <v>449240.37</v>
          </cell>
          <cell r="DX45">
            <v>345915.08999999997</v>
          </cell>
          <cell r="DY45">
            <v>0.36065922126404881</v>
          </cell>
          <cell r="DZ45">
            <v>796368.64</v>
          </cell>
          <cell r="EA45">
            <v>613203.85</v>
          </cell>
          <cell r="EB45">
            <v>0.63934077873595119</v>
          </cell>
          <cell r="ED45">
            <v>0</v>
          </cell>
          <cell r="EE45">
            <v>0</v>
          </cell>
          <cell r="EF45">
            <v>796368.64</v>
          </cell>
          <cell r="EG45">
            <v>613203.85</v>
          </cell>
          <cell r="EH45">
            <v>0.63934077873595119</v>
          </cell>
          <cell r="EI45">
            <v>449240.37</v>
          </cell>
          <cell r="EJ45">
            <v>345915.08999999997</v>
          </cell>
          <cell r="EK45">
            <v>0.36065922126404881</v>
          </cell>
          <cell r="EL45">
            <v>796368.64</v>
          </cell>
          <cell r="EM45">
            <v>613203.85</v>
          </cell>
          <cell r="EN45">
            <v>0.63934077873595119</v>
          </cell>
          <cell r="EP45">
            <v>0</v>
          </cell>
          <cell r="EQ45">
            <v>0</v>
          </cell>
          <cell r="ER45">
            <v>796368.64</v>
          </cell>
          <cell r="ES45">
            <v>613203.85</v>
          </cell>
          <cell r="ET45">
            <v>0.63934077873595119</v>
          </cell>
          <cell r="EU45">
            <v>449240.37</v>
          </cell>
          <cell r="EV45">
            <v>345915.08999999997</v>
          </cell>
          <cell r="EW45">
            <v>0.36065922126404881</v>
          </cell>
          <cell r="EX45">
            <v>796368.64</v>
          </cell>
          <cell r="EY45">
            <v>613203.85</v>
          </cell>
          <cell r="EZ45">
            <v>0.63934077873595119</v>
          </cell>
          <cell r="FB45">
            <v>0</v>
          </cell>
          <cell r="FC45">
            <v>0</v>
          </cell>
          <cell r="FD45">
            <v>796368.64</v>
          </cell>
          <cell r="FE45">
            <v>613203.85</v>
          </cell>
          <cell r="FF45">
            <v>0.63934077873595119</v>
          </cell>
          <cell r="FG45">
            <v>449240.37</v>
          </cell>
          <cell r="FH45">
            <v>345915.08999999997</v>
          </cell>
          <cell r="FI45">
            <v>0.36065922126404881</v>
          </cell>
          <cell r="FJ45">
            <v>796368.64</v>
          </cell>
          <cell r="FK45">
            <v>613203.85</v>
          </cell>
          <cell r="FL45">
            <v>0.63934077873595119</v>
          </cell>
          <cell r="FN45">
            <v>0</v>
          </cell>
          <cell r="FO45">
            <v>0</v>
          </cell>
          <cell r="FP45">
            <v>796368.64</v>
          </cell>
          <cell r="FQ45">
            <v>613203.85</v>
          </cell>
          <cell r="FR45">
            <v>0.63934077873595119</v>
          </cell>
          <cell r="FS45">
            <v>449240.37</v>
          </cell>
          <cell r="FT45">
            <v>345915.08999999997</v>
          </cell>
          <cell r="FU45">
            <v>0.36065922126404881</v>
          </cell>
          <cell r="FV45">
            <v>796368.64</v>
          </cell>
          <cell r="FW45">
            <v>613203.85</v>
          </cell>
          <cell r="FX45">
            <v>0.63934077873595119</v>
          </cell>
          <cell r="FZ45">
            <v>0</v>
          </cell>
          <cell r="GA45">
            <v>0</v>
          </cell>
          <cell r="GB45">
            <v>796368.64</v>
          </cell>
          <cell r="GC45">
            <v>613203.85</v>
          </cell>
          <cell r="GD45">
            <v>0.63934077873595119</v>
          </cell>
          <cell r="GE45">
            <v>449240.37</v>
          </cell>
          <cell r="GF45">
            <v>345915.08999999997</v>
          </cell>
          <cell r="GG45">
            <v>0.36065922126404881</v>
          </cell>
        </row>
        <row r="46">
          <cell r="U46">
            <v>41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56927.99</v>
          </cell>
          <cell r="AF46">
            <v>504381.99</v>
          </cell>
          <cell r="AG46">
            <v>1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56927.99</v>
          </cell>
          <cell r="AR46">
            <v>504381.99</v>
          </cell>
          <cell r="AS46">
            <v>1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56927.99</v>
          </cell>
          <cell r="BD46">
            <v>504381.99</v>
          </cell>
          <cell r="BE46">
            <v>1</v>
          </cell>
          <cell r="BF46">
            <v>0</v>
          </cell>
          <cell r="BG46">
            <v>0</v>
          </cell>
          <cell r="BH46">
            <v>0</v>
          </cell>
          <cell r="BI46">
            <v>1941.81</v>
          </cell>
          <cell r="BJ46">
            <v>17204.439999999999</v>
          </cell>
          <cell r="BK46">
            <v>3.4109941157891066E-2</v>
          </cell>
          <cell r="BL46">
            <v>1941.81</v>
          </cell>
          <cell r="BM46">
            <v>17204.439999999999</v>
          </cell>
          <cell r="BN46">
            <v>3.4109941157891066E-2</v>
          </cell>
          <cell r="BO46">
            <v>54986.18</v>
          </cell>
          <cell r="BP46">
            <v>487177.55</v>
          </cell>
          <cell r="BQ46">
            <v>0.96589005884210888</v>
          </cell>
          <cell r="BR46">
            <v>1941.81</v>
          </cell>
          <cell r="BS46">
            <v>17204.439999999999</v>
          </cell>
          <cell r="BT46">
            <v>3.4109941157891066E-2</v>
          </cell>
          <cell r="BU46">
            <v>5029.3999999999996</v>
          </cell>
          <cell r="BV46">
            <v>44560.479999999996</v>
          </cell>
          <cell r="BW46">
            <v>8.8346691363821298E-2</v>
          </cell>
          <cell r="BX46">
            <v>6971.2099999999991</v>
          </cell>
          <cell r="BY46">
            <v>61764.92</v>
          </cell>
          <cell r="BZ46">
            <v>0.12245663252171236</v>
          </cell>
          <cell r="CA46">
            <v>49956.78</v>
          </cell>
          <cell r="CB46">
            <v>442617.07</v>
          </cell>
          <cell r="CC46">
            <v>0.87754336747828765</v>
          </cell>
          <cell r="CD46">
            <v>6971.2099999999991</v>
          </cell>
          <cell r="CE46">
            <v>61764.92</v>
          </cell>
          <cell r="CF46">
            <v>0.12245663252171236</v>
          </cell>
          <cell r="CG46">
            <v>0</v>
          </cell>
          <cell r="CH46">
            <v>0</v>
          </cell>
          <cell r="CI46">
            <v>0</v>
          </cell>
          <cell r="CJ46">
            <v>6971.2099999999991</v>
          </cell>
          <cell r="CK46">
            <v>61764.92</v>
          </cell>
          <cell r="CL46">
            <v>0.12245663252171236</v>
          </cell>
          <cell r="CM46">
            <v>49956.78</v>
          </cell>
          <cell r="CN46">
            <v>442617.07</v>
          </cell>
          <cell r="CO46">
            <v>0.87754336747828765</v>
          </cell>
          <cell r="CP46">
            <v>6971.2099999999991</v>
          </cell>
          <cell r="CQ46">
            <v>61764.92</v>
          </cell>
          <cell r="CR46">
            <v>0.12245663252171236</v>
          </cell>
          <cell r="CS46">
            <v>0</v>
          </cell>
          <cell r="CT46">
            <v>0</v>
          </cell>
          <cell r="CU46">
            <v>0</v>
          </cell>
          <cell r="CV46">
            <v>6971.2099999999991</v>
          </cell>
          <cell r="CW46">
            <v>61764.92</v>
          </cell>
          <cell r="CX46">
            <v>0.12245663252171236</v>
          </cell>
          <cell r="CY46">
            <v>49956.78</v>
          </cell>
          <cell r="CZ46">
            <v>442617.07</v>
          </cell>
          <cell r="DA46">
            <v>0.87754336747828765</v>
          </cell>
          <cell r="DB46">
            <v>6971.2099999999991</v>
          </cell>
          <cell r="DC46">
            <v>61764.92</v>
          </cell>
          <cell r="DD46">
            <v>0.12245663252171236</v>
          </cell>
          <cell r="DE46">
            <v>0</v>
          </cell>
          <cell r="DF46">
            <v>0</v>
          </cell>
          <cell r="DG46">
            <v>0</v>
          </cell>
          <cell r="DH46">
            <v>6971.2099999999991</v>
          </cell>
          <cell r="DI46">
            <v>61764.92</v>
          </cell>
          <cell r="DJ46">
            <v>0.12245663252171236</v>
          </cell>
          <cell r="DK46">
            <v>49956.78</v>
          </cell>
          <cell r="DL46">
            <v>442617.07</v>
          </cell>
          <cell r="DM46">
            <v>0.87754336747828765</v>
          </cell>
          <cell r="DN46">
            <v>6971.2099999999991</v>
          </cell>
          <cell r="DO46">
            <v>61764.92</v>
          </cell>
          <cell r="DP46">
            <v>0.12245663252171236</v>
          </cell>
          <cell r="DQ46">
            <v>0</v>
          </cell>
          <cell r="DR46">
            <v>0</v>
          </cell>
          <cell r="DS46">
            <v>0</v>
          </cell>
          <cell r="DT46">
            <v>6971.2099999999991</v>
          </cell>
          <cell r="DU46">
            <v>61764.92</v>
          </cell>
          <cell r="DV46">
            <v>0.12245663252171236</v>
          </cell>
          <cell r="DW46">
            <v>49956.78</v>
          </cell>
          <cell r="DX46">
            <v>442617.07</v>
          </cell>
          <cell r="DY46">
            <v>0.87754336747828765</v>
          </cell>
          <cell r="DZ46">
            <v>6971.2099999999991</v>
          </cell>
          <cell r="EA46">
            <v>61764.92</v>
          </cell>
          <cell r="EB46">
            <v>0.12245663252171236</v>
          </cell>
          <cell r="ED46">
            <v>0</v>
          </cell>
          <cell r="EE46">
            <v>0</v>
          </cell>
          <cell r="EF46">
            <v>6971.2099999999991</v>
          </cell>
          <cell r="EG46">
            <v>61764.92</v>
          </cell>
          <cell r="EH46">
            <v>0.12245663252171236</v>
          </cell>
          <cell r="EI46">
            <v>49956.78</v>
          </cell>
          <cell r="EJ46">
            <v>442617.07</v>
          </cell>
          <cell r="EK46">
            <v>0.87754336747828765</v>
          </cell>
          <cell r="EL46">
            <v>6971.2099999999991</v>
          </cell>
          <cell r="EM46">
            <v>61764.92</v>
          </cell>
          <cell r="EN46">
            <v>0.12245663252171236</v>
          </cell>
          <cell r="EP46">
            <v>0</v>
          </cell>
          <cell r="EQ46">
            <v>0</v>
          </cell>
          <cell r="ER46">
            <v>6971.2099999999991</v>
          </cell>
          <cell r="ES46">
            <v>61764.92</v>
          </cell>
          <cell r="ET46">
            <v>0.12245663252171236</v>
          </cell>
          <cell r="EU46">
            <v>49956.78</v>
          </cell>
          <cell r="EV46">
            <v>442617.07</v>
          </cell>
          <cell r="EW46">
            <v>0.87754336747828765</v>
          </cell>
          <cell r="EX46">
            <v>6971.2099999999991</v>
          </cell>
          <cell r="EY46">
            <v>61764.92</v>
          </cell>
          <cell r="EZ46">
            <v>0.12245663252171236</v>
          </cell>
          <cell r="FB46">
            <v>0</v>
          </cell>
          <cell r="FC46">
            <v>0</v>
          </cell>
          <cell r="FD46">
            <v>6971.2099999999991</v>
          </cell>
          <cell r="FE46">
            <v>61764.92</v>
          </cell>
          <cell r="FF46">
            <v>0.12245663252171236</v>
          </cell>
          <cell r="FG46">
            <v>49956.78</v>
          </cell>
          <cell r="FH46">
            <v>442617.07</v>
          </cell>
          <cell r="FI46">
            <v>0.87754336747828765</v>
          </cell>
          <cell r="FJ46">
            <v>6971.2099999999991</v>
          </cell>
          <cell r="FK46">
            <v>61764.92</v>
          </cell>
          <cell r="FL46">
            <v>0.12245663252171236</v>
          </cell>
          <cell r="FN46">
            <v>0</v>
          </cell>
          <cell r="FO46">
            <v>0</v>
          </cell>
          <cell r="FP46">
            <v>6971.2099999999991</v>
          </cell>
          <cell r="FQ46">
            <v>61764.92</v>
          </cell>
          <cell r="FR46">
            <v>0.12245663252171236</v>
          </cell>
          <cell r="FS46">
            <v>49956.78</v>
          </cell>
          <cell r="FT46">
            <v>442617.07</v>
          </cell>
          <cell r="FU46">
            <v>0.87754336747828765</v>
          </cell>
          <cell r="FV46">
            <v>6971.2099999999991</v>
          </cell>
          <cell r="FW46">
            <v>61764.92</v>
          </cell>
          <cell r="FX46">
            <v>0.12245663252171236</v>
          </cell>
          <cell r="FZ46">
            <v>0</v>
          </cell>
          <cell r="GA46">
            <v>0</v>
          </cell>
          <cell r="GB46">
            <v>6971.2099999999991</v>
          </cell>
          <cell r="GC46">
            <v>61764.92</v>
          </cell>
          <cell r="GD46">
            <v>0.12245663252171236</v>
          </cell>
          <cell r="GE46">
            <v>49956.78</v>
          </cell>
          <cell r="GF46">
            <v>442617.07</v>
          </cell>
          <cell r="GG46">
            <v>0.87754336747828765</v>
          </cell>
        </row>
        <row r="47">
          <cell r="U47">
            <v>42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530673.93000000005</v>
          </cell>
          <cell r="AF47">
            <v>498833.49</v>
          </cell>
          <cell r="AG47">
            <v>1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530673.93000000005</v>
          </cell>
          <cell r="AR47">
            <v>498833.49</v>
          </cell>
          <cell r="AS47">
            <v>1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530673.93000000005</v>
          </cell>
          <cell r="BD47">
            <v>498833.49</v>
          </cell>
          <cell r="BE47">
            <v>1</v>
          </cell>
          <cell r="BF47">
            <v>0</v>
          </cell>
          <cell r="BG47">
            <v>0</v>
          </cell>
          <cell r="BH47">
            <v>0</v>
          </cell>
          <cell r="BI47">
            <v>45232.88</v>
          </cell>
          <cell r="BJ47">
            <v>42518.91</v>
          </cell>
          <cell r="BK47">
            <v>8.5236678876552577E-2</v>
          </cell>
          <cell r="BL47">
            <v>45232.88</v>
          </cell>
          <cell r="BM47">
            <v>42518.91</v>
          </cell>
          <cell r="BN47">
            <v>8.5236678876552577E-2</v>
          </cell>
          <cell r="BO47">
            <v>485441.05000000005</v>
          </cell>
          <cell r="BP47">
            <v>456314.57999999996</v>
          </cell>
          <cell r="BQ47">
            <v>0.91476332112344738</v>
          </cell>
          <cell r="BR47">
            <v>45232.88</v>
          </cell>
          <cell r="BS47">
            <v>42518.91</v>
          </cell>
          <cell r="BT47">
            <v>8.5236678876552577E-2</v>
          </cell>
          <cell r="BU47">
            <v>74661.100000000006</v>
          </cell>
          <cell r="BV47">
            <v>70181.429999999993</v>
          </cell>
          <cell r="BW47">
            <v>0.1406910951387807</v>
          </cell>
          <cell r="BX47">
            <v>119893.98000000001</v>
          </cell>
          <cell r="BY47">
            <v>112700.34</v>
          </cell>
          <cell r="BZ47">
            <v>0.22592777401533326</v>
          </cell>
          <cell r="CA47">
            <v>410779.95000000007</v>
          </cell>
          <cell r="CB47">
            <v>386133.15</v>
          </cell>
          <cell r="CC47">
            <v>0.77407222598466674</v>
          </cell>
          <cell r="CD47">
            <v>119893.98000000001</v>
          </cell>
          <cell r="CE47">
            <v>112700.34</v>
          </cell>
          <cell r="CF47">
            <v>0.22592777401533326</v>
          </cell>
          <cell r="CG47">
            <v>0</v>
          </cell>
          <cell r="CH47">
            <v>0</v>
          </cell>
          <cell r="CI47">
            <v>0</v>
          </cell>
          <cell r="CJ47">
            <v>119893.98000000001</v>
          </cell>
          <cell r="CK47">
            <v>112700.34</v>
          </cell>
          <cell r="CL47">
            <v>0.22592777401533326</v>
          </cell>
          <cell r="CM47">
            <v>410779.95000000007</v>
          </cell>
          <cell r="CN47">
            <v>386133.15</v>
          </cell>
          <cell r="CO47">
            <v>0.77407222598466674</v>
          </cell>
          <cell r="CP47">
            <v>119893.98000000001</v>
          </cell>
          <cell r="CQ47">
            <v>112700.34</v>
          </cell>
          <cell r="CR47">
            <v>0.22592777401533326</v>
          </cell>
          <cell r="CS47">
            <v>0</v>
          </cell>
          <cell r="CT47">
            <v>0</v>
          </cell>
          <cell r="CU47">
            <v>0</v>
          </cell>
          <cell r="CV47">
            <v>119893.98000000001</v>
          </cell>
          <cell r="CW47">
            <v>112700.34</v>
          </cell>
          <cell r="CX47">
            <v>0.22592777401533326</v>
          </cell>
          <cell r="CY47">
            <v>410779.95000000007</v>
          </cell>
          <cell r="CZ47">
            <v>386133.15</v>
          </cell>
          <cell r="DA47">
            <v>0.77407222598466674</v>
          </cell>
          <cell r="DB47">
            <v>119893.98000000001</v>
          </cell>
          <cell r="DC47">
            <v>112700.34</v>
          </cell>
          <cell r="DD47">
            <v>0.22592777401533326</v>
          </cell>
          <cell r="DE47">
            <v>0</v>
          </cell>
          <cell r="DF47">
            <v>0</v>
          </cell>
          <cell r="DG47">
            <v>0</v>
          </cell>
          <cell r="DH47">
            <v>119893.98000000001</v>
          </cell>
          <cell r="DI47">
            <v>112700.34</v>
          </cell>
          <cell r="DJ47">
            <v>0.22592777401533326</v>
          </cell>
          <cell r="DK47">
            <v>410779.95000000007</v>
          </cell>
          <cell r="DL47">
            <v>386133.15</v>
          </cell>
          <cell r="DM47">
            <v>0.77407222598466674</v>
          </cell>
          <cell r="DN47">
            <v>119893.98000000001</v>
          </cell>
          <cell r="DO47">
            <v>112700.34</v>
          </cell>
          <cell r="DP47">
            <v>0.22592777401533326</v>
          </cell>
          <cell r="DQ47">
            <v>0</v>
          </cell>
          <cell r="DR47">
            <v>0</v>
          </cell>
          <cell r="DS47">
            <v>0</v>
          </cell>
          <cell r="DT47">
            <v>119893.98000000001</v>
          </cell>
          <cell r="DU47">
            <v>112700.34</v>
          </cell>
          <cell r="DV47">
            <v>0.22592777401533326</v>
          </cell>
          <cell r="DW47">
            <v>410779.95000000007</v>
          </cell>
          <cell r="DX47">
            <v>386133.15</v>
          </cell>
          <cell r="DY47">
            <v>0.77407222598466674</v>
          </cell>
          <cell r="DZ47">
            <v>119893.98000000001</v>
          </cell>
          <cell r="EA47">
            <v>112700.34</v>
          </cell>
          <cell r="EB47">
            <v>0.22592777401533326</v>
          </cell>
          <cell r="ED47">
            <v>0</v>
          </cell>
          <cell r="EE47">
            <v>0</v>
          </cell>
          <cell r="EF47">
            <v>119893.98000000001</v>
          </cell>
          <cell r="EG47">
            <v>112700.34</v>
          </cell>
          <cell r="EH47">
            <v>0.22592777401533326</v>
          </cell>
          <cell r="EI47">
            <v>410779.95000000007</v>
          </cell>
          <cell r="EJ47">
            <v>386133.15</v>
          </cell>
          <cell r="EK47">
            <v>0.77407222598466674</v>
          </cell>
          <cell r="EL47">
            <v>119893.98000000001</v>
          </cell>
          <cell r="EM47">
            <v>112700.34</v>
          </cell>
          <cell r="EN47">
            <v>0.22592777401533326</v>
          </cell>
          <cell r="EP47">
            <v>0</v>
          </cell>
          <cell r="EQ47">
            <v>0</v>
          </cell>
          <cell r="ER47">
            <v>119893.98000000001</v>
          </cell>
          <cell r="ES47">
            <v>112700.34</v>
          </cell>
          <cell r="ET47">
            <v>0.22592777401533326</v>
          </cell>
          <cell r="EU47">
            <v>410779.95000000007</v>
          </cell>
          <cell r="EV47">
            <v>386133.15</v>
          </cell>
          <cell r="EW47">
            <v>0.77407222598466674</v>
          </cell>
          <cell r="EX47">
            <v>119893.98000000001</v>
          </cell>
          <cell r="EY47">
            <v>112700.34</v>
          </cell>
          <cell r="EZ47">
            <v>0.22592777401533326</v>
          </cell>
          <cell r="FB47">
            <v>0</v>
          </cell>
          <cell r="FC47">
            <v>0</v>
          </cell>
          <cell r="FD47">
            <v>119893.98000000001</v>
          </cell>
          <cell r="FE47">
            <v>112700.34</v>
          </cell>
          <cell r="FF47">
            <v>0.22592777401533326</v>
          </cell>
          <cell r="FG47">
            <v>410779.95000000007</v>
          </cell>
          <cell r="FH47">
            <v>386133.15</v>
          </cell>
          <cell r="FI47">
            <v>0.77407222598466674</v>
          </cell>
          <cell r="FJ47">
            <v>119893.98000000001</v>
          </cell>
          <cell r="FK47">
            <v>112700.34</v>
          </cell>
          <cell r="FL47">
            <v>0.22592777401533326</v>
          </cell>
          <cell r="FN47">
            <v>0</v>
          </cell>
          <cell r="FO47">
            <v>0</v>
          </cell>
          <cell r="FP47">
            <v>119893.98000000001</v>
          </cell>
          <cell r="FQ47">
            <v>112700.34</v>
          </cell>
          <cell r="FR47">
            <v>0.22592777401533326</v>
          </cell>
          <cell r="FS47">
            <v>410779.95000000007</v>
          </cell>
          <cell r="FT47">
            <v>386133.15</v>
          </cell>
          <cell r="FU47">
            <v>0.77407222598466674</v>
          </cell>
          <cell r="FV47">
            <v>119893.98000000001</v>
          </cell>
          <cell r="FW47">
            <v>112700.34</v>
          </cell>
          <cell r="FX47">
            <v>0.22592777401533326</v>
          </cell>
          <cell r="FZ47">
            <v>0</v>
          </cell>
          <cell r="GA47">
            <v>0</v>
          </cell>
          <cell r="GB47">
            <v>119893.98000000001</v>
          </cell>
          <cell r="GC47">
            <v>112700.34</v>
          </cell>
          <cell r="GD47">
            <v>0.22592777401533326</v>
          </cell>
          <cell r="GE47">
            <v>410779.95000000007</v>
          </cell>
          <cell r="GF47">
            <v>386133.15</v>
          </cell>
          <cell r="GG47">
            <v>0.77407222598466674</v>
          </cell>
        </row>
        <row r="48">
          <cell r="U48">
            <v>43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40725.86</v>
          </cell>
          <cell r="AF48">
            <v>180415.56</v>
          </cell>
          <cell r="AG48">
            <v>1</v>
          </cell>
          <cell r="AH48">
            <v>0</v>
          </cell>
          <cell r="AI48">
            <v>0</v>
          </cell>
          <cell r="AJ48">
            <v>0</v>
          </cell>
          <cell r="AK48">
            <v>348.2</v>
          </cell>
          <cell r="AL48">
            <v>1542.53</v>
          </cell>
          <cell r="AM48">
            <v>8.5498723059141898E-3</v>
          </cell>
          <cell r="AN48">
            <v>348.2</v>
          </cell>
          <cell r="AO48">
            <v>1542.53</v>
          </cell>
          <cell r="AP48">
            <v>8.5498723059141898E-3</v>
          </cell>
          <cell r="AQ48">
            <v>40377.660000000003</v>
          </cell>
          <cell r="AR48">
            <v>178873.03</v>
          </cell>
          <cell r="AS48">
            <v>0.9914501276940858</v>
          </cell>
          <cell r="AT48">
            <v>348.2</v>
          </cell>
          <cell r="AU48">
            <v>1542.53</v>
          </cell>
          <cell r="AV48">
            <v>8.5498723059141898E-3</v>
          </cell>
          <cell r="AW48">
            <v>311.83999999999997</v>
          </cell>
          <cell r="AX48">
            <v>1381.45</v>
          </cell>
          <cell r="AY48">
            <v>7.6570446584540708E-3</v>
          </cell>
          <cell r="AZ48">
            <v>660.04</v>
          </cell>
          <cell r="BA48">
            <v>2923.98</v>
          </cell>
          <cell r="BB48">
            <v>1.6206916964368261E-2</v>
          </cell>
          <cell r="BC48">
            <v>40065.82</v>
          </cell>
          <cell r="BD48">
            <v>177491.58</v>
          </cell>
          <cell r="BE48">
            <v>0.98379308303563173</v>
          </cell>
          <cell r="BF48">
            <v>660.04</v>
          </cell>
          <cell r="BG48">
            <v>2923.98</v>
          </cell>
          <cell r="BH48">
            <v>1.6206916964368261E-2</v>
          </cell>
          <cell r="BI48">
            <v>0</v>
          </cell>
          <cell r="BJ48">
            <v>0</v>
          </cell>
          <cell r="BK48">
            <v>0</v>
          </cell>
          <cell r="BL48">
            <v>660.04</v>
          </cell>
          <cell r="BM48">
            <v>2923.98</v>
          </cell>
          <cell r="BN48">
            <v>1.6206916964368261E-2</v>
          </cell>
          <cell r="BO48">
            <v>40065.82</v>
          </cell>
          <cell r="BP48">
            <v>177491.58</v>
          </cell>
          <cell r="BQ48">
            <v>0.98379308303563173</v>
          </cell>
          <cell r="BR48">
            <v>660.04</v>
          </cell>
          <cell r="BS48">
            <v>2923.98</v>
          </cell>
          <cell r="BT48">
            <v>1.6206916964368261E-2</v>
          </cell>
          <cell r="BU48">
            <v>3945.71</v>
          </cell>
          <cell r="BV48">
            <v>17479.490000000002</v>
          </cell>
          <cell r="BW48">
            <v>9.6884603523110763E-2</v>
          </cell>
          <cell r="BX48">
            <v>4605.75</v>
          </cell>
          <cell r="BY48">
            <v>20403.47</v>
          </cell>
          <cell r="BZ48">
            <v>0.11309152048747903</v>
          </cell>
          <cell r="CA48">
            <v>36120.11</v>
          </cell>
          <cell r="CB48">
            <v>160012.09</v>
          </cell>
          <cell r="CC48">
            <v>0.88690847951252094</v>
          </cell>
          <cell r="CD48">
            <v>4605.75</v>
          </cell>
          <cell r="CE48">
            <v>20403.47</v>
          </cell>
          <cell r="CF48">
            <v>0.11309152048747903</v>
          </cell>
          <cell r="CG48">
            <v>0</v>
          </cell>
          <cell r="CH48">
            <v>0</v>
          </cell>
          <cell r="CI48">
            <v>0</v>
          </cell>
          <cell r="CJ48">
            <v>4605.75</v>
          </cell>
          <cell r="CK48">
            <v>20403.47</v>
          </cell>
          <cell r="CL48">
            <v>0.11309152048747903</v>
          </cell>
          <cell r="CM48">
            <v>36120.11</v>
          </cell>
          <cell r="CN48">
            <v>160012.09</v>
          </cell>
          <cell r="CO48">
            <v>0.88690847951252094</v>
          </cell>
          <cell r="CP48">
            <v>4605.75</v>
          </cell>
          <cell r="CQ48">
            <v>20403.47</v>
          </cell>
          <cell r="CR48">
            <v>0.11309152048747903</v>
          </cell>
          <cell r="CS48">
            <v>0</v>
          </cell>
          <cell r="CT48">
            <v>0</v>
          </cell>
          <cell r="CU48">
            <v>0</v>
          </cell>
          <cell r="CV48">
            <v>4605.75</v>
          </cell>
          <cell r="CW48">
            <v>20403.47</v>
          </cell>
          <cell r="CX48">
            <v>0.11309152048747903</v>
          </cell>
          <cell r="CY48">
            <v>36120.11</v>
          </cell>
          <cell r="CZ48">
            <v>160012.09</v>
          </cell>
          <cell r="DA48">
            <v>0.88690847951252094</v>
          </cell>
          <cell r="DB48">
            <v>4605.75</v>
          </cell>
          <cell r="DC48">
            <v>20403.47</v>
          </cell>
          <cell r="DD48">
            <v>0.11309152048747903</v>
          </cell>
          <cell r="DE48">
            <v>0</v>
          </cell>
          <cell r="DF48">
            <v>0</v>
          </cell>
          <cell r="DG48">
            <v>0</v>
          </cell>
          <cell r="DH48">
            <v>4605.75</v>
          </cell>
          <cell r="DI48">
            <v>20403.47</v>
          </cell>
          <cell r="DJ48">
            <v>0.11309152048747903</v>
          </cell>
          <cell r="DK48">
            <v>36120.11</v>
          </cell>
          <cell r="DL48">
            <v>160012.09</v>
          </cell>
          <cell r="DM48">
            <v>0.88690847951252094</v>
          </cell>
          <cell r="DN48">
            <v>4605.75</v>
          </cell>
          <cell r="DO48">
            <v>20403.47</v>
          </cell>
          <cell r="DP48">
            <v>0.11309152048747903</v>
          </cell>
          <cell r="DQ48">
            <v>0</v>
          </cell>
          <cell r="DR48">
            <v>0</v>
          </cell>
          <cell r="DS48">
            <v>0</v>
          </cell>
          <cell r="DT48">
            <v>4605.75</v>
          </cell>
          <cell r="DU48">
            <v>20403.47</v>
          </cell>
          <cell r="DV48">
            <v>0.11309152048747903</v>
          </cell>
          <cell r="DW48">
            <v>36120.11</v>
          </cell>
          <cell r="DX48">
            <v>160012.09</v>
          </cell>
          <cell r="DY48">
            <v>0.88690847951252094</v>
          </cell>
          <cell r="DZ48">
            <v>4605.75</v>
          </cell>
          <cell r="EA48">
            <v>20403.47</v>
          </cell>
          <cell r="EB48">
            <v>0.11309152048747903</v>
          </cell>
          <cell r="ED48">
            <v>0</v>
          </cell>
          <cell r="EE48">
            <v>0</v>
          </cell>
          <cell r="EF48">
            <v>4605.75</v>
          </cell>
          <cell r="EG48">
            <v>20403.47</v>
          </cell>
          <cell r="EH48">
            <v>0.11309152048747903</v>
          </cell>
          <cell r="EI48">
            <v>36120.11</v>
          </cell>
          <cell r="EJ48">
            <v>160012.09</v>
          </cell>
          <cell r="EK48">
            <v>0.88690847951252094</v>
          </cell>
          <cell r="EL48">
            <v>4605.75</v>
          </cell>
          <cell r="EM48">
            <v>20403.47</v>
          </cell>
          <cell r="EN48">
            <v>0.11309152048747903</v>
          </cell>
          <cell r="EP48">
            <v>0</v>
          </cell>
          <cell r="EQ48">
            <v>0</v>
          </cell>
          <cell r="ER48">
            <v>4605.75</v>
          </cell>
          <cell r="ES48">
            <v>20403.47</v>
          </cell>
          <cell r="ET48">
            <v>0.11309152048747903</v>
          </cell>
          <cell r="EU48">
            <v>36120.11</v>
          </cell>
          <cell r="EV48">
            <v>160012.09</v>
          </cell>
          <cell r="EW48">
            <v>0.88690847951252094</v>
          </cell>
          <cell r="EX48">
            <v>4605.75</v>
          </cell>
          <cell r="EY48">
            <v>20403.47</v>
          </cell>
          <cell r="EZ48">
            <v>0.11309152048747903</v>
          </cell>
          <cell r="FB48">
            <v>0</v>
          </cell>
          <cell r="FC48">
            <v>0</v>
          </cell>
          <cell r="FD48">
            <v>4605.75</v>
          </cell>
          <cell r="FE48">
            <v>20403.47</v>
          </cell>
          <cell r="FF48">
            <v>0.11309152048747903</v>
          </cell>
          <cell r="FG48">
            <v>36120.11</v>
          </cell>
          <cell r="FH48">
            <v>160012.09</v>
          </cell>
          <cell r="FI48">
            <v>0.88690847951252094</v>
          </cell>
          <cell r="FJ48">
            <v>4605.75</v>
          </cell>
          <cell r="FK48">
            <v>20403.47</v>
          </cell>
          <cell r="FL48">
            <v>0.11309152048747903</v>
          </cell>
          <cell r="FN48">
            <v>0</v>
          </cell>
          <cell r="FO48">
            <v>0</v>
          </cell>
          <cell r="FP48">
            <v>4605.75</v>
          </cell>
          <cell r="FQ48">
            <v>20403.47</v>
          </cell>
          <cell r="FR48">
            <v>0.11309152048747903</v>
          </cell>
          <cell r="FS48">
            <v>36120.11</v>
          </cell>
          <cell r="FT48">
            <v>160012.09</v>
          </cell>
          <cell r="FU48">
            <v>0.88690847951252094</v>
          </cell>
          <cell r="FV48">
            <v>4605.75</v>
          </cell>
          <cell r="FW48">
            <v>20403.47</v>
          </cell>
          <cell r="FX48">
            <v>0.11309152048747903</v>
          </cell>
          <cell r="FZ48">
            <v>0</v>
          </cell>
          <cell r="GA48">
            <v>0</v>
          </cell>
          <cell r="GB48">
            <v>4605.75</v>
          </cell>
          <cell r="GC48">
            <v>20403.47</v>
          </cell>
          <cell r="GD48">
            <v>0.11309152048747903</v>
          </cell>
          <cell r="GE48">
            <v>36120.11</v>
          </cell>
          <cell r="GF48">
            <v>160012.09</v>
          </cell>
          <cell r="GG48">
            <v>0.88690847951252094</v>
          </cell>
        </row>
        <row r="49">
          <cell r="U49">
            <v>44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560578.14</v>
          </cell>
          <cell r="AF49">
            <v>454068.29</v>
          </cell>
          <cell r="AG49">
            <v>1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560578.14</v>
          </cell>
          <cell r="AR49">
            <v>454068.29</v>
          </cell>
          <cell r="AS49">
            <v>1</v>
          </cell>
          <cell r="AT49">
            <v>0</v>
          </cell>
          <cell r="AU49">
            <v>0</v>
          </cell>
          <cell r="AV49">
            <v>0</v>
          </cell>
          <cell r="AW49">
            <v>1482.67</v>
          </cell>
          <cell r="AX49">
            <v>1200.96</v>
          </cell>
          <cell r="AY49">
            <v>2.6448885034451538E-3</v>
          </cell>
          <cell r="AZ49">
            <v>1482.67</v>
          </cell>
          <cell r="BA49">
            <v>1200.96</v>
          </cell>
          <cell r="BB49">
            <v>2.6448885034451538E-3</v>
          </cell>
          <cell r="BC49">
            <v>559095.47</v>
          </cell>
          <cell r="BD49">
            <v>452867.32999999996</v>
          </cell>
          <cell r="BE49">
            <v>0.99735511149655487</v>
          </cell>
          <cell r="BF49">
            <v>1482.67</v>
          </cell>
          <cell r="BG49">
            <v>1200.96</v>
          </cell>
          <cell r="BH49">
            <v>2.6448885034451538E-3</v>
          </cell>
          <cell r="BI49">
            <v>0</v>
          </cell>
          <cell r="BJ49">
            <v>0</v>
          </cell>
          <cell r="BK49">
            <v>0</v>
          </cell>
          <cell r="BL49">
            <v>1482.67</v>
          </cell>
          <cell r="BM49">
            <v>1200.96</v>
          </cell>
          <cell r="BN49">
            <v>2.6448885034451538E-3</v>
          </cell>
          <cell r="BO49">
            <v>559095.47</v>
          </cell>
          <cell r="BP49">
            <v>452867.32999999996</v>
          </cell>
          <cell r="BQ49">
            <v>0.99735511149655487</v>
          </cell>
          <cell r="BR49">
            <v>1482.67</v>
          </cell>
          <cell r="BS49">
            <v>1200.96</v>
          </cell>
          <cell r="BT49">
            <v>2.6448885034451538E-3</v>
          </cell>
          <cell r="BU49">
            <v>7702.63</v>
          </cell>
          <cell r="BV49">
            <v>6239.13</v>
          </cell>
          <cell r="BW49">
            <v>1.3740510265537373E-2</v>
          </cell>
          <cell r="BX49">
            <v>9185.2999999999993</v>
          </cell>
          <cell r="BY49">
            <v>7440.09</v>
          </cell>
          <cell r="BZ49">
            <v>1.6385398768982526E-2</v>
          </cell>
          <cell r="CA49">
            <v>551392.84</v>
          </cell>
          <cell r="CB49">
            <v>446628.19999999995</v>
          </cell>
          <cell r="CC49">
            <v>0.98361460123101752</v>
          </cell>
          <cell r="CD49">
            <v>9185.2999999999993</v>
          </cell>
          <cell r="CE49">
            <v>7440.09</v>
          </cell>
          <cell r="CF49">
            <v>1.6385398768982526E-2</v>
          </cell>
          <cell r="CG49">
            <v>0</v>
          </cell>
          <cell r="CH49">
            <v>0</v>
          </cell>
          <cell r="CI49">
            <v>0</v>
          </cell>
          <cell r="CJ49">
            <v>9185.2999999999993</v>
          </cell>
          <cell r="CK49">
            <v>7440.09</v>
          </cell>
          <cell r="CL49">
            <v>1.6385398768982526E-2</v>
          </cell>
          <cell r="CM49">
            <v>551392.84</v>
          </cell>
          <cell r="CN49">
            <v>446628.19999999995</v>
          </cell>
          <cell r="CO49">
            <v>0.98361460123101752</v>
          </cell>
          <cell r="CP49">
            <v>9185.2999999999993</v>
          </cell>
          <cell r="CQ49">
            <v>7440.09</v>
          </cell>
          <cell r="CR49">
            <v>1.6385398768982526E-2</v>
          </cell>
          <cell r="CS49">
            <v>0</v>
          </cell>
          <cell r="CT49">
            <v>0</v>
          </cell>
          <cell r="CU49">
            <v>0</v>
          </cell>
          <cell r="CV49">
            <v>9185.2999999999993</v>
          </cell>
          <cell r="CW49">
            <v>7440.09</v>
          </cell>
          <cell r="CX49">
            <v>1.6385398768982526E-2</v>
          </cell>
          <cell r="CY49">
            <v>551392.84</v>
          </cell>
          <cell r="CZ49">
            <v>446628.19999999995</v>
          </cell>
          <cell r="DA49">
            <v>0.98361460123101752</v>
          </cell>
          <cell r="DB49">
            <v>9185.2999999999993</v>
          </cell>
          <cell r="DC49">
            <v>7440.09</v>
          </cell>
          <cell r="DD49">
            <v>1.6385398768982526E-2</v>
          </cell>
          <cell r="DE49">
            <v>0</v>
          </cell>
          <cell r="DF49">
            <v>0</v>
          </cell>
          <cell r="DG49">
            <v>0</v>
          </cell>
          <cell r="DH49">
            <v>9185.2999999999993</v>
          </cell>
          <cell r="DI49">
            <v>7440.09</v>
          </cell>
          <cell r="DJ49">
            <v>1.6385398768982526E-2</v>
          </cell>
          <cell r="DK49">
            <v>551392.84</v>
          </cell>
          <cell r="DL49">
            <v>446628.19999999995</v>
          </cell>
          <cell r="DM49">
            <v>0.98361460123101752</v>
          </cell>
          <cell r="DN49">
            <v>9185.2999999999993</v>
          </cell>
          <cell r="DO49">
            <v>7440.09</v>
          </cell>
          <cell r="DP49">
            <v>1.6385398768982526E-2</v>
          </cell>
          <cell r="DQ49">
            <v>0</v>
          </cell>
          <cell r="DR49">
            <v>0</v>
          </cell>
          <cell r="DS49">
            <v>0</v>
          </cell>
          <cell r="DT49">
            <v>9185.2999999999993</v>
          </cell>
          <cell r="DU49">
            <v>7440.09</v>
          </cell>
          <cell r="DV49">
            <v>1.6385398768982526E-2</v>
          </cell>
          <cell r="DW49">
            <v>551392.84</v>
          </cell>
          <cell r="DX49">
            <v>446628.19999999995</v>
          </cell>
          <cell r="DY49">
            <v>0.98361460123101752</v>
          </cell>
          <cell r="DZ49">
            <v>9185.2999999999993</v>
          </cell>
          <cell r="EA49">
            <v>7440.09</v>
          </cell>
          <cell r="EB49">
            <v>1.6385398768982526E-2</v>
          </cell>
          <cell r="ED49">
            <v>0</v>
          </cell>
          <cell r="EE49">
            <v>0</v>
          </cell>
          <cell r="EF49">
            <v>9185.2999999999993</v>
          </cell>
          <cell r="EG49">
            <v>7440.09</v>
          </cell>
          <cell r="EH49">
            <v>1.6385398768982526E-2</v>
          </cell>
          <cell r="EI49">
            <v>551392.84</v>
          </cell>
          <cell r="EJ49">
            <v>446628.19999999995</v>
          </cell>
          <cell r="EK49">
            <v>0.98361460123101752</v>
          </cell>
          <cell r="EL49">
            <v>9185.2999999999993</v>
          </cell>
          <cell r="EM49">
            <v>7440.09</v>
          </cell>
          <cell r="EN49">
            <v>1.6385398768982526E-2</v>
          </cell>
          <cell r="EP49">
            <v>0</v>
          </cell>
          <cell r="EQ49">
            <v>0</v>
          </cell>
          <cell r="ER49">
            <v>9185.2999999999993</v>
          </cell>
          <cell r="ES49">
            <v>7440.09</v>
          </cell>
          <cell r="ET49">
            <v>1.6385398768982526E-2</v>
          </cell>
          <cell r="EU49">
            <v>551392.84</v>
          </cell>
          <cell r="EV49">
            <v>446628.19999999995</v>
          </cell>
          <cell r="EW49">
            <v>0.98361460123101752</v>
          </cell>
          <cell r="EX49">
            <v>9185.2999999999993</v>
          </cell>
          <cell r="EY49">
            <v>7440.09</v>
          </cell>
          <cell r="EZ49">
            <v>1.6385398768982526E-2</v>
          </cell>
          <cell r="FB49">
            <v>0</v>
          </cell>
          <cell r="FC49">
            <v>0</v>
          </cell>
          <cell r="FD49">
            <v>9185.2999999999993</v>
          </cell>
          <cell r="FE49">
            <v>7440.09</v>
          </cell>
          <cell r="FF49">
            <v>1.6385398768982526E-2</v>
          </cell>
          <cell r="FG49">
            <v>551392.84</v>
          </cell>
          <cell r="FH49">
            <v>446628.19999999995</v>
          </cell>
          <cell r="FI49">
            <v>0.98361460123101752</v>
          </cell>
          <cell r="FJ49">
            <v>9185.2999999999993</v>
          </cell>
          <cell r="FK49">
            <v>7440.09</v>
          </cell>
          <cell r="FL49">
            <v>1.6385398768982526E-2</v>
          </cell>
          <cell r="FN49">
            <v>0</v>
          </cell>
          <cell r="FO49">
            <v>0</v>
          </cell>
          <cell r="FP49">
            <v>9185.2999999999993</v>
          </cell>
          <cell r="FQ49">
            <v>7440.09</v>
          </cell>
          <cell r="FR49">
            <v>1.6385398768982526E-2</v>
          </cell>
          <cell r="FS49">
            <v>551392.84</v>
          </cell>
          <cell r="FT49">
            <v>446628.19999999995</v>
          </cell>
          <cell r="FU49">
            <v>0.98361460123101752</v>
          </cell>
          <cell r="FV49">
            <v>9185.2999999999993</v>
          </cell>
          <cell r="FW49">
            <v>7440.09</v>
          </cell>
          <cell r="FX49">
            <v>1.6385398768982526E-2</v>
          </cell>
          <cell r="FZ49">
            <v>0</v>
          </cell>
          <cell r="GA49">
            <v>0</v>
          </cell>
          <cell r="GB49">
            <v>9185.2999999999993</v>
          </cell>
          <cell r="GC49">
            <v>7440.09</v>
          </cell>
          <cell r="GD49">
            <v>1.6385398768982526E-2</v>
          </cell>
          <cell r="GE49">
            <v>551392.84</v>
          </cell>
          <cell r="GF49">
            <v>446628.19999999995</v>
          </cell>
          <cell r="GG49">
            <v>0.98361460123101752</v>
          </cell>
        </row>
        <row r="50">
          <cell r="U50">
            <v>45</v>
          </cell>
          <cell r="W50">
            <v>0</v>
          </cell>
          <cell r="X50">
            <v>0</v>
          </cell>
          <cell r="Z50">
            <v>0</v>
          </cell>
          <cell r="AA50">
            <v>0</v>
          </cell>
          <cell r="AC50">
            <v>0</v>
          </cell>
          <cell r="AD50">
            <v>0</v>
          </cell>
          <cell r="AF50">
            <v>1715973.3199999998</v>
          </cell>
          <cell r="AG50">
            <v>1</v>
          </cell>
          <cell r="AI50">
            <v>0</v>
          </cell>
          <cell r="AJ50">
            <v>0</v>
          </cell>
          <cell r="AL50">
            <v>0</v>
          </cell>
          <cell r="AM50">
            <v>0</v>
          </cell>
          <cell r="AO50">
            <v>0</v>
          </cell>
          <cell r="AP50">
            <v>0</v>
          </cell>
          <cell r="AR50">
            <v>1715973.3199999998</v>
          </cell>
          <cell r="AS50">
            <v>1</v>
          </cell>
          <cell r="AU50">
            <v>0</v>
          </cell>
          <cell r="AV50">
            <v>0</v>
          </cell>
          <cell r="AX50">
            <v>0</v>
          </cell>
          <cell r="AY50">
            <v>0</v>
          </cell>
          <cell r="BA50">
            <v>0</v>
          </cell>
          <cell r="BB50">
            <v>0</v>
          </cell>
          <cell r="BD50">
            <v>1715973.3199999998</v>
          </cell>
          <cell r="BE50">
            <v>1</v>
          </cell>
          <cell r="BG50">
            <v>0</v>
          </cell>
          <cell r="BH50">
            <v>0</v>
          </cell>
          <cell r="BJ50">
            <v>0</v>
          </cell>
          <cell r="BK50">
            <v>0</v>
          </cell>
          <cell r="BM50">
            <v>0</v>
          </cell>
          <cell r="BN50">
            <v>0</v>
          </cell>
          <cell r="BP50">
            <v>1715973.3199999998</v>
          </cell>
          <cell r="BQ50">
            <v>1</v>
          </cell>
          <cell r="BS50">
            <v>0</v>
          </cell>
          <cell r="BT50">
            <v>0</v>
          </cell>
          <cell r="BV50">
            <v>0</v>
          </cell>
          <cell r="BW50">
            <v>0</v>
          </cell>
          <cell r="BY50">
            <v>0</v>
          </cell>
          <cell r="BZ50">
            <v>0</v>
          </cell>
          <cell r="CB50">
            <v>1715973.3199999998</v>
          </cell>
          <cell r="CC50">
            <v>1</v>
          </cell>
          <cell r="CE50">
            <v>0</v>
          </cell>
          <cell r="CF50">
            <v>0</v>
          </cell>
          <cell r="CH50">
            <v>0</v>
          </cell>
          <cell r="CI50">
            <v>0</v>
          </cell>
          <cell r="CK50">
            <v>0</v>
          </cell>
          <cell r="CL50">
            <v>0</v>
          </cell>
          <cell r="CN50">
            <v>1715973.3199999998</v>
          </cell>
          <cell r="CO50">
            <v>1</v>
          </cell>
          <cell r="CQ50">
            <v>0</v>
          </cell>
          <cell r="CR50">
            <v>0</v>
          </cell>
          <cell r="CT50">
            <v>0</v>
          </cell>
          <cell r="CU50">
            <v>0</v>
          </cell>
          <cell r="CW50">
            <v>0</v>
          </cell>
          <cell r="CX50">
            <v>0</v>
          </cell>
          <cell r="CZ50">
            <v>1715973.3199999998</v>
          </cell>
          <cell r="DA50">
            <v>1</v>
          </cell>
          <cell r="DC50">
            <v>0</v>
          </cell>
          <cell r="DD50">
            <v>0</v>
          </cell>
          <cell r="DF50">
            <v>0</v>
          </cell>
          <cell r="DG50">
            <v>0</v>
          </cell>
          <cell r="DI50">
            <v>0</v>
          </cell>
          <cell r="DJ50">
            <v>0</v>
          </cell>
          <cell r="DL50">
            <v>1715973.3199999998</v>
          </cell>
          <cell r="DM50">
            <v>1</v>
          </cell>
          <cell r="DO50">
            <v>0</v>
          </cell>
          <cell r="DP50">
            <v>0</v>
          </cell>
          <cell r="DR50">
            <v>0</v>
          </cell>
          <cell r="DS50">
            <v>0</v>
          </cell>
          <cell r="DU50">
            <v>0</v>
          </cell>
          <cell r="DV50">
            <v>0</v>
          </cell>
          <cell r="DX50">
            <v>1715973.3199999998</v>
          </cell>
          <cell r="DY50">
            <v>1</v>
          </cell>
          <cell r="EA50">
            <v>0</v>
          </cell>
          <cell r="EB50">
            <v>0</v>
          </cell>
          <cell r="ED50">
            <v>0</v>
          </cell>
          <cell r="EE50">
            <v>0</v>
          </cell>
          <cell r="EG50">
            <v>0</v>
          </cell>
          <cell r="EH50">
            <v>0</v>
          </cell>
          <cell r="EJ50">
            <v>1715973.3199999998</v>
          </cell>
          <cell r="EK50">
            <v>1</v>
          </cell>
          <cell r="EM50">
            <v>0</v>
          </cell>
          <cell r="EN50">
            <v>0</v>
          </cell>
          <cell r="EP50">
            <v>0</v>
          </cell>
          <cell r="EQ50">
            <v>0</v>
          </cell>
          <cell r="ES50">
            <v>0</v>
          </cell>
          <cell r="ET50">
            <v>0</v>
          </cell>
          <cell r="EV50">
            <v>1715973.3199999998</v>
          </cell>
          <cell r="EW50">
            <v>1</v>
          </cell>
          <cell r="EY50">
            <v>0</v>
          </cell>
          <cell r="EZ50">
            <v>0</v>
          </cell>
          <cell r="FB50">
            <v>0</v>
          </cell>
          <cell r="FC50">
            <v>0</v>
          </cell>
          <cell r="FE50">
            <v>0</v>
          </cell>
          <cell r="FF50">
            <v>0</v>
          </cell>
          <cell r="FH50">
            <v>1715973.3199999998</v>
          </cell>
          <cell r="FI50">
            <v>1</v>
          </cell>
          <cell r="FK50">
            <v>0</v>
          </cell>
          <cell r="FL50">
            <v>0</v>
          </cell>
          <cell r="FN50">
            <v>0</v>
          </cell>
          <cell r="FO50">
            <v>0</v>
          </cell>
          <cell r="FQ50">
            <v>0</v>
          </cell>
          <cell r="FR50">
            <v>0</v>
          </cell>
          <cell r="FT50">
            <v>1715973.3199999998</v>
          </cell>
          <cell r="FU50">
            <v>1</v>
          </cell>
          <cell r="FW50">
            <v>0</v>
          </cell>
          <cell r="FX50">
            <v>0</v>
          </cell>
          <cell r="FZ50">
            <v>0</v>
          </cell>
          <cell r="GA50">
            <v>0</v>
          </cell>
          <cell r="GC50">
            <v>0</v>
          </cell>
          <cell r="GD50">
            <v>0</v>
          </cell>
          <cell r="GF50">
            <v>1715973.3199999998</v>
          </cell>
          <cell r="GG50">
            <v>1</v>
          </cell>
        </row>
        <row r="51">
          <cell r="U51">
            <v>46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61</v>
          </cell>
          <cell r="AF51">
            <v>19992.75</v>
          </cell>
          <cell r="AG51">
            <v>1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61</v>
          </cell>
          <cell r="AR51">
            <v>19992.75</v>
          </cell>
          <cell r="AS51">
            <v>1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61</v>
          </cell>
          <cell r="BD51">
            <v>19992.75</v>
          </cell>
          <cell r="BE51">
            <v>1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61</v>
          </cell>
          <cell r="BP51">
            <v>19992.75</v>
          </cell>
          <cell r="BQ51">
            <v>1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61</v>
          </cell>
          <cell r="CB51">
            <v>19992.75</v>
          </cell>
          <cell r="CC51">
            <v>1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61</v>
          </cell>
          <cell r="CN51">
            <v>19992.75</v>
          </cell>
          <cell r="CO51">
            <v>1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61</v>
          </cell>
          <cell r="CZ51">
            <v>19992.75</v>
          </cell>
          <cell r="DA51">
            <v>1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61</v>
          </cell>
          <cell r="DL51">
            <v>19992.75</v>
          </cell>
          <cell r="DM51">
            <v>1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61</v>
          </cell>
          <cell r="DX51">
            <v>19992.75</v>
          </cell>
          <cell r="DY51">
            <v>1</v>
          </cell>
          <cell r="DZ51">
            <v>0</v>
          </cell>
          <cell r="EA51">
            <v>0</v>
          </cell>
          <cell r="EB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61</v>
          </cell>
          <cell r="EJ51">
            <v>19992.75</v>
          </cell>
          <cell r="EK51">
            <v>1</v>
          </cell>
          <cell r="EL51">
            <v>0</v>
          </cell>
          <cell r="EM51">
            <v>0</v>
          </cell>
          <cell r="EN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61</v>
          </cell>
          <cell r="EV51">
            <v>19992.75</v>
          </cell>
          <cell r="EW51">
            <v>1</v>
          </cell>
          <cell r="EX51">
            <v>0</v>
          </cell>
          <cell r="EY51">
            <v>0</v>
          </cell>
          <cell r="EZ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61</v>
          </cell>
          <cell r="FH51">
            <v>19992.75</v>
          </cell>
          <cell r="FI51">
            <v>1</v>
          </cell>
          <cell r="FJ51">
            <v>0</v>
          </cell>
          <cell r="FK51">
            <v>0</v>
          </cell>
          <cell r="FL51">
            <v>0</v>
          </cell>
          <cell r="FN51">
            <v>0</v>
          </cell>
          <cell r="FO51">
            <v>0</v>
          </cell>
          <cell r="FP51">
            <v>0</v>
          </cell>
          <cell r="FQ51">
            <v>0</v>
          </cell>
          <cell r="FR51">
            <v>0</v>
          </cell>
          <cell r="FS51">
            <v>61</v>
          </cell>
          <cell r="FT51">
            <v>19992.75</v>
          </cell>
          <cell r="FU51">
            <v>1</v>
          </cell>
          <cell r="FV51">
            <v>0</v>
          </cell>
          <cell r="FW51">
            <v>0</v>
          </cell>
          <cell r="FX51">
            <v>0</v>
          </cell>
          <cell r="FZ51">
            <v>0</v>
          </cell>
          <cell r="GA51">
            <v>0</v>
          </cell>
          <cell r="GB51">
            <v>0</v>
          </cell>
          <cell r="GC51">
            <v>0</v>
          </cell>
          <cell r="GD51">
            <v>0</v>
          </cell>
          <cell r="GE51">
            <v>61</v>
          </cell>
          <cell r="GF51">
            <v>19992.75</v>
          </cell>
          <cell r="GG51">
            <v>1</v>
          </cell>
        </row>
        <row r="52">
          <cell r="U52">
            <v>47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32</v>
          </cell>
          <cell r="AF52">
            <v>14655.04</v>
          </cell>
          <cell r="AG52">
            <v>1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32</v>
          </cell>
          <cell r="AR52">
            <v>14655.04</v>
          </cell>
          <cell r="AS52">
            <v>1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32</v>
          </cell>
          <cell r="BD52">
            <v>14655.04</v>
          </cell>
          <cell r="BE52">
            <v>1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32</v>
          </cell>
          <cell r="BP52">
            <v>14655.04</v>
          </cell>
          <cell r="BQ52">
            <v>1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32</v>
          </cell>
          <cell r="CB52">
            <v>14655.04</v>
          </cell>
          <cell r="CC52">
            <v>1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32</v>
          </cell>
          <cell r="CN52">
            <v>14655.04</v>
          </cell>
          <cell r="CO52">
            <v>1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32</v>
          </cell>
          <cell r="CZ52">
            <v>14655.04</v>
          </cell>
          <cell r="DA52">
            <v>1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32</v>
          </cell>
          <cell r="DL52">
            <v>14655.04</v>
          </cell>
          <cell r="DM52">
            <v>1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32</v>
          </cell>
          <cell r="DX52">
            <v>14655.04</v>
          </cell>
          <cell r="DY52">
            <v>1</v>
          </cell>
          <cell r="DZ52">
            <v>0</v>
          </cell>
          <cell r="EA52">
            <v>0</v>
          </cell>
          <cell r="EB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32</v>
          </cell>
          <cell r="EJ52">
            <v>14655.04</v>
          </cell>
          <cell r="EK52">
            <v>1</v>
          </cell>
          <cell r="EL52">
            <v>0</v>
          </cell>
          <cell r="EM52">
            <v>0</v>
          </cell>
          <cell r="EN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32</v>
          </cell>
          <cell r="EV52">
            <v>14655.04</v>
          </cell>
          <cell r="EW52">
            <v>1</v>
          </cell>
          <cell r="EX52">
            <v>0</v>
          </cell>
          <cell r="EY52">
            <v>0</v>
          </cell>
          <cell r="EZ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32</v>
          </cell>
          <cell r="FH52">
            <v>14655.04</v>
          </cell>
          <cell r="FI52">
            <v>1</v>
          </cell>
          <cell r="FJ52">
            <v>0</v>
          </cell>
          <cell r="FK52">
            <v>0</v>
          </cell>
          <cell r="FL52">
            <v>0</v>
          </cell>
          <cell r="FN52">
            <v>0</v>
          </cell>
          <cell r="FO52">
            <v>0</v>
          </cell>
          <cell r="FP52">
            <v>0</v>
          </cell>
          <cell r="FQ52">
            <v>0</v>
          </cell>
          <cell r="FR52">
            <v>0</v>
          </cell>
          <cell r="FS52">
            <v>32</v>
          </cell>
          <cell r="FT52">
            <v>14655.04</v>
          </cell>
          <cell r="FU52">
            <v>1</v>
          </cell>
          <cell r="FV52">
            <v>0</v>
          </cell>
          <cell r="FW52">
            <v>0</v>
          </cell>
          <cell r="FX52">
            <v>0</v>
          </cell>
          <cell r="FZ52">
            <v>0</v>
          </cell>
          <cell r="GA52">
            <v>0</v>
          </cell>
          <cell r="GB52">
            <v>0</v>
          </cell>
          <cell r="GC52">
            <v>0</v>
          </cell>
          <cell r="GD52">
            <v>0</v>
          </cell>
          <cell r="GE52">
            <v>32</v>
          </cell>
          <cell r="GF52">
            <v>14655.04</v>
          </cell>
          <cell r="GG52">
            <v>1</v>
          </cell>
        </row>
        <row r="53">
          <cell r="U53">
            <v>48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98.34</v>
          </cell>
          <cell r="AF53">
            <v>72847.320000000007</v>
          </cell>
          <cell r="AG53">
            <v>1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98.34</v>
          </cell>
          <cell r="AR53">
            <v>72847.320000000007</v>
          </cell>
          <cell r="AS53">
            <v>1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98.34</v>
          </cell>
          <cell r="BD53">
            <v>72847.320000000007</v>
          </cell>
          <cell r="BE53">
            <v>1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98.34</v>
          </cell>
          <cell r="BP53">
            <v>72847.320000000007</v>
          </cell>
          <cell r="BQ53">
            <v>1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98.34</v>
          </cell>
          <cell r="CB53">
            <v>72847.320000000007</v>
          </cell>
          <cell r="CC53">
            <v>1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98.34</v>
          </cell>
          <cell r="CN53">
            <v>72847.320000000007</v>
          </cell>
          <cell r="CO53">
            <v>1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98.34</v>
          </cell>
          <cell r="CZ53">
            <v>72847.320000000007</v>
          </cell>
          <cell r="DA53">
            <v>1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98.34</v>
          </cell>
          <cell r="DL53">
            <v>72847.320000000007</v>
          </cell>
          <cell r="DM53">
            <v>1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98.34</v>
          </cell>
          <cell r="DX53">
            <v>72847.320000000007</v>
          </cell>
          <cell r="DY53">
            <v>1</v>
          </cell>
          <cell r="DZ53">
            <v>0</v>
          </cell>
          <cell r="EA53">
            <v>0</v>
          </cell>
          <cell r="EB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98.34</v>
          </cell>
          <cell r="EJ53">
            <v>72847.320000000007</v>
          </cell>
          <cell r="EK53">
            <v>1</v>
          </cell>
          <cell r="EL53">
            <v>0</v>
          </cell>
          <cell r="EM53">
            <v>0</v>
          </cell>
          <cell r="EN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98.34</v>
          </cell>
          <cell r="EV53">
            <v>72847.320000000007</v>
          </cell>
          <cell r="EW53">
            <v>1</v>
          </cell>
          <cell r="EX53">
            <v>0</v>
          </cell>
          <cell r="EY53">
            <v>0</v>
          </cell>
          <cell r="EZ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98.34</v>
          </cell>
          <cell r="FH53">
            <v>72847.320000000007</v>
          </cell>
          <cell r="FI53">
            <v>1</v>
          </cell>
          <cell r="FJ53">
            <v>0</v>
          </cell>
          <cell r="FK53">
            <v>0</v>
          </cell>
          <cell r="FL53">
            <v>0</v>
          </cell>
          <cell r="FN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98.34</v>
          </cell>
          <cell r="FT53">
            <v>72847.320000000007</v>
          </cell>
          <cell r="FU53">
            <v>1</v>
          </cell>
          <cell r="FV53">
            <v>0</v>
          </cell>
          <cell r="FW53">
            <v>0</v>
          </cell>
          <cell r="FX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98.34</v>
          </cell>
          <cell r="GF53">
            <v>72847.320000000007</v>
          </cell>
          <cell r="GG53">
            <v>1</v>
          </cell>
        </row>
        <row r="54">
          <cell r="U54">
            <v>49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2</v>
          </cell>
          <cell r="AF54">
            <v>474.76</v>
          </cell>
          <cell r="AG54">
            <v>1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2</v>
          </cell>
          <cell r="AR54">
            <v>474.76</v>
          </cell>
          <cell r="AS54">
            <v>1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2</v>
          </cell>
          <cell r="BD54">
            <v>474.76</v>
          </cell>
          <cell r="BE54">
            <v>1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2</v>
          </cell>
          <cell r="BP54">
            <v>474.76</v>
          </cell>
          <cell r="BQ54">
            <v>1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2</v>
          </cell>
          <cell r="CB54">
            <v>474.76</v>
          </cell>
          <cell r="CC54">
            <v>1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2</v>
          </cell>
          <cell r="CN54">
            <v>474.76</v>
          </cell>
          <cell r="CO54">
            <v>1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2</v>
          </cell>
          <cell r="CZ54">
            <v>474.76</v>
          </cell>
          <cell r="DA54">
            <v>1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2</v>
          </cell>
          <cell r="DL54">
            <v>474.76</v>
          </cell>
          <cell r="DM54">
            <v>1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2</v>
          </cell>
          <cell r="DX54">
            <v>474.76</v>
          </cell>
          <cell r="DY54">
            <v>1</v>
          </cell>
          <cell r="DZ54">
            <v>0</v>
          </cell>
          <cell r="EA54">
            <v>0</v>
          </cell>
          <cell r="EB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2</v>
          </cell>
          <cell r="EJ54">
            <v>474.76</v>
          </cell>
          <cell r="EK54">
            <v>1</v>
          </cell>
          <cell r="EL54">
            <v>0</v>
          </cell>
          <cell r="EM54">
            <v>0</v>
          </cell>
          <cell r="EN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2</v>
          </cell>
          <cell r="EV54">
            <v>474.76</v>
          </cell>
          <cell r="EW54">
            <v>1</v>
          </cell>
          <cell r="EX54">
            <v>0</v>
          </cell>
          <cell r="EY54">
            <v>0</v>
          </cell>
          <cell r="EZ54">
            <v>0</v>
          </cell>
          <cell r="FB54">
            <v>0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2</v>
          </cell>
          <cell r="FH54">
            <v>474.76</v>
          </cell>
          <cell r="FI54">
            <v>1</v>
          </cell>
          <cell r="FJ54">
            <v>0</v>
          </cell>
          <cell r="FK54">
            <v>0</v>
          </cell>
          <cell r="FL54">
            <v>0</v>
          </cell>
          <cell r="FN54">
            <v>0</v>
          </cell>
          <cell r="FO54">
            <v>0</v>
          </cell>
          <cell r="FP54">
            <v>0</v>
          </cell>
          <cell r="FQ54">
            <v>0</v>
          </cell>
          <cell r="FR54">
            <v>0</v>
          </cell>
          <cell r="FS54">
            <v>2</v>
          </cell>
          <cell r="FT54">
            <v>474.76</v>
          </cell>
          <cell r="FU54">
            <v>1</v>
          </cell>
          <cell r="FV54">
            <v>0</v>
          </cell>
          <cell r="FW54">
            <v>0</v>
          </cell>
          <cell r="FX54">
            <v>0</v>
          </cell>
          <cell r="FZ54">
            <v>0</v>
          </cell>
          <cell r="GA54">
            <v>0</v>
          </cell>
          <cell r="GB54">
            <v>0</v>
          </cell>
          <cell r="GC54">
            <v>0</v>
          </cell>
          <cell r="GD54">
            <v>0</v>
          </cell>
          <cell r="GE54">
            <v>2</v>
          </cell>
          <cell r="GF54">
            <v>474.76</v>
          </cell>
          <cell r="GG54">
            <v>1</v>
          </cell>
        </row>
        <row r="55">
          <cell r="U55">
            <v>50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81</v>
          </cell>
          <cell r="AF55">
            <v>18749.07</v>
          </cell>
          <cell r="AG55">
            <v>1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81</v>
          </cell>
          <cell r="AR55">
            <v>18749.07</v>
          </cell>
          <cell r="AS55">
            <v>1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81</v>
          </cell>
          <cell r="BD55">
            <v>18749.07</v>
          </cell>
          <cell r="BE55">
            <v>1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81</v>
          </cell>
          <cell r="BP55">
            <v>18749.07</v>
          </cell>
          <cell r="BQ55">
            <v>1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81</v>
          </cell>
          <cell r="CB55">
            <v>18749.07</v>
          </cell>
          <cell r="CC55">
            <v>1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81</v>
          </cell>
          <cell r="CN55">
            <v>18749.07</v>
          </cell>
          <cell r="CO55">
            <v>1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81</v>
          </cell>
          <cell r="CZ55">
            <v>18749.07</v>
          </cell>
          <cell r="DA55">
            <v>1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81</v>
          </cell>
          <cell r="DL55">
            <v>18749.07</v>
          </cell>
          <cell r="DM55">
            <v>1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81</v>
          </cell>
          <cell r="DX55">
            <v>18749.07</v>
          </cell>
          <cell r="DY55">
            <v>1</v>
          </cell>
          <cell r="DZ55">
            <v>0</v>
          </cell>
          <cell r="EA55">
            <v>0</v>
          </cell>
          <cell r="EB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81</v>
          </cell>
          <cell r="EJ55">
            <v>18749.07</v>
          </cell>
          <cell r="EK55">
            <v>1</v>
          </cell>
          <cell r="EL55">
            <v>0</v>
          </cell>
          <cell r="EM55">
            <v>0</v>
          </cell>
          <cell r="EN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81</v>
          </cell>
          <cell r="EV55">
            <v>18749.07</v>
          </cell>
          <cell r="EW55">
            <v>1</v>
          </cell>
          <cell r="EX55">
            <v>0</v>
          </cell>
          <cell r="EY55">
            <v>0</v>
          </cell>
          <cell r="EZ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81</v>
          </cell>
          <cell r="FH55">
            <v>18749.07</v>
          </cell>
          <cell r="FI55">
            <v>1</v>
          </cell>
          <cell r="FJ55">
            <v>0</v>
          </cell>
          <cell r="FK55">
            <v>0</v>
          </cell>
          <cell r="FL55">
            <v>0</v>
          </cell>
          <cell r="FN55">
            <v>0</v>
          </cell>
          <cell r="FO55">
            <v>0</v>
          </cell>
          <cell r="FP55">
            <v>0</v>
          </cell>
          <cell r="FQ55">
            <v>0</v>
          </cell>
          <cell r="FR55">
            <v>0</v>
          </cell>
          <cell r="FS55">
            <v>81</v>
          </cell>
          <cell r="FT55">
            <v>18749.07</v>
          </cell>
          <cell r="FU55">
            <v>1</v>
          </cell>
          <cell r="FV55">
            <v>0</v>
          </cell>
          <cell r="FW55">
            <v>0</v>
          </cell>
          <cell r="FX55">
            <v>0</v>
          </cell>
          <cell r="FZ55">
            <v>0</v>
          </cell>
          <cell r="GA55">
            <v>0</v>
          </cell>
          <cell r="GB55">
            <v>0</v>
          </cell>
          <cell r="GC55">
            <v>0</v>
          </cell>
          <cell r="GD55">
            <v>0</v>
          </cell>
          <cell r="GE55">
            <v>81</v>
          </cell>
          <cell r="GF55">
            <v>18749.07</v>
          </cell>
          <cell r="GG55">
            <v>1</v>
          </cell>
        </row>
        <row r="56">
          <cell r="U56">
            <v>51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709.1</v>
          </cell>
          <cell r="AF56">
            <v>126872.17</v>
          </cell>
          <cell r="AG56">
            <v>1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709.1</v>
          </cell>
          <cell r="AR56">
            <v>126872.17</v>
          </cell>
          <cell r="AS56">
            <v>1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709.1</v>
          </cell>
          <cell r="BD56">
            <v>126872.17</v>
          </cell>
          <cell r="BE56">
            <v>1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709.1</v>
          </cell>
          <cell r="BP56">
            <v>126872.17</v>
          </cell>
          <cell r="BQ56">
            <v>1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709.1</v>
          </cell>
          <cell r="CB56">
            <v>126872.17</v>
          </cell>
          <cell r="CC56">
            <v>1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709.1</v>
          </cell>
          <cell r="CN56">
            <v>126872.17</v>
          </cell>
          <cell r="CO56">
            <v>1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709.1</v>
          </cell>
          <cell r="CZ56">
            <v>126872.17</v>
          </cell>
          <cell r="DA56">
            <v>1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709.1</v>
          </cell>
          <cell r="DL56">
            <v>126872.17</v>
          </cell>
          <cell r="DM56">
            <v>1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709.1</v>
          </cell>
          <cell r="DX56">
            <v>126872.17</v>
          </cell>
          <cell r="DY56">
            <v>1</v>
          </cell>
          <cell r="DZ56">
            <v>0</v>
          </cell>
          <cell r="EA56">
            <v>0</v>
          </cell>
          <cell r="EB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709.1</v>
          </cell>
          <cell r="EJ56">
            <v>126872.17</v>
          </cell>
          <cell r="EK56">
            <v>1</v>
          </cell>
          <cell r="EL56">
            <v>0</v>
          </cell>
          <cell r="EM56">
            <v>0</v>
          </cell>
          <cell r="EN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709.1</v>
          </cell>
          <cell r="EV56">
            <v>126872.17</v>
          </cell>
          <cell r="EW56">
            <v>1</v>
          </cell>
          <cell r="EX56">
            <v>0</v>
          </cell>
          <cell r="EY56">
            <v>0</v>
          </cell>
          <cell r="EZ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709.1</v>
          </cell>
          <cell r="FH56">
            <v>126872.17</v>
          </cell>
          <cell r="FI56">
            <v>1</v>
          </cell>
          <cell r="FJ56">
            <v>0</v>
          </cell>
          <cell r="FK56">
            <v>0</v>
          </cell>
          <cell r="FL56">
            <v>0</v>
          </cell>
          <cell r="FN56">
            <v>0</v>
          </cell>
          <cell r="FO56">
            <v>0</v>
          </cell>
          <cell r="FP56">
            <v>0</v>
          </cell>
          <cell r="FQ56">
            <v>0</v>
          </cell>
          <cell r="FR56">
            <v>0</v>
          </cell>
          <cell r="FS56">
            <v>709.1</v>
          </cell>
          <cell r="FT56">
            <v>126872.17</v>
          </cell>
          <cell r="FU56">
            <v>1</v>
          </cell>
          <cell r="FV56">
            <v>0</v>
          </cell>
          <cell r="FW56">
            <v>0</v>
          </cell>
          <cell r="FX56">
            <v>0</v>
          </cell>
          <cell r="FZ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709.1</v>
          </cell>
          <cell r="GF56">
            <v>126872.17</v>
          </cell>
          <cell r="GG56">
            <v>1</v>
          </cell>
        </row>
        <row r="57">
          <cell r="U57">
            <v>52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138</v>
          </cell>
          <cell r="AF57">
            <v>48432.480000000003</v>
          </cell>
          <cell r="AG57">
            <v>1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138</v>
          </cell>
          <cell r="AR57">
            <v>48432.480000000003</v>
          </cell>
          <cell r="AS57">
            <v>1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138</v>
          </cell>
          <cell r="BD57">
            <v>48432.480000000003</v>
          </cell>
          <cell r="BE57">
            <v>1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138</v>
          </cell>
          <cell r="BP57">
            <v>48432.480000000003</v>
          </cell>
          <cell r="BQ57">
            <v>1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138</v>
          </cell>
          <cell r="CB57">
            <v>48432.480000000003</v>
          </cell>
          <cell r="CC57">
            <v>1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138</v>
          </cell>
          <cell r="CN57">
            <v>48432.480000000003</v>
          </cell>
          <cell r="CO57">
            <v>1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138</v>
          </cell>
          <cell r="CZ57">
            <v>48432.480000000003</v>
          </cell>
          <cell r="DA57">
            <v>1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138</v>
          </cell>
          <cell r="DL57">
            <v>48432.480000000003</v>
          </cell>
          <cell r="DM57">
            <v>1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138</v>
          </cell>
          <cell r="DX57">
            <v>48432.480000000003</v>
          </cell>
          <cell r="DY57">
            <v>1</v>
          </cell>
          <cell r="DZ57">
            <v>0</v>
          </cell>
          <cell r="EA57">
            <v>0</v>
          </cell>
          <cell r="EB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138</v>
          </cell>
          <cell r="EJ57">
            <v>48432.480000000003</v>
          </cell>
          <cell r="EK57">
            <v>1</v>
          </cell>
          <cell r="EL57">
            <v>0</v>
          </cell>
          <cell r="EM57">
            <v>0</v>
          </cell>
          <cell r="EN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138</v>
          </cell>
          <cell r="EV57">
            <v>48432.480000000003</v>
          </cell>
          <cell r="EW57">
            <v>1</v>
          </cell>
          <cell r="EX57">
            <v>0</v>
          </cell>
          <cell r="EY57">
            <v>0</v>
          </cell>
          <cell r="EZ57">
            <v>0</v>
          </cell>
          <cell r="FB57">
            <v>0</v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138</v>
          </cell>
          <cell r="FH57">
            <v>48432.480000000003</v>
          </cell>
          <cell r="FI57">
            <v>1</v>
          </cell>
          <cell r="FJ57">
            <v>0</v>
          </cell>
          <cell r="FK57">
            <v>0</v>
          </cell>
          <cell r="FL57">
            <v>0</v>
          </cell>
          <cell r="FN57">
            <v>0</v>
          </cell>
          <cell r="FO57">
            <v>0</v>
          </cell>
          <cell r="FP57">
            <v>0</v>
          </cell>
          <cell r="FQ57">
            <v>0</v>
          </cell>
          <cell r="FR57">
            <v>0</v>
          </cell>
          <cell r="FS57">
            <v>138</v>
          </cell>
          <cell r="FT57">
            <v>48432.480000000003</v>
          </cell>
          <cell r="FU57">
            <v>1</v>
          </cell>
          <cell r="FV57">
            <v>0</v>
          </cell>
          <cell r="FW57">
            <v>0</v>
          </cell>
          <cell r="FX57">
            <v>0</v>
          </cell>
          <cell r="FZ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138</v>
          </cell>
          <cell r="GF57">
            <v>48432.480000000003</v>
          </cell>
          <cell r="GG57">
            <v>1</v>
          </cell>
        </row>
        <row r="58">
          <cell r="U58">
            <v>53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15360</v>
          </cell>
          <cell r="AF58">
            <v>193689.60000000001</v>
          </cell>
          <cell r="AG58">
            <v>1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15360</v>
          </cell>
          <cell r="AR58">
            <v>193689.60000000001</v>
          </cell>
          <cell r="AS58">
            <v>1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15360</v>
          </cell>
          <cell r="BD58">
            <v>193689.60000000001</v>
          </cell>
          <cell r="BE58">
            <v>1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15360</v>
          </cell>
          <cell r="BP58">
            <v>193689.60000000001</v>
          </cell>
          <cell r="BQ58">
            <v>1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15360</v>
          </cell>
          <cell r="CB58">
            <v>193689.60000000001</v>
          </cell>
          <cell r="CC58">
            <v>1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15360</v>
          </cell>
          <cell r="CN58">
            <v>193689.60000000001</v>
          </cell>
          <cell r="CO58">
            <v>1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15360</v>
          </cell>
          <cell r="CZ58">
            <v>193689.60000000001</v>
          </cell>
          <cell r="DA58">
            <v>1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15360</v>
          </cell>
          <cell r="DL58">
            <v>193689.60000000001</v>
          </cell>
          <cell r="DM58">
            <v>1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15360</v>
          </cell>
          <cell r="DX58">
            <v>193689.60000000001</v>
          </cell>
          <cell r="DY58">
            <v>1</v>
          </cell>
          <cell r="DZ58">
            <v>0</v>
          </cell>
          <cell r="EA58">
            <v>0</v>
          </cell>
          <cell r="EB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15360</v>
          </cell>
          <cell r="EJ58">
            <v>193689.60000000001</v>
          </cell>
          <cell r="EK58">
            <v>1</v>
          </cell>
          <cell r="EL58">
            <v>0</v>
          </cell>
          <cell r="EM58">
            <v>0</v>
          </cell>
          <cell r="EN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15360</v>
          </cell>
          <cell r="EV58">
            <v>193689.60000000001</v>
          </cell>
          <cell r="EW58">
            <v>1</v>
          </cell>
          <cell r="EX58">
            <v>0</v>
          </cell>
          <cell r="EY58">
            <v>0</v>
          </cell>
          <cell r="EZ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15360</v>
          </cell>
          <cell r="FH58">
            <v>193689.60000000001</v>
          </cell>
          <cell r="FI58">
            <v>1</v>
          </cell>
          <cell r="FJ58">
            <v>0</v>
          </cell>
          <cell r="FK58">
            <v>0</v>
          </cell>
          <cell r="FL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15360</v>
          </cell>
          <cell r="FT58">
            <v>193689.60000000001</v>
          </cell>
          <cell r="FU58">
            <v>1</v>
          </cell>
          <cell r="FV58">
            <v>0</v>
          </cell>
          <cell r="FW58">
            <v>0</v>
          </cell>
          <cell r="FX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15360</v>
          </cell>
          <cell r="GF58">
            <v>193689.60000000001</v>
          </cell>
          <cell r="GG58">
            <v>1</v>
          </cell>
        </row>
        <row r="59">
          <cell r="U59">
            <v>54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29264.15</v>
          </cell>
          <cell r="AF59">
            <v>205434.33</v>
          </cell>
          <cell r="AG59">
            <v>1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29264.15</v>
          </cell>
          <cell r="AR59">
            <v>205434.33</v>
          </cell>
          <cell r="AS59">
            <v>1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29264.15</v>
          </cell>
          <cell r="BD59">
            <v>205434.33</v>
          </cell>
          <cell r="BE59">
            <v>1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29264.15</v>
          </cell>
          <cell r="BP59">
            <v>205434.33</v>
          </cell>
          <cell r="BQ59">
            <v>1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29264.15</v>
          </cell>
          <cell r="CB59">
            <v>205434.33</v>
          </cell>
          <cell r="CC59">
            <v>1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29264.15</v>
          </cell>
          <cell r="CN59">
            <v>205434.33</v>
          </cell>
          <cell r="CO59">
            <v>1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29264.15</v>
          </cell>
          <cell r="CZ59">
            <v>205434.33</v>
          </cell>
          <cell r="DA59">
            <v>1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29264.15</v>
          </cell>
          <cell r="DL59">
            <v>205434.33</v>
          </cell>
          <cell r="DM59">
            <v>1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29264.15</v>
          </cell>
          <cell r="DX59">
            <v>205434.33</v>
          </cell>
          <cell r="DY59">
            <v>1</v>
          </cell>
          <cell r="DZ59">
            <v>0</v>
          </cell>
          <cell r="EA59">
            <v>0</v>
          </cell>
          <cell r="EB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29264.15</v>
          </cell>
          <cell r="EJ59">
            <v>205434.33</v>
          </cell>
          <cell r="EK59">
            <v>1</v>
          </cell>
          <cell r="EL59">
            <v>0</v>
          </cell>
          <cell r="EM59">
            <v>0</v>
          </cell>
          <cell r="EN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29264.15</v>
          </cell>
          <cell r="EV59">
            <v>205434.33</v>
          </cell>
          <cell r="EW59">
            <v>1</v>
          </cell>
          <cell r="EX59">
            <v>0</v>
          </cell>
          <cell r="EY59">
            <v>0</v>
          </cell>
          <cell r="EZ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29264.15</v>
          </cell>
          <cell r="FH59">
            <v>205434.33</v>
          </cell>
          <cell r="FI59">
            <v>1</v>
          </cell>
          <cell r="FJ59">
            <v>0</v>
          </cell>
          <cell r="FK59">
            <v>0</v>
          </cell>
          <cell r="FL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29264.15</v>
          </cell>
          <cell r="FT59">
            <v>205434.33</v>
          </cell>
          <cell r="FU59">
            <v>1</v>
          </cell>
          <cell r="FV59">
            <v>0</v>
          </cell>
          <cell r="FW59">
            <v>0</v>
          </cell>
          <cell r="FX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29264.15</v>
          </cell>
          <cell r="GF59">
            <v>205434.33</v>
          </cell>
          <cell r="GG59">
            <v>1</v>
          </cell>
        </row>
        <row r="60">
          <cell r="U60">
            <v>55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4850</v>
          </cell>
          <cell r="AF60">
            <v>795594</v>
          </cell>
          <cell r="AG60">
            <v>1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4850</v>
          </cell>
          <cell r="AR60">
            <v>795594</v>
          </cell>
          <cell r="AS60">
            <v>1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4850</v>
          </cell>
          <cell r="BD60">
            <v>795594</v>
          </cell>
          <cell r="BE60">
            <v>1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4850</v>
          </cell>
          <cell r="BP60">
            <v>795594</v>
          </cell>
          <cell r="BQ60">
            <v>1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4850</v>
          </cell>
          <cell r="CB60">
            <v>795594</v>
          </cell>
          <cell r="CC60">
            <v>1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4850</v>
          </cell>
          <cell r="CN60">
            <v>795594</v>
          </cell>
          <cell r="CO60">
            <v>1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4850</v>
          </cell>
          <cell r="CZ60">
            <v>795594</v>
          </cell>
          <cell r="DA60">
            <v>1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4850</v>
          </cell>
          <cell r="DL60">
            <v>795594</v>
          </cell>
          <cell r="DM60">
            <v>1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4850</v>
          </cell>
          <cell r="DX60">
            <v>795594</v>
          </cell>
          <cell r="DY60">
            <v>1</v>
          </cell>
          <cell r="DZ60">
            <v>0</v>
          </cell>
          <cell r="EA60">
            <v>0</v>
          </cell>
          <cell r="EB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4850</v>
          </cell>
          <cell r="EJ60">
            <v>795594</v>
          </cell>
          <cell r="EK60">
            <v>1</v>
          </cell>
          <cell r="EL60">
            <v>0</v>
          </cell>
          <cell r="EM60">
            <v>0</v>
          </cell>
          <cell r="EN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4850</v>
          </cell>
          <cell r="EV60">
            <v>795594</v>
          </cell>
          <cell r="EW60">
            <v>1</v>
          </cell>
          <cell r="EX60">
            <v>0</v>
          </cell>
          <cell r="EY60">
            <v>0</v>
          </cell>
          <cell r="EZ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4850</v>
          </cell>
          <cell r="FH60">
            <v>795594</v>
          </cell>
          <cell r="FI60">
            <v>1</v>
          </cell>
          <cell r="FJ60">
            <v>0</v>
          </cell>
          <cell r="FK60">
            <v>0</v>
          </cell>
          <cell r="FL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4850</v>
          </cell>
          <cell r="FT60">
            <v>795594</v>
          </cell>
          <cell r="FU60">
            <v>1</v>
          </cell>
          <cell r="FV60">
            <v>0</v>
          </cell>
          <cell r="FW60">
            <v>0</v>
          </cell>
          <cell r="FX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4850</v>
          </cell>
          <cell r="GF60">
            <v>795594</v>
          </cell>
          <cell r="GG60">
            <v>1</v>
          </cell>
        </row>
        <row r="61">
          <cell r="U61">
            <v>56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54</v>
          </cell>
          <cell r="AF61">
            <v>6345</v>
          </cell>
          <cell r="AG61">
            <v>1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54</v>
          </cell>
          <cell r="AR61">
            <v>6345</v>
          </cell>
          <cell r="AS61">
            <v>1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54</v>
          </cell>
          <cell r="BD61">
            <v>6345</v>
          </cell>
          <cell r="BE61">
            <v>1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54</v>
          </cell>
          <cell r="BP61">
            <v>6345</v>
          </cell>
          <cell r="BQ61">
            <v>1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54</v>
          </cell>
          <cell r="CB61">
            <v>6345</v>
          </cell>
          <cell r="CC61">
            <v>1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54</v>
          </cell>
          <cell r="CN61">
            <v>6345</v>
          </cell>
          <cell r="CO61">
            <v>1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54</v>
          </cell>
          <cell r="CZ61">
            <v>6345</v>
          </cell>
          <cell r="DA61">
            <v>1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54</v>
          </cell>
          <cell r="DL61">
            <v>6345</v>
          </cell>
          <cell r="DM61">
            <v>1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54</v>
          </cell>
          <cell r="DX61">
            <v>6345</v>
          </cell>
          <cell r="DY61">
            <v>1</v>
          </cell>
          <cell r="DZ61">
            <v>0</v>
          </cell>
          <cell r="EA61">
            <v>0</v>
          </cell>
          <cell r="EB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54</v>
          </cell>
          <cell r="EJ61">
            <v>6345</v>
          </cell>
          <cell r="EK61">
            <v>1</v>
          </cell>
          <cell r="EL61">
            <v>0</v>
          </cell>
          <cell r="EM61">
            <v>0</v>
          </cell>
          <cell r="EN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54</v>
          </cell>
          <cell r="EV61">
            <v>6345</v>
          </cell>
          <cell r="EW61">
            <v>1</v>
          </cell>
          <cell r="EX61">
            <v>0</v>
          </cell>
          <cell r="EY61">
            <v>0</v>
          </cell>
          <cell r="EZ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54</v>
          </cell>
          <cell r="FH61">
            <v>6345</v>
          </cell>
          <cell r="FI61">
            <v>1</v>
          </cell>
          <cell r="FJ61">
            <v>0</v>
          </cell>
          <cell r="FK61">
            <v>0</v>
          </cell>
          <cell r="FL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54</v>
          </cell>
          <cell r="FT61">
            <v>6345</v>
          </cell>
          <cell r="FU61">
            <v>1</v>
          </cell>
          <cell r="FV61">
            <v>0</v>
          </cell>
          <cell r="FW61">
            <v>0</v>
          </cell>
          <cell r="FX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54</v>
          </cell>
          <cell r="GF61">
            <v>6345</v>
          </cell>
          <cell r="GG61">
            <v>1</v>
          </cell>
        </row>
        <row r="62">
          <cell r="U62">
            <v>57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194.4</v>
          </cell>
          <cell r="AF62">
            <v>202436.5</v>
          </cell>
          <cell r="AG62">
            <v>1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194.4</v>
          </cell>
          <cell r="AR62">
            <v>202436.5</v>
          </cell>
          <cell r="AS62">
            <v>1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194.4</v>
          </cell>
          <cell r="BD62">
            <v>202436.5</v>
          </cell>
          <cell r="BE62">
            <v>1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194.4</v>
          </cell>
          <cell r="BP62">
            <v>202436.5</v>
          </cell>
          <cell r="BQ62">
            <v>1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194.4</v>
          </cell>
          <cell r="CB62">
            <v>202436.5</v>
          </cell>
          <cell r="CC62">
            <v>1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194.4</v>
          </cell>
          <cell r="CN62">
            <v>202436.5</v>
          </cell>
          <cell r="CO62">
            <v>1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194.4</v>
          </cell>
          <cell r="CZ62">
            <v>202436.5</v>
          </cell>
          <cell r="DA62">
            <v>1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194.4</v>
          </cell>
          <cell r="DL62">
            <v>202436.5</v>
          </cell>
          <cell r="DM62">
            <v>1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194.4</v>
          </cell>
          <cell r="DX62">
            <v>202436.5</v>
          </cell>
          <cell r="DY62">
            <v>1</v>
          </cell>
          <cell r="DZ62">
            <v>0</v>
          </cell>
          <cell r="EA62">
            <v>0</v>
          </cell>
          <cell r="EB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194.4</v>
          </cell>
          <cell r="EJ62">
            <v>202436.5</v>
          </cell>
          <cell r="EK62">
            <v>1</v>
          </cell>
          <cell r="EL62">
            <v>0</v>
          </cell>
          <cell r="EM62">
            <v>0</v>
          </cell>
          <cell r="EN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194.4</v>
          </cell>
          <cell r="EV62">
            <v>202436.5</v>
          </cell>
          <cell r="EW62">
            <v>1</v>
          </cell>
          <cell r="EX62">
            <v>0</v>
          </cell>
          <cell r="EY62">
            <v>0</v>
          </cell>
          <cell r="EZ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194.4</v>
          </cell>
          <cell r="FH62">
            <v>202436.5</v>
          </cell>
          <cell r="FI62">
            <v>1</v>
          </cell>
          <cell r="FJ62">
            <v>0</v>
          </cell>
          <cell r="FK62">
            <v>0</v>
          </cell>
          <cell r="FL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194.4</v>
          </cell>
          <cell r="FT62">
            <v>202436.5</v>
          </cell>
          <cell r="FU62">
            <v>1</v>
          </cell>
          <cell r="FV62">
            <v>0</v>
          </cell>
          <cell r="FW62">
            <v>0</v>
          </cell>
          <cell r="FX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194.4</v>
          </cell>
          <cell r="GF62">
            <v>202436.5</v>
          </cell>
          <cell r="GG62">
            <v>1</v>
          </cell>
        </row>
        <row r="63">
          <cell r="U63">
            <v>58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53</v>
          </cell>
          <cell r="AF63">
            <v>2460.2600000000002</v>
          </cell>
          <cell r="AG63">
            <v>1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53</v>
          </cell>
          <cell r="AR63">
            <v>2460.2600000000002</v>
          </cell>
          <cell r="AS63">
            <v>1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53</v>
          </cell>
          <cell r="BD63">
            <v>2460.2600000000002</v>
          </cell>
          <cell r="BE63">
            <v>1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53</v>
          </cell>
          <cell r="BP63">
            <v>2460.2600000000002</v>
          </cell>
          <cell r="BQ63">
            <v>1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53</v>
          </cell>
          <cell r="CB63">
            <v>2460.2600000000002</v>
          </cell>
          <cell r="CC63">
            <v>1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53</v>
          </cell>
          <cell r="CN63">
            <v>2460.2600000000002</v>
          </cell>
          <cell r="CO63">
            <v>1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53</v>
          </cell>
          <cell r="CZ63">
            <v>2460.2600000000002</v>
          </cell>
          <cell r="DA63">
            <v>1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53</v>
          </cell>
          <cell r="DL63">
            <v>2460.2600000000002</v>
          </cell>
          <cell r="DM63">
            <v>1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53</v>
          </cell>
          <cell r="DX63">
            <v>2460.2600000000002</v>
          </cell>
          <cell r="DY63">
            <v>1</v>
          </cell>
          <cell r="DZ63">
            <v>0</v>
          </cell>
          <cell r="EA63">
            <v>0</v>
          </cell>
          <cell r="EB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53</v>
          </cell>
          <cell r="EJ63">
            <v>2460.2600000000002</v>
          </cell>
          <cell r="EK63">
            <v>1</v>
          </cell>
          <cell r="EL63">
            <v>0</v>
          </cell>
          <cell r="EM63">
            <v>0</v>
          </cell>
          <cell r="EN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53</v>
          </cell>
          <cell r="EV63">
            <v>2460.2600000000002</v>
          </cell>
          <cell r="EW63">
            <v>1</v>
          </cell>
          <cell r="EX63">
            <v>0</v>
          </cell>
          <cell r="EY63">
            <v>0</v>
          </cell>
          <cell r="EZ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53</v>
          </cell>
          <cell r="FH63">
            <v>2460.2600000000002</v>
          </cell>
          <cell r="FI63">
            <v>1</v>
          </cell>
          <cell r="FJ63">
            <v>0</v>
          </cell>
          <cell r="FK63">
            <v>0</v>
          </cell>
          <cell r="FL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53</v>
          </cell>
          <cell r="FT63">
            <v>2460.2600000000002</v>
          </cell>
          <cell r="FU63">
            <v>1</v>
          </cell>
          <cell r="FV63">
            <v>0</v>
          </cell>
          <cell r="FW63">
            <v>0</v>
          </cell>
          <cell r="FX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53</v>
          </cell>
          <cell r="GF63">
            <v>2460.2600000000002</v>
          </cell>
          <cell r="GG63">
            <v>1</v>
          </cell>
        </row>
        <row r="64">
          <cell r="U64">
            <v>59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13</v>
          </cell>
          <cell r="AF64">
            <v>797.68</v>
          </cell>
          <cell r="AG64">
            <v>1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13</v>
          </cell>
          <cell r="AR64">
            <v>797.68</v>
          </cell>
          <cell r="AS64">
            <v>1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13</v>
          </cell>
          <cell r="BD64">
            <v>797.68</v>
          </cell>
          <cell r="BE64">
            <v>1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13</v>
          </cell>
          <cell r="BP64">
            <v>797.68</v>
          </cell>
          <cell r="BQ64">
            <v>1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13</v>
          </cell>
          <cell r="CB64">
            <v>797.68</v>
          </cell>
          <cell r="CC64">
            <v>1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13</v>
          </cell>
          <cell r="CN64">
            <v>797.68</v>
          </cell>
          <cell r="CO64">
            <v>1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13</v>
          </cell>
          <cell r="CZ64">
            <v>797.68</v>
          </cell>
          <cell r="DA64">
            <v>1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13</v>
          </cell>
          <cell r="DL64">
            <v>797.68</v>
          </cell>
          <cell r="DM64">
            <v>1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13</v>
          </cell>
          <cell r="DX64">
            <v>797.68</v>
          </cell>
          <cell r="DY64">
            <v>1</v>
          </cell>
          <cell r="DZ64">
            <v>0</v>
          </cell>
          <cell r="EA64">
            <v>0</v>
          </cell>
          <cell r="EB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13</v>
          </cell>
          <cell r="EJ64">
            <v>797.68</v>
          </cell>
          <cell r="EK64">
            <v>1</v>
          </cell>
          <cell r="EL64">
            <v>0</v>
          </cell>
          <cell r="EM64">
            <v>0</v>
          </cell>
          <cell r="EN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13</v>
          </cell>
          <cell r="EV64">
            <v>797.68</v>
          </cell>
          <cell r="EW64">
            <v>1</v>
          </cell>
          <cell r="EX64">
            <v>0</v>
          </cell>
          <cell r="EY64">
            <v>0</v>
          </cell>
          <cell r="EZ64">
            <v>0</v>
          </cell>
          <cell r="FB64">
            <v>0</v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13</v>
          </cell>
          <cell r="FH64">
            <v>797.68</v>
          </cell>
          <cell r="FI64">
            <v>1</v>
          </cell>
          <cell r="FJ64">
            <v>0</v>
          </cell>
          <cell r="FK64">
            <v>0</v>
          </cell>
          <cell r="FL64">
            <v>0</v>
          </cell>
          <cell r="FN64">
            <v>0</v>
          </cell>
          <cell r="FO64">
            <v>0</v>
          </cell>
          <cell r="FP64">
            <v>0</v>
          </cell>
          <cell r="FQ64">
            <v>0</v>
          </cell>
          <cell r="FR64">
            <v>0</v>
          </cell>
          <cell r="FS64">
            <v>13</v>
          </cell>
          <cell r="FT64">
            <v>797.68</v>
          </cell>
          <cell r="FU64">
            <v>1</v>
          </cell>
          <cell r="FV64">
            <v>0</v>
          </cell>
          <cell r="FW64">
            <v>0</v>
          </cell>
          <cell r="FX64">
            <v>0</v>
          </cell>
          <cell r="FZ64">
            <v>0</v>
          </cell>
          <cell r="GA64">
            <v>0</v>
          </cell>
          <cell r="GB64">
            <v>0</v>
          </cell>
          <cell r="GC64">
            <v>0</v>
          </cell>
          <cell r="GD64">
            <v>0</v>
          </cell>
          <cell r="GE64">
            <v>13</v>
          </cell>
          <cell r="GF64">
            <v>797.68</v>
          </cell>
          <cell r="GG64">
            <v>1</v>
          </cell>
        </row>
        <row r="65">
          <cell r="U65">
            <v>60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6</v>
          </cell>
          <cell r="AF65">
            <v>131.88</v>
          </cell>
          <cell r="AG65">
            <v>1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6</v>
          </cell>
          <cell r="AR65">
            <v>131.88</v>
          </cell>
          <cell r="AS65">
            <v>1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6</v>
          </cell>
          <cell r="BD65">
            <v>131.88</v>
          </cell>
          <cell r="BE65">
            <v>1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6</v>
          </cell>
          <cell r="BP65">
            <v>131.88</v>
          </cell>
          <cell r="BQ65">
            <v>1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6</v>
          </cell>
          <cell r="CB65">
            <v>131.88</v>
          </cell>
          <cell r="CC65">
            <v>1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6</v>
          </cell>
          <cell r="CN65">
            <v>131.88</v>
          </cell>
          <cell r="CO65">
            <v>1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6</v>
          </cell>
          <cell r="CZ65">
            <v>131.88</v>
          </cell>
          <cell r="DA65">
            <v>1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6</v>
          </cell>
          <cell r="DL65">
            <v>131.88</v>
          </cell>
          <cell r="DM65">
            <v>1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6</v>
          </cell>
          <cell r="DX65">
            <v>131.88</v>
          </cell>
          <cell r="DY65">
            <v>1</v>
          </cell>
          <cell r="DZ65">
            <v>0</v>
          </cell>
          <cell r="EA65">
            <v>0</v>
          </cell>
          <cell r="EB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6</v>
          </cell>
          <cell r="EJ65">
            <v>131.88</v>
          </cell>
          <cell r="EK65">
            <v>1</v>
          </cell>
          <cell r="EL65">
            <v>0</v>
          </cell>
          <cell r="EM65">
            <v>0</v>
          </cell>
          <cell r="EN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6</v>
          </cell>
          <cell r="EV65">
            <v>131.88</v>
          </cell>
          <cell r="EW65">
            <v>1</v>
          </cell>
          <cell r="EX65">
            <v>0</v>
          </cell>
          <cell r="EY65">
            <v>0</v>
          </cell>
          <cell r="EZ65">
            <v>0</v>
          </cell>
          <cell r="FB65">
            <v>0</v>
          </cell>
          <cell r="FC65">
            <v>0</v>
          </cell>
          <cell r="FD65">
            <v>0</v>
          </cell>
          <cell r="FE65">
            <v>0</v>
          </cell>
          <cell r="FF65">
            <v>0</v>
          </cell>
          <cell r="FG65">
            <v>6</v>
          </cell>
          <cell r="FH65">
            <v>131.88</v>
          </cell>
          <cell r="FI65">
            <v>1</v>
          </cell>
          <cell r="FJ65">
            <v>0</v>
          </cell>
          <cell r="FK65">
            <v>0</v>
          </cell>
          <cell r="FL65">
            <v>0</v>
          </cell>
          <cell r="FN65">
            <v>0</v>
          </cell>
          <cell r="FO65">
            <v>0</v>
          </cell>
          <cell r="FP65">
            <v>0</v>
          </cell>
          <cell r="FQ65">
            <v>0</v>
          </cell>
          <cell r="FR65">
            <v>0</v>
          </cell>
          <cell r="FS65">
            <v>6</v>
          </cell>
          <cell r="FT65">
            <v>131.88</v>
          </cell>
          <cell r="FU65">
            <v>1</v>
          </cell>
          <cell r="FV65">
            <v>0</v>
          </cell>
          <cell r="FW65">
            <v>0</v>
          </cell>
          <cell r="FX65">
            <v>0</v>
          </cell>
          <cell r="FZ65">
            <v>0</v>
          </cell>
          <cell r="GA65">
            <v>0</v>
          </cell>
          <cell r="GB65">
            <v>0</v>
          </cell>
          <cell r="GC65">
            <v>0</v>
          </cell>
          <cell r="GD65">
            <v>0</v>
          </cell>
          <cell r="GE65">
            <v>6</v>
          </cell>
          <cell r="GF65">
            <v>131.88</v>
          </cell>
          <cell r="GG65">
            <v>1</v>
          </cell>
        </row>
        <row r="66">
          <cell r="U66">
            <v>61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1</v>
          </cell>
          <cell r="AF66">
            <v>7060.48</v>
          </cell>
          <cell r="AG66">
            <v>1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1</v>
          </cell>
          <cell r="AR66">
            <v>7060.48</v>
          </cell>
          <cell r="AS66">
            <v>1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1</v>
          </cell>
          <cell r="BD66">
            <v>7060.48</v>
          </cell>
          <cell r="BE66">
            <v>1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1</v>
          </cell>
          <cell r="BP66">
            <v>7060.48</v>
          </cell>
          <cell r="BQ66">
            <v>1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1</v>
          </cell>
          <cell r="CB66">
            <v>7060.48</v>
          </cell>
          <cell r="CC66">
            <v>1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1</v>
          </cell>
          <cell r="CN66">
            <v>7060.48</v>
          </cell>
          <cell r="CO66">
            <v>1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1</v>
          </cell>
          <cell r="CZ66">
            <v>7060.48</v>
          </cell>
          <cell r="DA66">
            <v>1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1</v>
          </cell>
          <cell r="DL66">
            <v>7060.48</v>
          </cell>
          <cell r="DM66">
            <v>1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1</v>
          </cell>
          <cell r="DX66">
            <v>7060.48</v>
          </cell>
          <cell r="DY66">
            <v>1</v>
          </cell>
          <cell r="DZ66">
            <v>0</v>
          </cell>
          <cell r="EA66">
            <v>0</v>
          </cell>
          <cell r="EB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1</v>
          </cell>
          <cell r="EJ66">
            <v>7060.48</v>
          </cell>
          <cell r="EK66">
            <v>1</v>
          </cell>
          <cell r="EL66">
            <v>0</v>
          </cell>
          <cell r="EM66">
            <v>0</v>
          </cell>
          <cell r="EN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1</v>
          </cell>
          <cell r="EV66">
            <v>7060.48</v>
          </cell>
          <cell r="EW66">
            <v>1</v>
          </cell>
          <cell r="EX66">
            <v>0</v>
          </cell>
          <cell r="EY66">
            <v>0</v>
          </cell>
          <cell r="EZ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1</v>
          </cell>
          <cell r="FH66">
            <v>7060.48</v>
          </cell>
          <cell r="FI66">
            <v>1</v>
          </cell>
          <cell r="FJ66">
            <v>0</v>
          </cell>
          <cell r="FK66">
            <v>0</v>
          </cell>
          <cell r="FL66">
            <v>0</v>
          </cell>
          <cell r="FN66">
            <v>0</v>
          </cell>
          <cell r="FO66">
            <v>0</v>
          </cell>
          <cell r="FP66">
            <v>0</v>
          </cell>
          <cell r="FQ66">
            <v>0</v>
          </cell>
          <cell r="FR66">
            <v>0</v>
          </cell>
          <cell r="FS66">
            <v>1</v>
          </cell>
          <cell r="FT66">
            <v>7060.48</v>
          </cell>
          <cell r="FU66">
            <v>1</v>
          </cell>
          <cell r="FV66">
            <v>0</v>
          </cell>
          <cell r="FW66">
            <v>0</v>
          </cell>
          <cell r="FX66">
            <v>0</v>
          </cell>
          <cell r="FZ66">
            <v>0</v>
          </cell>
          <cell r="GA66">
            <v>0</v>
          </cell>
          <cell r="GB66">
            <v>0</v>
          </cell>
          <cell r="GC66">
            <v>0</v>
          </cell>
          <cell r="GD66">
            <v>0</v>
          </cell>
          <cell r="GE66">
            <v>1</v>
          </cell>
          <cell r="GF66">
            <v>7060.48</v>
          </cell>
          <cell r="GG66">
            <v>1</v>
          </cell>
        </row>
        <row r="67">
          <cell r="U67">
            <v>62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C67">
            <v>0</v>
          </cell>
          <cell r="AD67">
            <v>0</v>
          </cell>
          <cell r="AF67">
            <v>41650</v>
          </cell>
          <cell r="AG67">
            <v>1</v>
          </cell>
          <cell r="AI67">
            <v>0</v>
          </cell>
          <cell r="AJ67">
            <v>0</v>
          </cell>
          <cell r="AL67">
            <v>0</v>
          </cell>
          <cell r="AM67">
            <v>0</v>
          </cell>
          <cell r="AO67">
            <v>0</v>
          </cell>
          <cell r="AP67">
            <v>0</v>
          </cell>
          <cell r="AR67">
            <v>41650</v>
          </cell>
          <cell r="AS67">
            <v>1</v>
          </cell>
          <cell r="AU67">
            <v>0</v>
          </cell>
          <cell r="AV67">
            <v>0</v>
          </cell>
          <cell r="AX67">
            <v>0</v>
          </cell>
          <cell r="AY67">
            <v>0</v>
          </cell>
          <cell r="BA67">
            <v>0</v>
          </cell>
          <cell r="BB67">
            <v>0</v>
          </cell>
          <cell r="BD67">
            <v>41650</v>
          </cell>
          <cell r="BE67">
            <v>1</v>
          </cell>
          <cell r="BG67">
            <v>0</v>
          </cell>
          <cell r="BH67">
            <v>0</v>
          </cell>
          <cell r="BJ67">
            <v>0</v>
          </cell>
          <cell r="BK67">
            <v>0</v>
          </cell>
          <cell r="BM67">
            <v>0</v>
          </cell>
          <cell r="BN67">
            <v>0</v>
          </cell>
          <cell r="BP67">
            <v>41650</v>
          </cell>
          <cell r="BQ67">
            <v>1</v>
          </cell>
          <cell r="BS67">
            <v>0</v>
          </cell>
          <cell r="BT67">
            <v>0</v>
          </cell>
          <cell r="BV67">
            <v>0</v>
          </cell>
          <cell r="BW67">
            <v>0</v>
          </cell>
          <cell r="BY67">
            <v>0</v>
          </cell>
          <cell r="BZ67">
            <v>0</v>
          </cell>
          <cell r="CB67">
            <v>41650</v>
          </cell>
          <cell r="CC67">
            <v>1</v>
          </cell>
          <cell r="CE67">
            <v>0</v>
          </cell>
          <cell r="CF67">
            <v>0</v>
          </cell>
          <cell r="CH67">
            <v>0</v>
          </cell>
          <cell r="CI67">
            <v>0</v>
          </cell>
          <cell r="CK67">
            <v>0</v>
          </cell>
          <cell r="CL67">
            <v>0</v>
          </cell>
          <cell r="CN67">
            <v>41650</v>
          </cell>
          <cell r="CO67">
            <v>1</v>
          </cell>
          <cell r="CQ67">
            <v>0</v>
          </cell>
          <cell r="CR67">
            <v>0</v>
          </cell>
          <cell r="CT67">
            <v>0</v>
          </cell>
          <cell r="CU67">
            <v>0</v>
          </cell>
          <cell r="CW67">
            <v>0</v>
          </cell>
          <cell r="CX67">
            <v>0</v>
          </cell>
          <cell r="CZ67">
            <v>41650</v>
          </cell>
          <cell r="DA67">
            <v>1</v>
          </cell>
          <cell r="DC67">
            <v>0</v>
          </cell>
          <cell r="DD67">
            <v>0</v>
          </cell>
          <cell r="DF67">
            <v>0</v>
          </cell>
          <cell r="DG67">
            <v>0</v>
          </cell>
          <cell r="DI67">
            <v>0</v>
          </cell>
          <cell r="DJ67">
            <v>0</v>
          </cell>
          <cell r="DL67">
            <v>41650</v>
          </cell>
          <cell r="DM67">
            <v>1</v>
          </cell>
          <cell r="DO67">
            <v>0</v>
          </cell>
          <cell r="DP67">
            <v>0</v>
          </cell>
          <cell r="DR67">
            <v>0</v>
          </cell>
          <cell r="DS67">
            <v>0</v>
          </cell>
          <cell r="DU67">
            <v>0</v>
          </cell>
          <cell r="DV67">
            <v>0</v>
          </cell>
          <cell r="DX67">
            <v>41650</v>
          </cell>
          <cell r="DY67">
            <v>1</v>
          </cell>
          <cell r="EA67">
            <v>0</v>
          </cell>
          <cell r="EB67">
            <v>0</v>
          </cell>
          <cell r="ED67">
            <v>0</v>
          </cell>
          <cell r="EE67">
            <v>0</v>
          </cell>
          <cell r="EG67">
            <v>0</v>
          </cell>
          <cell r="EH67">
            <v>0</v>
          </cell>
          <cell r="EJ67">
            <v>41650</v>
          </cell>
          <cell r="EK67">
            <v>1</v>
          </cell>
          <cell r="EM67">
            <v>0</v>
          </cell>
          <cell r="EN67">
            <v>0</v>
          </cell>
          <cell r="EP67">
            <v>0</v>
          </cell>
          <cell r="EQ67">
            <v>0</v>
          </cell>
          <cell r="ES67">
            <v>0</v>
          </cell>
          <cell r="ET67">
            <v>0</v>
          </cell>
          <cell r="EV67">
            <v>41650</v>
          </cell>
          <cell r="EW67">
            <v>1</v>
          </cell>
          <cell r="EY67">
            <v>0</v>
          </cell>
          <cell r="EZ67">
            <v>0</v>
          </cell>
          <cell r="FB67">
            <v>0</v>
          </cell>
          <cell r="FC67">
            <v>0</v>
          </cell>
          <cell r="FE67">
            <v>0</v>
          </cell>
          <cell r="FF67">
            <v>0</v>
          </cell>
          <cell r="FH67">
            <v>41650</v>
          </cell>
          <cell r="FI67">
            <v>1</v>
          </cell>
          <cell r="FK67">
            <v>0</v>
          </cell>
          <cell r="FL67">
            <v>0</v>
          </cell>
          <cell r="FN67">
            <v>0</v>
          </cell>
          <cell r="FO67">
            <v>0</v>
          </cell>
          <cell r="FQ67">
            <v>0</v>
          </cell>
          <cell r="FR67">
            <v>0</v>
          </cell>
          <cell r="FT67">
            <v>41650</v>
          </cell>
          <cell r="FU67">
            <v>1</v>
          </cell>
          <cell r="FW67">
            <v>0</v>
          </cell>
          <cell r="FX67">
            <v>0</v>
          </cell>
          <cell r="FZ67">
            <v>0</v>
          </cell>
          <cell r="GA67">
            <v>0</v>
          </cell>
          <cell r="GC67">
            <v>0</v>
          </cell>
          <cell r="GD67">
            <v>0</v>
          </cell>
          <cell r="GF67">
            <v>41650</v>
          </cell>
          <cell r="GG67">
            <v>1</v>
          </cell>
        </row>
        <row r="68">
          <cell r="U68">
            <v>63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1.7</v>
          </cell>
          <cell r="AF68">
            <v>5973.8</v>
          </cell>
          <cell r="AG68">
            <v>1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1.7</v>
          </cell>
          <cell r="AR68">
            <v>5973.8</v>
          </cell>
          <cell r="AS68">
            <v>1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1.7</v>
          </cell>
          <cell r="BD68">
            <v>5973.8</v>
          </cell>
          <cell r="BE68">
            <v>1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1.7</v>
          </cell>
          <cell r="BP68">
            <v>5973.8</v>
          </cell>
          <cell r="BQ68">
            <v>1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1.7</v>
          </cell>
          <cell r="CB68">
            <v>5973.8</v>
          </cell>
          <cell r="CC68">
            <v>1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1.7</v>
          </cell>
          <cell r="CN68">
            <v>5973.8</v>
          </cell>
          <cell r="CO68">
            <v>1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1.7</v>
          </cell>
          <cell r="CZ68">
            <v>5973.8</v>
          </cell>
          <cell r="DA68">
            <v>1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1.7</v>
          </cell>
          <cell r="DL68">
            <v>5973.8</v>
          </cell>
          <cell r="DM68">
            <v>1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>
            <v>0</v>
          </cell>
          <cell r="DS68">
            <v>0</v>
          </cell>
          <cell r="DT68">
            <v>0</v>
          </cell>
          <cell r="DU68">
            <v>0</v>
          </cell>
          <cell r="DV68">
            <v>0</v>
          </cell>
          <cell r="DW68">
            <v>1.7</v>
          </cell>
          <cell r="DX68">
            <v>5973.8</v>
          </cell>
          <cell r="DY68">
            <v>1</v>
          </cell>
          <cell r="DZ68">
            <v>0</v>
          </cell>
          <cell r="EA68">
            <v>0</v>
          </cell>
          <cell r="EB68">
            <v>0</v>
          </cell>
          <cell r="ED68">
            <v>0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1.7</v>
          </cell>
          <cell r="EJ68">
            <v>5973.8</v>
          </cell>
          <cell r="EK68">
            <v>1</v>
          </cell>
          <cell r="EL68">
            <v>0</v>
          </cell>
          <cell r="EM68">
            <v>0</v>
          </cell>
          <cell r="EN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1.7</v>
          </cell>
          <cell r="EV68">
            <v>5973.8</v>
          </cell>
          <cell r="EW68">
            <v>1</v>
          </cell>
          <cell r="EX68">
            <v>0</v>
          </cell>
          <cell r="EY68">
            <v>0</v>
          </cell>
          <cell r="EZ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1.7</v>
          </cell>
          <cell r="FH68">
            <v>5973.8</v>
          </cell>
          <cell r="FI68">
            <v>1</v>
          </cell>
          <cell r="FJ68">
            <v>0</v>
          </cell>
          <cell r="FK68">
            <v>0</v>
          </cell>
          <cell r="FL68">
            <v>0</v>
          </cell>
          <cell r="FN68">
            <v>0</v>
          </cell>
          <cell r="FO68">
            <v>0</v>
          </cell>
          <cell r="FP68">
            <v>0</v>
          </cell>
          <cell r="FQ68">
            <v>0</v>
          </cell>
          <cell r="FR68">
            <v>0</v>
          </cell>
          <cell r="FS68">
            <v>1.7</v>
          </cell>
          <cell r="FT68">
            <v>5973.8</v>
          </cell>
          <cell r="FU68">
            <v>1</v>
          </cell>
          <cell r="FV68">
            <v>0</v>
          </cell>
          <cell r="FW68">
            <v>0</v>
          </cell>
          <cell r="FX68">
            <v>0</v>
          </cell>
          <cell r="FZ68">
            <v>0</v>
          </cell>
          <cell r="GA68">
            <v>0</v>
          </cell>
          <cell r="GB68">
            <v>0</v>
          </cell>
          <cell r="GC68">
            <v>0</v>
          </cell>
          <cell r="GD68">
            <v>0</v>
          </cell>
          <cell r="GE68">
            <v>1.7</v>
          </cell>
          <cell r="GF68">
            <v>5973.8</v>
          </cell>
          <cell r="GG68">
            <v>1</v>
          </cell>
        </row>
        <row r="69">
          <cell r="U69">
            <v>64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0.6</v>
          </cell>
          <cell r="AF69">
            <v>1674</v>
          </cell>
          <cell r="AG69">
            <v>1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0.6</v>
          </cell>
          <cell r="AR69">
            <v>1674</v>
          </cell>
          <cell r="AS69">
            <v>1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0.6</v>
          </cell>
          <cell r="BD69">
            <v>1674</v>
          </cell>
          <cell r="BE69">
            <v>1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0.6</v>
          </cell>
          <cell r="BP69">
            <v>1674</v>
          </cell>
          <cell r="BQ69">
            <v>1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0.6</v>
          </cell>
          <cell r="CB69">
            <v>1674</v>
          </cell>
          <cell r="CC69">
            <v>1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0.6</v>
          </cell>
          <cell r="CN69">
            <v>1674</v>
          </cell>
          <cell r="CO69">
            <v>1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0.6</v>
          </cell>
          <cell r="CZ69">
            <v>1674</v>
          </cell>
          <cell r="DA69">
            <v>1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K69">
            <v>0.6</v>
          </cell>
          <cell r="DL69">
            <v>1674</v>
          </cell>
          <cell r="DM69">
            <v>1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>
            <v>0</v>
          </cell>
          <cell r="DS69">
            <v>0</v>
          </cell>
          <cell r="DT69">
            <v>0</v>
          </cell>
          <cell r="DU69">
            <v>0</v>
          </cell>
          <cell r="DV69">
            <v>0</v>
          </cell>
          <cell r="DW69">
            <v>0.6</v>
          </cell>
          <cell r="DX69">
            <v>1674</v>
          </cell>
          <cell r="DY69">
            <v>1</v>
          </cell>
          <cell r="DZ69">
            <v>0</v>
          </cell>
          <cell r="EA69">
            <v>0</v>
          </cell>
          <cell r="EB69">
            <v>0</v>
          </cell>
          <cell r="ED69">
            <v>0</v>
          </cell>
          <cell r="EE69">
            <v>0</v>
          </cell>
          <cell r="EF69">
            <v>0</v>
          </cell>
          <cell r="EG69">
            <v>0</v>
          </cell>
          <cell r="EH69">
            <v>0</v>
          </cell>
          <cell r="EI69">
            <v>0.6</v>
          </cell>
          <cell r="EJ69">
            <v>1674</v>
          </cell>
          <cell r="EK69">
            <v>1</v>
          </cell>
          <cell r="EL69">
            <v>0</v>
          </cell>
          <cell r="EM69">
            <v>0</v>
          </cell>
          <cell r="EN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0.6</v>
          </cell>
          <cell r="EV69">
            <v>1674</v>
          </cell>
          <cell r="EW69">
            <v>1</v>
          </cell>
          <cell r="EX69">
            <v>0</v>
          </cell>
          <cell r="EY69">
            <v>0</v>
          </cell>
          <cell r="EZ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0.6</v>
          </cell>
          <cell r="FH69">
            <v>1674</v>
          </cell>
          <cell r="FI69">
            <v>1</v>
          </cell>
          <cell r="FJ69">
            <v>0</v>
          </cell>
          <cell r="FK69">
            <v>0</v>
          </cell>
          <cell r="FL69">
            <v>0</v>
          </cell>
          <cell r="FN69">
            <v>0</v>
          </cell>
          <cell r="FO69">
            <v>0</v>
          </cell>
          <cell r="FP69">
            <v>0</v>
          </cell>
          <cell r="FQ69">
            <v>0</v>
          </cell>
          <cell r="FR69">
            <v>0</v>
          </cell>
          <cell r="FS69">
            <v>0.6</v>
          </cell>
          <cell r="FT69">
            <v>1674</v>
          </cell>
          <cell r="FU69">
            <v>1</v>
          </cell>
          <cell r="FV69">
            <v>0</v>
          </cell>
          <cell r="FW69">
            <v>0</v>
          </cell>
          <cell r="FX69">
            <v>0</v>
          </cell>
          <cell r="FZ69">
            <v>0</v>
          </cell>
          <cell r="GA69">
            <v>0</v>
          </cell>
          <cell r="GB69">
            <v>0</v>
          </cell>
          <cell r="GC69">
            <v>0</v>
          </cell>
          <cell r="GD69">
            <v>0</v>
          </cell>
          <cell r="GE69">
            <v>0.6</v>
          </cell>
          <cell r="GF69">
            <v>1674</v>
          </cell>
          <cell r="GG69">
            <v>1</v>
          </cell>
        </row>
        <row r="70">
          <cell r="U70">
            <v>65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2.2999999999999998</v>
          </cell>
          <cell r="AF70">
            <v>8082.2</v>
          </cell>
          <cell r="AG70">
            <v>1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2.2999999999999998</v>
          </cell>
          <cell r="AR70">
            <v>8082.2</v>
          </cell>
          <cell r="AS70">
            <v>1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2.2999999999999998</v>
          </cell>
          <cell r="BD70">
            <v>8082.2</v>
          </cell>
          <cell r="BE70">
            <v>1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2.2999999999999998</v>
          </cell>
          <cell r="BP70">
            <v>8082.2</v>
          </cell>
          <cell r="BQ70">
            <v>1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2.2999999999999998</v>
          </cell>
          <cell r="CB70">
            <v>8082.2</v>
          </cell>
          <cell r="CC70">
            <v>1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2.2999999999999998</v>
          </cell>
          <cell r="CN70">
            <v>8082.2</v>
          </cell>
          <cell r="CO70">
            <v>1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2.2999999999999998</v>
          </cell>
          <cell r="CZ70">
            <v>8082.2</v>
          </cell>
          <cell r="DA70">
            <v>1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K70">
            <v>2.2999999999999998</v>
          </cell>
          <cell r="DL70">
            <v>8082.2</v>
          </cell>
          <cell r="DM70">
            <v>1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>
            <v>0</v>
          </cell>
          <cell r="DS70">
            <v>0</v>
          </cell>
          <cell r="DT70">
            <v>0</v>
          </cell>
          <cell r="DU70">
            <v>0</v>
          </cell>
          <cell r="DV70">
            <v>0</v>
          </cell>
          <cell r="DW70">
            <v>2.2999999999999998</v>
          </cell>
          <cell r="DX70">
            <v>8082.2</v>
          </cell>
          <cell r="DY70">
            <v>1</v>
          </cell>
          <cell r="DZ70">
            <v>0</v>
          </cell>
          <cell r="EA70">
            <v>0</v>
          </cell>
          <cell r="EB70">
            <v>0</v>
          </cell>
          <cell r="ED70">
            <v>0</v>
          </cell>
          <cell r="EE70">
            <v>0</v>
          </cell>
          <cell r="EF70">
            <v>0</v>
          </cell>
          <cell r="EG70">
            <v>0</v>
          </cell>
          <cell r="EH70">
            <v>0</v>
          </cell>
          <cell r="EI70">
            <v>2.2999999999999998</v>
          </cell>
          <cell r="EJ70">
            <v>8082.2</v>
          </cell>
          <cell r="EK70">
            <v>1</v>
          </cell>
          <cell r="EL70">
            <v>0</v>
          </cell>
          <cell r="EM70">
            <v>0</v>
          </cell>
          <cell r="EN70">
            <v>0</v>
          </cell>
          <cell r="EP70">
            <v>0</v>
          </cell>
          <cell r="EQ70">
            <v>0</v>
          </cell>
          <cell r="ER70">
            <v>0</v>
          </cell>
          <cell r="ES70">
            <v>0</v>
          </cell>
          <cell r="ET70">
            <v>0</v>
          </cell>
          <cell r="EU70">
            <v>2.2999999999999998</v>
          </cell>
          <cell r="EV70">
            <v>8082.2</v>
          </cell>
          <cell r="EW70">
            <v>1</v>
          </cell>
          <cell r="EX70">
            <v>0</v>
          </cell>
          <cell r="EY70">
            <v>0</v>
          </cell>
          <cell r="EZ70">
            <v>0</v>
          </cell>
          <cell r="FB70">
            <v>0</v>
          </cell>
          <cell r="FC70">
            <v>0</v>
          </cell>
          <cell r="FD70">
            <v>0</v>
          </cell>
          <cell r="FE70">
            <v>0</v>
          </cell>
          <cell r="FF70">
            <v>0</v>
          </cell>
          <cell r="FG70">
            <v>2.2999999999999998</v>
          </cell>
          <cell r="FH70">
            <v>8082.2</v>
          </cell>
          <cell r="FI70">
            <v>1</v>
          </cell>
          <cell r="FJ70">
            <v>0</v>
          </cell>
          <cell r="FK70">
            <v>0</v>
          </cell>
          <cell r="FL70">
            <v>0</v>
          </cell>
          <cell r="FN70">
            <v>0</v>
          </cell>
          <cell r="FO70">
            <v>0</v>
          </cell>
          <cell r="FP70">
            <v>0</v>
          </cell>
          <cell r="FQ70">
            <v>0</v>
          </cell>
          <cell r="FR70">
            <v>0</v>
          </cell>
          <cell r="FS70">
            <v>2.2999999999999998</v>
          </cell>
          <cell r="FT70">
            <v>8082.2</v>
          </cell>
          <cell r="FU70">
            <v>1</v>
          </cell>
          <cell r="FV70">
            <v>0</v>
          </cell>
          <cell r="FW70">
            <v>0</v>
          </cell>
          <cell r="FX70">
            <v>0</v>
          </cell>
          <cell r="FZ70">
            <v>0</v>
          </cell>
          <cell r="GA70">
            <v>0</v>
          </cell>
          <cell r="GB70">
            <v>0</v>
          </cell>
          <cell r="GC70">
            <v>0</v>
          </cell>
          <cell r="GD70">
            <v>0</v>
          </cell>
          <cell r="GE70">
            <v>2.2999999999999998</v>
          </cell>
          <cell r="GF70">
            <v>8082.2</v>
          </cell>
          <cell r="GG70">
            <v>1</v>
          </cell>
        </row>
        <row r="71">
          <cell r="U71">
            <v>66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1.2</v>
          </cell>
          <cell r="AF71">
            <v>4320</v>
          </cell>
          <cell r="AG71">
            <v>1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1.2</v>
          </cell>
          <cell r="AR71">
            <v>4320</v>
          </cell>
          <cell r="AS71">
            <v>1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1.2</v>
          </cell>
          <cell r="BD71">
            <v>4320</v>
          </cell>
          <cell r="BE71">
            <v>1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1.2</v>
          </cell>
          <cell r="BP71">
            <v>4320</v>
          </cell>
          <cell r="BQ71">
            <v>1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1.2</v>
          </cell>
          <cell r="CB71">
            <v>4320</v>
          </cell>
          <cell r="CC71">
            <v>1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1.2</v>
          </cell>
          <cell r="CN71">
            <v>4320</v>
          </cell>
          <cell r="CO71">
            <v>1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1.2</v>
          </cell>
          <cell r="CZ71">
            <v>4320</v>
          </cell>
          <cell r="DA71">
            <v>1</v>
          </cell>
          <cell r="DB71">
            <v>0</v>
          </cell>
          <cell r="DC71">
            <v>0</v>
          </cell>
          <cell r="DD71">
            <v>0</v>
          </cell>
          <cell r="DE71">
            <v>0</v>
          </cell>
          <cell r="DF71">
            <v>0</v>
          </cell>
          <cell r="DG71">
            <v>0</v>
          </cell>
          <cell r="DH71">
            <v>0</v>
          </cell>
          <cell r="DI71">
            <v>0</v>
          </cell>
          <cell r="DJ71">
            <v>0</v>
          </cell>
          <cell r="DK71">
            <v>1.2</v>
          </cell>
          <cell r="DL71">
            <v>4320</v>
          </cell>
          <cell r="DM71">
            <v>1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1.2</v>
          </cell>
          <cell r="DX71">
            <v>4320</v>
          </cell>
          <cell r="DY71">
            <v>1</v>
          </cell>
          <cell r="DZ71">
            <v>0</v>
          </cell>
          <cell r="EA71">
            <v>0</v>
          </cell>
          <cell r="EB71">
            <v>0</v>
          </cell>
          <cell r="ED71">
            <v>0</v>
          </cell>
          <cell r="EE71">
            <v>0</v>
          </cell>
          <cell r="EF71">
            <v>0</v>
          </cell>
          <cell r="EG71">
            <v>0</v>
          </cell>
          <cell r="EH71">
            <v>0</v>
          </cell>
          <cell r="EI71">
            <v>1.2</v>
          </cell>
          <cell r="EJ71">
            <v>4320</v>
          </cell>
          <cell r="EK71">
            <v>1</v>
          </cell>
          <cell r="EL71">
            <v>0</v>
          </cell>
          <cell r="EM71">
            <v>0</v>
          </cell>
          <cell r="EN71">
            <v>0</v>
          </cell>
          <cell r="EP71">
            <v>0</v>
          </cell>
          <cell r="EQ71">
            <v>0</v>
          </cell>
          <cell r="ER71">
            <v>0</v>
          </cell>
          <cell r="ES71">
            <v>0</v>
          </cell>
          <cell r="ET71">
            <v>0</v>
          </cell>
          <cell r="EU71">
            <v>1.2</v>
          </cell>
          <cell r="EV71">
            <v>4320</v>
          </cell>
          <cell r="EW71">
            <v>1</v>
          </cell>
          <cell r="EX71">
            <v>0</v>
          </cell>
          <cell r="EY71">
            <v>0</v>
          </cell>
          <cell r="EZ71">
            <v>0</v>
          </cell>
          <cell r="FB71">
            <v>0</v>
          </cell>
          <cell r="FC71">
            <v>0</v>
          </cell>
          <cell r="FD71">
            <v>0</v>
          </cell>
          <cell r="FE71">
            <v>0</v>
          </cell>
          <cell r="FF71">
            <v>0</v>
          </cell>
          <cell r="FG71">
            <v>1.2</v>
          </cell>
          <cell r="FH71">
            <v>4320</v>
          </cell>
          <cell r="FI71">
            <v>1</v>
          </cell>
          <cell r="FJ71">
            <v>0</v>
          </cell>
          <cell r="FK71">
            <v>0</v>
          </cell>
          <cell r="FL71">
            <v>0</v>
          </cell>
          <cell r="FN71">
            <v>0</v>
          </cell>
          <cell r="FO71">
            <v>0</v>
          </cell>
          <cell r="FP71">
            <v>0</v>
          </cell>
          <cell r="FQ71">
            <v>0</v>
          </cell>
          <cell r="FR71">
            <v>0</v>
          </cell>
          <cell r="FS71">
            <v>1.2</v>
          </cell>
          <cell r="FT71">
            <v>4320</v>
          </cell>
          <cell r="FU71">
            <v>1</v>
          </cell>
          <cell r="FV71">
            <v>0</v>
          </cell>
          <cell r="FW71">
            <v>0</v>
          </cell>
          <cell r="FX71">
            <v>0</v>
          </cell>
          <cell r="FZ71">
            <v>0</v>
          </cell>
          <cell r="GA71">
            <v>0</v>
          </cell>
          <cell r="GB71">
            <v>0</v>
          </cell>
          <cell r="GC71">
            <v>0</v>
          </cell>
          <cell r="GD71">
            <v>0</v>
          </cell>
          <cell r="GE71">
            <v>1.2</v>
          </cell>
          <cell r="GF71">
            <v>4320</v>
          </cell>
          <cell r="GG71">
            <v>1</v>
          </cell>
        </row>
        <row r="72">
          <cell r="U72">
            <v>67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18</v>
          </cell>
          <cell r="AF72">
            <v>21600</v>
          </cell>
          <cell r="AG72">
            <v>1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18</v>
          </cell>
          <cell r="AR72">
            <v>21600</v>
          </cell>
          <cell r="AS72">
            <v>1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18</v>
          </cell>
          <cell r="BD72">
            <v>21600</v>
          </cell>
          <cell r="BE72">
            <v>1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18</v>
          </cell>
          <cell r="BP72">
            <v>21600</v>
          </cell>
          <cell r="BQ72">
            <v>1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18</v>
          </cell>
          <cell r="CB72">
            <v>21600</v>
          </cell>
          <cell r="CC72">
            <v>1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18</v>
          </cell>
          <cell r="CN72">
            <v>21600</v>
          </cell>
          <cell r="CO72">
            <v>1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18</v>
          </cell>
          <cell r="CZ72">
            <v>21600</v>
          </cell>
          <cell r="DA72">
            <v>1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0</v>
          </cell>
          <cell r="DI72">
            <v>0</v>
          </cell>
          <cell r="DJ72">
            <v>0</v>
          </cell>
          <cell r="DK72">
            <v>18</v>
          </cell>
          <cell r="DL72">
            <v>21600</v>
          </cell>
          <cell r="DM72">
            <v>1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18</v>
          </cell>
          <cell r="DX72">
            <v>21600</v>
          </cell>
          <cell r="DY72">
            <v>1</v>
          </cell>
          <cell r="DZ72">
            <v>0</v>
          </cell>
          <cell r="EA72">
            <v>0</v>
          </cell>
          <cell r="EB72">
            <v>0</v>
          </cell>
          <cell r="ED72">
            <v>0</v>
          </cell>
          <cell r="EE72">
            <v>0</v>
          </cell>
          <cell r="EF72">
            <v>0</v>
          </cell>
          <cell r="EG72">
            <v>0</v>
          </cell>
          <cell r="EH72">
            <v>0</v>
          </cell>
          <cell r="EI72">
            <v>18</v>
          </cell>
          <cell r="EJ72">
            <v>21600</v>
          </cell>
          <cell r="EK72">
            <v>1</v>
          </cell>
          <cell r="EL72">
            <v>0</v>
          </cell>
          <cell r="EM72">
            <v>0</v>
          </cell>
          <cell r="EN72">
            <v>0</v>
          </cell>
          <cell r="EP72">
            <v>0</v>
          </cell>
          <cell r="EQ72">
            <v>0</v>
          </cell>
          <cell r="ER72">
            <v>0</v>
          </cell>
          <cell r="ES72">
            <v>0</v>
          </cell>
          <cell r="ET72">
            <v>0</v>
          </cell>
          <cell r="EU72">
            <v>18</v>
          </cell>
          <cell r="EV72">
            <v>21600</v>
          </cell>
          <cell r="EW72">
            <v>1</v>
          </cell>
          <cell r="EX72">
            <v>0</v>
          </cell>
          <cell r="EY72">
            <v>0</v>
          </cell>
          <cell r="EZ72">
            <v>0</v>
          </cell>
          <cell r="FB72">
            <v>0</v>
          </cell>
          <cell r="FC72">
            <v>0</v>
          </cell>
          <cell r="FD72">
            <v>0</v>
          </cell>
          <cell r="FE72">
            <v>0</v>
          </cell>
          <cell r="FF72">
            <v>0</v>
          </cell>
          <cell r="FG72">
            <v>18</v>
          </cell>
          <cell r="FH72">
            <v>21600</v>
          </cell>
          <cell r="FI72">
            <v>1</v>
          </cell>
          <cell r="FJ72">
            <v>0</v>
          </cell>
          <cell r="FK72">
            <v>0</v>
          </cell>
          <cell r="FL72">
            <v>0</v>
          </cell>
          <cell r="FN72">
            <v>0</v>
          </cell>
          <cell r="FO72">
            <v>0</v>
          </cell>
          <cell r="FP72">
            <v>0</v>
          </cell>
          <cell r="FQ72">
            <v>0</v>
          </cell>
          <cell r="FR72">
            <v>0</v>
          </cell>
          <cell r="FS72">
            <v>18</v>
          </cell>
          <cell r="FT72">
            <v>21600</v>
          </cell>
          <cell r="FU72">
            <v>1</v>
          </cell>
          <cell r="FV72">
            <v>0</v>
          </cell>
          <cell r="FW72">
            <v>0</v>
          </cell>
          <cell r="FX72">
            <v>0</v>
          </cell>
          <cell r="FZ72">
            <v>0</v>
          </cell>
          <cell r="GA72">
            <v>0</v>
          </cell>
          <cell r="GB72">
            <v>0</v>
          </cell>
          <cell r="GC72">
            <v>0</v>
          </cell>
          <cell r="GD72">
            <v>0</v>
          </cell>
          <cell r="GE72">
            <v>18</v>
          </cell>
          <cell r="GF72">
            <v>21600</v>
          </cell>
          <cell r="GG72">
            <v>1</v>
          </cell>
        </row>
        <row r="73">
          <cell r="U73">
            <v>68</v>
          </cell>
          <cell r="W73">
            <v>0</v>
          </cell>
          <cell r="Z73">
            <v>60176.799999999996</v>
          </cell>
          <cell r="AC73">
            <v>60176.799999999996</v>
          </cell>
          <cell r="AF73">
            <v>37547584.089999996</v>
          </cell>
          <cell r="AI73">
            <v>60176.799999999996</v>
          </cell>
          <cell r="AL73">
            <v>332405.94000000006</v>
          </cell>
          <cell r="AO73">
            <v>392582.74000000005</v>
          </cell>
          <cell r="AR73">
            <v>37215178.149999991</v>
          </cell>
          <cell r="AU73">
            <v>392582.74000000005</v>
          </cell>
          <cell r="AX73">
            <v>1553154.16</v>
          </cell>
          <cell r="BA73">
            <v>1945736.9</v>
          </cell>
          <cell r="BD73">
            <v>35662023.989999995</v>
          </cell>
          <cell r="BG73">
            <v>1945736.9</v>
          </cell>
          <cell r="BJ73">
            <v>2365918.9499999997</v>
          </cell>
          <cell r="BM73">
            <v>4311655.8499999996</v>
          </cell>
          <cell r="BP73">
            <v>33296105.039999992</v>
          </cell>
          <cell r="BS73">
            <v>4311655.8499999996</v>
          </cell>
          <cell r="BV73">
            <v>1838306.330000001</v>
          </cell>
          <cell r="BY73">
            <v>6149962.1800000006</v>
          </cell>
          <cell r="CB73">
            <v>31457798.709999993</v>
          </cell>
          <cell r="CE73">
            <v>6149962.1800000006</v>
          </cell>
          <cell r="CH73">
            <v>0</v>
          </cell>
          <cell r="CK73">
            <v>6149962.1800000006</v>
          </cell>
          <cell r="CN73">
            <v>31457798.709999993</v>
          </cell>
          <cell r="CQ73">
            <v>6149962.1800000006</v>
          </cell>
          <cell r="CT73">
            <v>0</v>
          </cell>
          <cell r="CW73">
            <v>6149962.1800000006</v>
          </cell>
          <cell r="CZ73">
            <v>31457798.709999993</v>
          </cell>
          <cell r="DC73">
            <v>6149962.1800000006</v>
          </cell>
          <cell r="DF73">
            <v>0</v>
          </cell>
          <cell r="DI73">
            <v>6149962.1800000006</v>
          </cell>
          <cell r="DL73">
            <v>31457798.709999993</v>
          </cell>
          <cell r="DO73">
            <v>6149962.1800000006</v>
          </cell>
          <cell r="DR73">
            <v>0</v>
          </cell>
          <cell r="DU73">
            <v>6149962.1800000006</v>
          </cell>
          <cell r="DX73">
            <v>31457798.709999993</v>
          </cell>
          <cell r="EA73">
            <v>6149962.1800000006</v>
          </cell>
          <cell r="ED73">
            <v>0</v>
          </cell>
          <cell r="EG73">
            <v>6149962.1800000006</v>
          </cell>
          <cell r="EJ73">
            <v>31457798.709999993</v>
          </cell>
          <cell r="EM73">
            <v>6149962.1800000006</v>
          </cell>
          <cell r="EP73">
            <v>0</v>
          </cell>
          <cell r="ES73">
            <v>6149962.1800000006</v>
          </cell>
          <cell r="EV73">
            <v>31457798.709999993</v>
          </cell>
          <cell r="EY73">
            <v>6149962.1800000006</v>
          </cell>
          <cell r="FB73">
            <v>0</v>
          </cell>
          <cell r="FE73">
            <v>6149962.1800000006</v>
          </cell>
          <cell r="FH73">
            <v>31457798.709999993</v>
          </cell>
          <cell r="FK73">
            <v>6149962.1800000006</v>
          </cell>
          <cell r="FN73">
            <v>0</v>
          </cell>
          <cell r="FQ73">
            <v>6149962.1800000006</v>
          </cell>
          <cell r="FT73">
            <v>31457798.709999993</v>
          </cell>
          <cell r="FW73">
            <v>6149962.1800000006</v>
          </cell>
          <cell r="FZ73">
            <v>0</v>
          </cell>
          <cell r="GC73">
            <v>6149962.1800000006</v>
          </cell>
          <cell r="GF73">
            <v>31457798.709999993</v>
          </cell>
        </row>
        <row r="74">
          <cell r="U74">
            <v>69</v>
          </cell>
          <cell r="W74">
            <v>0</v>
          </cell>
          <cell r="Z74">
            <v>60321.25</v>
          </cell>
          <cell r="AC74">
            <v>60321.25</v>
          </cell>
          <cell r="AF74">
            <v>37637715.701093934</v>
          </cell>
          <cell r="AI74">
            <v>60321.25</v>
          </cell>
          <cell r="AL74">
            <v>333203.87</v>
          </cell>
          <cell r="AO74">
            <v>393525.12</v>
          </cell>
          <cell r="AR74">
            <v>37304511.831093937</v>
          </cell>
          <cell r="AU74">
            <v>393525.12</v>
          </cell>
          <cell r="AX74">
            <v>1556882.4500000002</v>
          </cell>
          <cell r="BA74">
            <v>1950407.57</v>
          </cell>
          <cell r="BD74">
            <v>35747629.381093934</v>
          </cell>
          <cell r="BG74">
            <v>1950407.57</v>
          </cell>
          <cell r="BJ74">
            <v>2371598.25</v>
          </cell>
          <cell r="BM74">
            <v>4322005.82</v>
          </cell>
          <cell r="BP74">
            <v>33376031.131093934</v>
          </cell>
          <cell r="BS74">
            <v>4322005.82</v>
          </cell>
          <cell r="BV74">
            <v>1842719.12</v>
          </cell>
          <cell r="BY74">
            <v>6164724.9400000004</v>
          </cell>
          <cell r="CB74">
            <v>31533312.011093933</v>
          </cell>
          <cell r="CE74">
            <v>6164724.9400000004</v>
          </cell>
          <cell r="CH74">
            <v>0</v>
          </cell>
          <cell r="CK74">
            <v>6164724.9400000004</v>
          </cell>
          <cell r="CN74">
            <v>31533312.011093933</v>
          </cell>
          <cell r="CQ74">
            <v>6164724.9400000004</v>
          </cell>
          <cell r="CT74">
            <v>0</v>
          </cell>
          <cell r="CW74">
            <v>6164724.9400000004</v>
          </cell>
          <cell r="CZ74">
            <v>31533312.011093933</v>
          </cell>
          <cell r="DC74">
            <v>6164724.9400000004</v>
          </cell>
          <cell r="DF74">
            <v>0</v>
          </cell>
          <cell r="DI74">
            <v>6164724.9400000004</v>
          </cell>
          <cell r="DL74">
            <v>31533312.011093933</v>
          </cell>
          <cell r="DO74">
            <v>6164724.9400000004</v>
          </cell>
          <cell r="DR74">
            <v>0</v>
          </cell>
          <cell r="DU74">
            <v>6164724.9400000004</v>
          </cell>
          <cell r="DX74">
            <v>31533312.011093933</v>
          </cell>
          <cell r="EA74">
            <v>6164724.9400000004</v>
          </cell>
          <cell r="ED74">
            <v>0</v>
          </cell>
          <cell r="EG74">
            <v>6164724.9400000004</v>
          </cell>
          <cell r="EJ74">
            <v>31533312.011093933</v>
          </cell>
          <cell r="EM74">
            <v>6164724.9400000004</v>
          </cell>
          <cell r="EP74">
            <v>0</v>
          </cell>
          <cell r="ES74">
            <v>6164724.9400000004</v>
          </cell>
          <cell r="EV74">
            <v>31533312.011093933</v>
          </cell>
          <cell r="EY74">
            <v>6164724.9400000004</v>
          </cell>
          <cell r="FB74">
            <v>0</v>
          </cell>
          <cell r="FE74">
            <v>6164724.9400000004</v>
          </cell>
          <cell r="FH74">
            <v>31533312.011093933</v>
          </cell>
          <cell r="FK74">
            <v>6164724.9400000004</v>
          </cell>
          <cell r="FN74">
            <v>0</v>
          </cell>
          <cell r="FQ74">
            <v>6164724.9400000004</v>
          </cell>
          <cell r="FT74">
            <v>31533312.011093933</v>
          </cell>
          <cell r="FW74">
            <v>6164724.9400000004</v>
          </cell>
          <cell r="FZ74">
            <v>0</v>
          </cell>
          <cell r="GC74">
            <v>6164724.9400000004</v>
          </cell>
          <cell r="GF74">
            <v>31533312.011093933</v>
          </cell>
        </row>
        <row r="75">
          <cell r="U75">
            <v>70</v>
          </cell>
          <cell r="W75">
            <v>0</v>
          </cell>
          <cell r="Z75">
            <v>9838.4</v>
          </cell>
          <cell r="AC75">
            <v>9838.4</v>
          </cell>
          <cell r="AF75">
            <v>6138711.4299999997</v>
          </cell>
          <cell r="AI75">
            <v>9838.4</v>
          </cell>
          <cell r="AL75">
            <v>54345.549999999996</v>
          </cell>
          <cell r="AO75">
            <v>64183.95</v>
          </cell>
          <cell r="AR75">
            <v>6084365.8799999999</v>
          </cell>
          <cell r="AU75">
            <v>64183.95</v>
          </cell>
          <cell r="AX75">
            <v>253927.51999999996</v>
          </cell>
          <cell r="BA75">
            <v>318111.46999999997</v>
          </cell>
          <cell r="BD75">
            <v>5830438.3600000003</v>
          </cell>
          <cell r="BG75">
            <v>318111.46999999997</v>
          </cell>
          <cell r="BJ75">
            <v>386807.68000000005</v>
          </cell>
          <cell r="BM75">
            <v>704919.15</v>
          </cell>
          <cell r="BP75">
            <v>5443630.6799999997</v>
          </cell>
          <cell r="BS75">
            <v>704919.15</v>
          </cell>
          <cell r="BV75">
            <v>300547.48</v>
          </cell>
          <cell r="BY75">
            <v>1005466.63</v>
          </cell>
          <cell r="CB75">
            <v>5143083.2</v>
          </cell>
          <cell r="CE75">
            <v>1005466.63</v>
          </cell>
          <cell r="CH75">
            <v>0</v>
          </cell>
          <cell r="CK75">
            <v>1005466.63</v>
          </cell>
          <cell r="CN75">
            <v>5143083.2</v>
          </cell>
          <cell r="CQ75">
            <v>1005466.63</v>
          </cell>
          <cell r="CT75">
            <v>0</v>
          </cell>
          <cell r="CW75">
            <v>1005466.63</v>
          </cell>
          <cell r="CZ75">
            <v>5143083.2</v>
          </cell>
          <cell r="DC75">
            <v>1005466.63</v>
          </cell>
          <cell r="DF75">
            <v>0</v>
          </cell>
          <cell r="DI75">
            <v>1005466.63</v>
          </cell>
          <cell r="DL75">
            <v>5143083.2</v>
          </cell>
          <cell r="DO75">
            <v>1005466.63</v>
          </cell>
          <cell r="DR75">
            <v>0</v>
          </cell>
          <cell r="DU75">
            <v>1005466.63</v>
          </cell>
          <cell r="DX75">
            <v>5143083.2</v>
          </cell>
          <cell r="EA75">
            <v>1005466.63</v>
          </cell>
          <cell r="ED75">
            <v>0</v>
          </cell>
          <cell r="EG75">
            <v>1005466.63</v>
          </cell>
          <cell r="EJ75">
            <v>5143083.2</v>
          </cell>
          <cell r="EM75">
            <v>1005466.63</v>
          </cell>
          <cell r="EP75">
            <v>0</v>
          </cell>
          <cell r="ES75">
            <v>1005466.63</v>
          </cell>
          <cell r="EV75">
            <v>5143083.2</v>
          </cell>
          <cell r="EY75">
            <v>1005466.63</v>
          </cell>
          <cell r="FB75">
            <v>0</v>
          </cell>
          <cell r="FE75">
            <v>1005466.63</v>
          </cell>
          <cell r="FH75">
            <v>5143083.2</v>
          </cell>
          <cell r="FK75">
            <v>1005466.63</v>
          </cell>
          <cell r="FN75">
            <v>0</v>
          </cell>
          <cell r="FQ75">
            <v>1005466.63</v>
          </cell>
          <cell r="FT75">
            <v>5143083.2</v>
          </cell>
          <cell r="FW75">
            <v>1005466.63</v>
          </cell>
          <cell r="FZ75">
            <v>0</v>
          </cell>
          <cell r="GC75">
            <v>1005466.63</v>
          </cell>
          <cell r="GF75">
            <v>5143083.2</v>
          </cell>
        </row>
        <row r="76">
          <cell r="U76">
            <v>71</v>
          </cell>
          <cell r="W76">
            <v>0</v>
          </cell>
          <cell r="Z76">
            <v>84.45</v>
          </cell>
          <cell r="AC76">
            <v>84.45</v>
          </cell>
          <cell r="AF76">
            <v>52692.800000000003</v>
          </cell>
          <cell r="AI76">
            <v>84.45</v>
          </cell>
          <cell r="AL76">
            <v>466.49000000000007</v>
          </cell>
          <cell r="AO76">
            <v>550.94000000000005</v>
          </cell>
          <cell r="AR76">
            <v>52226.31</v>
          </cell>
          <cell r="AU76">
            <v>550.94000000000005</v>
          </cell>
          <cell r="AX76">
            <v>2179.63</v>
          </cell>
          <cell r="BA76">
            <v>2730.57</v>
          </cell>
          <cell r="BD76">
            <v>50046.68</v>
          </cell>
          <cell r="BG76">
            <v>2730.57</v>
          </cell>
          <cell r="BJ76">
            <v>3320.2400000000002</v>
          </cell>
          <cell r="BM76">
            <v>6050.81</v>
          </cell>
          <cell r="BP76">
            <v>46726.44</v>
          </cell>
          <cell r="BS76">
            <v>6050.81</v>
          </cell>
          <cell r="BV76">
            <v>2579.8000000000002</v>
          </cell>
          <cell r="BY76">
            <v>8630.61</v>
          </cell>
          <cell r="CB76">
            <v>44146.64</v>
          </cell>
          <cell r="CE76">
            <v>8630.61</v>
          </cell>
          <cell r="CH76">
            <v>0</v>
          </cell>
          <cell r="CK76">
            <v>8630.61</v>
          </cell>
          <cell r="CN76">
            <v>44146.64</v>
          </cell>
          <cell r="CQ76">
            <v>8630.61</v>
          </cell>
          <cell r="CT76">
            <v>0</v>
          </cell>
          <cell r="CW76">
            <v>8630.61</v>
          </cell>
          <cell r="CZ76">
            <v>44146.64</v>
          </cell>
          <cell r="DC76">
            <v>8630.61</v>
          </cell>
          <cell r="DF76">
            <v>0</v>
          </cell>
          <cell r="DI76">
            <v>8630.61</v>
          </cell>
          <cell r="DL76">
            <v>44146.64</v>
          </cell>
          <cell r="DO76">
            <v>8630.61</v>
          </cell>
          <cell r="DR76">
            <v>0</v>
          </cell>
          <cell r="DU76">
            <v>8630.61</v>
          </cell>
          <cell r="DX76">
            <v>44146.64</v>
          </cell>
          <cell r="EA76">
            <v>8630.61</v>
          </cell>
          <cell r="ED76">
            <v>0</v>
          </cell>
          <cell r="EG76">
            <v>8630.61</v>
          </cell>
          <cell r="EJ76">
            <v>44146.64</v>
          </cell>
          <cell r="EM76">
            <v>8630.61</v>
          </cell>
          <cell r="EP76">
            <v>0</v>
          </cell>
          <cell r="ES76">
            <v>8630.61</v>
          </cell>
          <cell r="EV76">
            <v>44146.64</v>
          </cell>
          <cell r="EY76">
            <v>8630.61</v>
          </cell>
          <cell r="FB76">
            <v>0</v>
          </cell>
          <cell r="FE76">
            <v>8630.61</v>
          </cell>
          <cell r="FH76">
            <v>44146.64</v>
          </cell>
          <cell r="FK76">
            <v>8630.61</v>
          </cell>
          <cell r="FN76">
            <v>0</v>
          </cell>
          <cell r="FQ76">
            <v>8630.61</v>
          </cell>
          <cell r="FT76">
            <v>44146.64</v>
          </cell>
          <cell r="FW76">
            <v>8630.61</v>
          </cell>
          <cell r="FZ76">
            <v>0</v>
          </cell>
          <cell r="GC76">
            <v>8630.61</v>
          </cell>
          <cell r="GF76">
            <v>44146.64</v>
          </cell>
        </row>
        <row r="77">
          <cell r="U77">
            <v>72</v>
          </cell>
          <cell r="W77">
            <v>0</v>
          </cell>
          <cell r="Z77">
            <v>9753.9500000000007</v>
          </cell>
          <cell r="AC77">
            <v>9753.9500000000007</v>
          </cell>
          <cell r="AF77">
            <v>6086018.6299999999</v>
          </cell>
          <cell r="AI77">
            <v>9753.9500000000007</v>
          </cell>
          <cell r="AL77">
            <v>53879.06</v>
          </cell>
          <cell r="AO77">
            <v>63633.01</v>
          </cell>
          <cell r="AR77">
            <v>6032139.5700000003</v>
          </cell>
          <cell r="AU77">
            <v>63633.01</v>
          </cell>
          <cell r="AX77">
            <v>251747.89</v>
          </cell>
          <cell r="BA77">
            <v>315380.90000000002</v>
          </cell>
          <cell r="BD77">
            <v>5780391.6799999997</v>
          </cell>
          <cell r="BG77">
            <v>315380.90000000002</v>
          </cell>
          <cell r="BJ77">
            <v>383487.43999999994</v>
          </cell>
          <cell r="BM77">
            <v>698868.34</v>
          </cell>
          <cell r="BP77">
            <v>5396904.2400000002</v>
          </cell>
          <cell r="BS77">
            <v>698868.34</v>
          </cell>
          <cell r="BV77">
            <v>297967.68000000005</v>
          </cell>
          <cell r="BY77">
            <v>996836.02</v>
          </cell>
          <cell r="CB77">
            <v>5098936.5600000005</v>
          </cell>
          <cell r="CE77">
            <v>996836.02</v>
          </cell>
          <cell r="CH77">
            <v>0</v>
          </cell>
          <cell r="CK77">
            <v>996836.02</v>
          </cell>
          <cell r="CN77">
            <v>5098936.5600000005</v>
          </cell>
          <cell r="CQ77">
            <v>996836.02</v>
          </cell>
          <cell r="CT77">
            <v>0</v>
          </cell>
          <cell r="CW77">
            <v>996836.02</v>
          </cell>
          <cell r="CZ77">
            <v>5098936.5600000005</v>
          </cell>
          <cell r="DC77">
            <v>996836.02</v>
          </cell>
          <cell r="DF77">
            <v>0</v>
          </cell>
          <cell r="DI77">
            <v>996836.02</v>
          </cell>
          <cell r="DL77">
            <v>5098936.5600000005</v>
          </cell>
          <cell r="DO77">
            <v>996836.02</v>
          </cell>
          <cell r="DR77">
            <v>0</v>
          </cell>
          <cell r="DU77">
            <v>996836.02</v>
          </cell>
          <cell r="DX77">
            <v>5098936.5600000005</v>
          </cell>
          <cell r="EA77">
            <v>996836.02</v>
          </cell>
          <cell r="ED77">
            <v>0</v>
          </cell>
          <cell r="EG77">
            <v>996836.02</v>
          </cell>
          <cell r="EJ77">
            <v>5098936.5600000005</v>
          </cell>
          <cell r="EM77">
            <v>996836.02</v>
          </cell>
          <cell r="EP77">
            <v>0</v>
          </cell>
          <cell r="ES77">
            <v>996836.02</v>
          </cell>
          <cell r="EV77">
            <v>5098936.5600000005</v>
          </cell>
          <cell r="EY77">
            <v>996836.02</v>
          </cell>
          <cell r="FB77">
            <v>0</v>
          </cell>
          <cell r="FE77">
            <v>996836.02</v>
          </cell>
          <cell r="FH77">
            <v>5098936.5600000005</v>
          </cell>
          <cell r="FK77">
            <v>996836.02</v>
          </cell>
          <cell r="FN77">
            <v>0</v>
          </cell>
          <cell r="FQ77">
            <v>996836.02</v>
          </cell>
          <cell r="FT77">
            <v>5098936.5600000005</v>
          </cell>
          <cell r="FW77">
            <v>996836.02</v>
          </cell>
          <cell r="FZ77">
            <v>0</v>
          </cell>
          <cell r="GC77">
            <v>996836.02</v>
          </cell>
          <cell r="GF77">
            <v>5098936.5600000005</v>
          </cell>
        </row>
        <row r="78">
          <cell r="U78">
            <v>73</v>
          </cell>
          <cell r="W78">
            <v>0</v>
          </cell>
          <cell r="Z78">
            <v>2714.46</v>
          </cell>
          <cell r="AC78">
            <v>2714.46</v>
          </cell>
          <cell r="AF78">
            <v>1693697.2</v>
          </cell>
          <cell r="AI78">
            <v>2714.46</v>
          </cell>
          <cell r="AL78">
            <v>14994.170000000002</v>
          </cell>
          <cell r="AO78">
            <v>17708.63</v>
          </cell>
          <cell r="AR78">
            <v>1678703.03</v>
          </cell>
          <cell r="AU78">
            <v>17708.63</v>
          </cell>
          <cell r="AX78">
            <v>70059.709999999992</v>
          </cell>
          <cell r="BA78">
            <v>87768.34</v>
          </cell>
          <cell r="BD78">
            <v>1608643.3199999998</v>
          </cell>
          <cell r="BG78">
            <v>87768.34</v>
          </cell>
          <cell r="BJ78">
            <v>106721.92000000001</v>
          </cell>
          <cell r="BM78">
            <v>194490.26</v>
          </cell>
          <cell r="BP78">
            <v>1501921.4</v>
          </cell>
          <cell r="BS78">
            <v>194490.26</v>
          </cell>
          <cell r="BV78">
            <v>82922.359999999986</v>
          </cell>
          <cell r="BY78">
            <v>277412.62</v>
          </cell>
          <cell r="CB78">
            <v>1418999.04</v>
          </cell>
          <cell r="CE78">
            <v>277412.62</v>
          </cell>
          <cell r="CH78">
            <v>0</v>
          </cell>
          <cell r="CK78">
            <v>277412.62</v>
          </cell>
          <cell r="CN78">
            <v>1418999.04</v>
          </cell>
          <cell r="CQ78">
            <v>277412.62</v>
          </cell>
          <cell r="CT78">
            <v>0</v>
          </cell>
          <cell r="CW78">
            <v>277412.62</v>
          </cell>
          <cell r="CZ78">
            <v>1418999.04</v>
          </cell>
          <cell r="DC78">
            <v>277412.62</v>
          </cell>
          <cell r="DF78">
            <v>0</v>
          </cell>
          <cell r="DI78">
            <v>277412.62</v>
          </cell>
          <cell r="DL78">
            <v>1418999.04</v>
          </cell>
          <cell r="DO78">
            <v>277412.62</v>
          </cell>
          <cell r="DR78">
            <v>0</v>
          </cell>
          <cell r="DU78">
            <v>277412.62</v>
          </cell>
          <cell r="DX78">
            <v>1418999.04</v>
          </cell>
          <cell r="EA78">
            <v>277412.62</v>
          </cell>
          <cell r="ED78">
            <v>0</v>
          </cell>
          <cell r="EG78">
            <v>277412.62</v>
          </cell>
          <cell r="EJ78">
            <v>1418999.04</v>
          </cell>
          <cell r="EM78">
            <v>277412.62</v>
          </cell>
          <cell r="EP78">
            <v>0</v>
          </cell>
          <cell r="ES78">
            <v>277412.62</v>
          </cell>
          <cell r="EV78">
            <v>1418999.04</v>
          </cell>
          <cell r="EY78">
            <v>277412.62</v>
          </cell>
          <cell r="FB78">
            <v>0</v>
          </cell>
          <cell r="FE78">
            <v>277412.62</v>
          </cell>
          <cell r="FH78">
            <v>1418999.04</v>
          </cell>
          <cell r="FK78">
            <v>277412.62</v>
          </cell>
          <cell r="FN78">
            <v>0</v>
          </cell>
          <cell r="FQ78">
            <v>277412.62</v>
          </cell>
          <cell r="FT78">
            <v>1418999.04</v>
          </cell>
          <cell r="FW78">
            <v>277412.62</v>
          </cell>
          <cell r="FZ78">
            <v>0</v>
          </cell>
          <cell r="GC78">
            <v>277412.62</v>
          </cell>
          <cell r="GF78">
            <v>1418999.04</v>
          </cell>
        </row>
        <row r="79">
          <cell r="U79">
            <v>74</v>
          </cell>
          <cell r="W79">
            <v>0</v>
          </cell>
          <cell r="Z79">
            <v>72874.11</v>
          </cell>
          <cell r="AC79">
            <v>72874.11</v>
          </cell>
          <cell r="AF79">
            <v>45470124.329999998</v>
          </cell>
          <cell r="AI79">
            <v>72874.11</v>
          </cell>
          <cell r="AL79">
            <v>402543.59</v>
          </cell>
          <cell r="AO79">
            <v>475417.7</v>
          </cell>
          <cell r="AR79">
            <v>45067580.739999995</v>
          </cell>
          <cell r="AU79">
            <v>475417.7</v>
          </cell>
          <cell r="AX79">
            <v>1880869.68</v>
          </cell>
          <cell r="BA79">
            <v>2356287.38</v>
          </cell>
          <cell r="BD79">
            <v>43186711.059999995</v>
          </cell>
          <cell r="BG79">
            <v>2356287.38</v>
          </cell>
          <cell r="BJ79">
            <v>2865127.8500000006</v>
          </cell>
          <cell r="BM79">
            <v>5221415.2300000004</v>
          </cell>
          <cell r="BP79">
            <v>40321583.209999993</v>
          </cell>
          <cell r="BS79">
            <v>5221415.2300000004</v>
          </cell>
          <cell r="BV79">
            <v>2226188.96</v>
          </cell>
          <cell r="BY79">
            <v>7447604.1900000004</v>
          </cell>
          <cell r="CB79">
            <v>38095394.25</v>
          </cell>
          <cell r="CE79">
            <v>7447604.1900000004</v>
          </cell>
          <cell r="CH79">
            <v>0</v>
          </cell>
          <cell r="CK79">
            <v>7447604.1900000004</v>
          </cell>
          <cell r="CN79">
            <v>38095394.25</v>
          </cell>
          <cell r="CQ79">
            <v>7447604.1900000004</v>
          </cell>
          <cell r="CT79">
            <v>0</v>
          </cell>
          <cell r="CW79">
            <v>7447604.1900000004</v>
          </cell>
          <cell r="CZ79">
            <v>38095394.25</v>
          </cell>
          <cell r="DC79">
            <v>7447604.1900000004</v>
          </cell>
          <cell r="DF79">
            <v>0</v>
          </cell>
          <cell r="DI79">
            <v>7447604.1900000004</v>
          </cell>
          <cell r="DL79">
            <v>38095394.25</v>
          </cell>
          <cell r="DO79">
            <v>7447604.1900000004</v>
          </cell>
          <cell r="DR79">
            <v>0</v>
          </cell>
          <cell r="DU79">
            <v>7447604.1900000004</v>
          </cell>
          <cell r="DX79">
            <v>38095394.25</v>
          </cell>
          <cell r="EA79">
            <v>7447604.1900000004</v>
          </cell>
          <cell r="ED79">
            <v>0</v>
          </cell>
          <cell r="EG79">
            <v>7447604.1900000004</v>
          </cell>
          <cell r="EJ79">
            <v>38095394.25</v>
          </cell>
          <cell r="EM79">
            <v>7447604.1900000004</v>
          </cell>
          <cell r="EP79">
            <v>0</v>
          </cell>
          <cell r="ES79">
            <v>7447604.1900000004</v>
          </cell>
          <cell r="EV79">
            <v>38095394.25</v>
          </cell>
          <cell r="EY79">
            <v>7447604.1900000004</v>
          </cell>
          <cell r="FB79">
            <v>0</v>
          </cell>
          <cell r="FE79">
            <v>7447604.1900000004</v>
          </cell>
          <cell r="FH79">
            <v>38095394.25</v>
          </cell>
          <cell r="FK79">
            <v>7447604.1900000004</v>
          </cell>
          <cell r="FN79">
            <v>0</v>
          </cell>
          <cell r="FQ79">
            <v>7447604.1900000004</v>
          </cell>
          <cell r="FT79">
            <v>38095394.25</v>
          </cell>
          <cell r="FW79">
            <v>7447604.1900000004</v>
          </cell>
          <cell r="FZ79">
            <v>0</v>
          </cell>
          <cell r="GC79">
            <v>7447604.1900000004</v>
          </cell>
          <cell r="GF79">
            <v>38095394.25</v>
          </cell>
        </row>
        <row r="80">
          <cell r="U80">
            <v>75</v>
          </cell>
          <cell r="W80">
            <v>0</v>
          </cell>
          <cell r="Z80">
            <v>1.6001166479191527E-3</v>
          </cell>
          <cell r="AC80">
            <v>1.6001166479191527E-3</v>
          </cell>
          <cell r="AF80">
            <v>0.99839988335208085</v>
          </cell>
          <cell r="AI80">
            <v>1.6001166479191527E-3</v>
          </cell>
          <cell r="AL80">
            <v>8.8387590582189174E-3</v>
          </cell>
          <cell r="AO80">
            <v>1.043887570613807E-2</v>
          </cell>
          <cell r="AR80">
            <v>0.98956112429386189</v>
          </cell>
          <cell r="AU80">
            <v>1.043887570613807E-2</v>
          </cell>
          <cell r="AX80">
            <v>4.1298766976836758E-2</v>
          </cell>
          <cell r="BA80">
            <v>5.173764268297483E-2</v>
          </cell>
          <cell r="BD80">
            <v>0.94826235731702513</v>
          </cell>
          <cell r="BG80">
            <v>5.173764268297483E-2</v>
          </cell>
          <cell r="BJ80">
            <v>6.2910391237736007E-2</v>
          </cell>
          <cell r="BM80">
            <v>0.11464803392071084</v>
          </cell>
          <cell r="BP80">
            <v>0.88535196607928912</v>
          </cell>
          <cell r="BS80">
            <v>0.11464803392071084</v>
          </cell>
          <cell r="BV80">
            <v>4.8881036300955513E-2</v>
          </cell>
          <cell r="BY80">
            <v>0.16352907022166635</v>
          </cell>
          <cell r="CB80">
            <v>0.8364709297783337</v>
          </cell>
          <cell r="CE80">
            <v>0.16352907022166635</v>
          </cell>
          <cell r="CH80">
            <v>0</v>
          </cell>
          <cell r="CK80">
            <v>0.16352907022166635</v>
          </cell>
          <cell r="CN80">
            <v>0.8364709297783337</v>
          </cell>
          <cell r="CQ80">
            <v>0.16352907022166635</v>
          </cell>
          <cell r="CT80">
            <v>0</v>
          </cell>
          <cell r="CW80">
            <v>0.16352907022166635</v>
          </cell>
          <cell r="CZ80">
            <v>0.8364709297783337</v>
          </cell>
          <cell r="DC80">
            <v>0.16352907022166635</v>
          </cell>
          <cell r="DF80">
            <v>0</v>
          </cell>
          <cell r="DI80">
            <v>0.16352907022166635</v>
          </cell>
          <cell r="DL80">
            <v>0.8364709297783337</v>
          </cell>
          <cell r="DO80">
            <v>0.16352907022166635</v>
          </cell>
          <cell r="DR80">
            <v>0</v>
          </cell>
          <cell r="DU80">
            <v>0.16352907022166635</v>
          </cell>
          <cell r="DX80">
            <v>0.8364709297783337</v>
          </cell>
          <cell r="EA80">
            <v>0.16352907022166635</v>
          </cell>
          <cell r="ED80">
            <v>0</v>
          </cell>
          <cell r="EG80">
            <v>0.16352907022166635</v>
          </cell>
          <cell r="EJ80">
            <v>0.8364709297783337</v>
          </cell>
          <cell r="EM80">
            <v>0.16352907022166635</v>
          </cell>
          <cell r="EP80">
            <v>0</v>
          </cell>
          <cell r="ES80">
            <v>0.16352907022166635</v>
          </cell>
          <cell r="EV80">
            <v>0.8364709297783337</v>
          </cell>
          <cell r="EY80">
            <v>0.16352907022166635</v>
          </cell>
          <cell r="FB80">
            <v>0</v>
          </cell>
          <cell r="FE80">
            <v>0.16352907022166635</v>
          </cell>
          <cell r="FH80">
            <v>0.8364709297783337</v>
          </cell>
          <cell r="FK80">
            <v>0.16352907022166635</v>
          </cell>
          <cell r="FN80">
            <v>0</v>
          </cell>
          <cell r="FQ80">
            <v>0.16352907022166635</v>
          </cell>
          <cell r="FT80">
            <v>0.8364709297783337</v>
          </cell>
          <cell r="FW80">
            <v>0.16352907022166635</v>
          </cell>
          <cell r="FZ80">
            <v>0</v>
          </cell>
          <cell r="GC80">
            <v>0.16352907022166635</v>
          </cell>
          <cell r="GF80">
            <v>0.8364709297783337</v>
          </cell>
        </row>
        <row r="81">
          <cell r="U81">
            <v>76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_NO SE IMPRIME"/>
      <sheetName val="Caratula"/>
      <sheetName val="Ficha Tec_Obra"/>
      <sheetName val="Cont Vigent"/>
      <sheetName val="Resum Liq final"/>
      <sheetName val="Valor pagad"/>
      <sheetName val="Valor autoriz"/>
      <sheetName val="Reaj y_ded contprinc"/>
      <sheetName val="FP pavim"/>
      <sheetName val="Cal.Deduc A. Mat.   1"/>
      <sheetName val="Val obrapaviment"/>
      <sheetName val="Met Post const_pavim"/>
      <sheetName val="Resum Val contprinc"/>
      <sheetName val="Hoja1"/>
    </sheetNames>
    <sheetDataSet>
      <sheetData sheetId="0">
        <row r="6">
          <cell r="C6" t="str">
            <v>MUNICIPALIDAD DISTRITAL DE CHACLACAYO</v>
          </cell>
        </row>
        <row r="7">
          <cell r="C7" t="str">
            <v>LICITACION PUBLICA Nº 003-2017/MDCH</v>
          </cell>
        </row>
        <row r="22">
          <cell r="C22">
            <v>4062429.99</v>
          </cell>
        </row>
        <row r="24">
          <cell r="C24" t="str">
            <v>MARZO-2017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O A CTA"/>
      <sheetName val="Valorizacion-01"/>
      <sheetName val="Ind-Unific"/>
      <sheetName val="Kr"/>
      <sheetName val="Reaj CP"/>
      <sheetName val="Amorti-Adel-efec"/>
      <sheetName val="DedEf"/>
      <sheetName val="Hoja3"/>
      <sheetName val="K Form.01"/>
      <sheetName val="4.01.- Planilla VAL. PRINC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greso de Información"/>
      <sheetName val="Demanda Agua"/>
      <sheetName val="Demanda Alcantarillado"/>
      <sheetName val="NºLagunas"/>
      <sheetName val="AreaLaguna"/>
      <sheetName val="Tanq.Imhoff"/>
      <sheetName val="DeficitOxig.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ORIZACION 10"/>
      <sheetName val="Presupuestos"/>
      <sheetName val="Metrados"/>
      <sheetName val="2.01"/>
      <sheetName val="REAJUSTE"/>
      <sheetName val="deducc mat. val 10"/>
      <sheetName val="reg deduc mat. val 09"/>
      <sheetName val="REGULAR. REAJUSTE"/>
      <sheetName val="REGULAR DEDUC"/>
      <sheetName val="DEDUCCION"/>
      <sheetName val="AMORTIZACION"/>
      <sheetName val="RESUMEN"/>
      <sheetName val="Hoja5"/>
      <sheetName val="Hoja6"/>
      <sheetName val="Hoja7"/>
      <sheetName val="Hoja8"/>
      <sheetName val="Hoja9"/>
      <sheetName val="Hoja10"/>
      <sheetName val="Valorizacion-01"/>
      <sheetName val="RES-TRAM"/>
      <sheetName val="PRESUPUESTO INICIAL"/>
      <sheetName val="RESUM CAO"/>
      <sheetName val="metr-avance"/>
      <sheetName val="VAL-MENSUALES"/>
      <sheetName val="VAL-MES"/>
      <sheetName val="RES-TRAMIT"/>
      <sheetName val="3 01 PAGOS A CUENTA"/>
      <sheetName val="IND-UNIF"/>
      <sheetName val="FACT-K"/>
      <sheetName val="REAJUST V"/>
      <sheetName val="DRNC-AE"/>
      <sheetName val="retencion por atraso"/>
      <sheetName val="AMORT-AE"/>
      <sheetName val="AM-ADELANTOS"/>
      <sheetName val="RESUM ADELANT"/>
      <sheetName val="Hoja1"/>
      <sheetName val="NO IMPRIMIR"/>
      <sheetName val="andrade"/>
      <sheetName val="Acero VC-1"/>
      <sheetName val=" Acero Cabezal VC-V-1A"/>
      <sheetName val="Macro1"/>
      <sheetName val="Tablas"/>
      <sheetName val="time"/>
      <sheetName val="05"/>
      <sheetName val=""/>
      <sheetName val="PER,COM.PRO.ADI1"/>
      <sheetName val="VALORIZACION"/>
      <sheetName val="COSTO DIARIO"/>
      <sheetName val="MOI-Histograma"/>
      <sheetName val="datos base"/>
      <sheetName val="PL"/>
      <sheetName val="REC"/>
      <sheetName val="STN"/>
      <sheetName val="ST"/>
      <sheetName val="RES MET ACTUAL"/>
      <sheetName val="RESUMEN METRADO"/>
      <sheetName val="PARTIDAS "/>
      <sheetName val="METRADO SARRIA"/>
      <sheetName val="METRADO BRAILLE"/>
      <sheetName val="METRADO SAAVEDRA"/>
      <sheetName val="p THORNDIKE"/>
      <sheetName val="V.SARRIA "/>
      <sheetName val="V.BRAILLE "/>
      <sheetName val="V.SAAVEDRA"/>
      <sheetName val="SEP 5"/>
      <sheetName val="V.BRAILLE"/>
      <sheetName val="MET.SEÑ.VERTICAL"/>
      <sheetName val="BERMAS"/>
      <sheetName val="ADICIONAL"/>
      <sheetName val="V.THORNDIKE"/>
      <sheetName val="RESUMEN METRADO (2)"/>
      <sheetName val="RES,MET,ADI1"/>
      <sheetName val="A2"/>
      <sheetName val="A3"/>
      <sheetName val="precio"/>
      <sheetName val="VALORIZACION_10"/>
      <sheetName val="2_01"/>
      <sheetName val="deducc_mat__val_10"/>
      <sheetName val="reg_deduc_mat__val_09"/>
      <sheetName val="REGULAR__REAJUSTE"/>
      <sheetName val="REGULAR_DEDUC"/>
      <sheetName val="PRESUPUESTO_INICIAL"/>
      <sheetName val="RESUM_CAO"/>
      <sheetName val="3_01_PAGOS_A_CUENTA"/>
      <sheetName val="REAJUST_V"/>
      <sheetName val="retencion_por_atraso"/>
      <sheetName val="RESUM_ADELANT"/>
      <sheetName val="NO_IMPRIMIR"/>
      <sheetName val="Acero_VC-1"/>
      <sheetName val="_Acero_Cabezal_VC-V-1A"/>
      <sheetName val="IP_MANO_DE_OBRA_STEP_04B"/>
      <sheetName val="resumen valoriz"/>
      <sheetName val="pagoscontratista"/>
      <sheetName val="adelantos"/>
      <sheetName val="reajustes"/>
      <sheetName val="proyecc obra-informe"/>
      <sheetName val="Cuadro ProgVsReal"/>
      <sheetName val="Amort AE"/>
      <sheetName val="Ded AE"/>
      <sheetName val="Amort AM1_01"/>
      <sheetName val="Amort AM3_01"/>
      <sheetName val="Amort AM2_01"/>
      <sheetName val="DRQNC AM_01"/>
      <sheetName val="DRQNC AM3_01"/>
      <sheetName val="DRQNC AM2_01"/>
      <sheetName val="Hoja2"/>
      <sheetName val="Amort y Ded AE"/>
      <sheetName val="Control adel dir"/>
      <sheetName val="Adel otorg-informe"/>
      <sheetName val="Amort AM 21,28,43"/>
      <sheetName val="Amort Adel Mat 53,49"/>
      <sheetName val="Amort AM 03,53"/>
      <sheetName val="Ded AM"/>
      <sheetName val="RES DED-M V-03"/>
      <sheetName val="Resum metr-avance"/>
      <sheetName val="Relacion de Recursos"/>
    </sheetNames>
    <sheetDataSet>
      <sheetData sheetId="0" refreshError="1">
        <row r="21">
          <cell r="E21">
            <v>341230.77</v>
          </cell>
        </row>
        <row r="90">
          <cell r="J90">
            <v>1109209.17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23">
          <cell r="H23">
            <v>23540</v>
          </cell>
        </row>
      </sheetData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>
        <row r="90">
          <cell r="J90">
            <v>0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1_CERTIFIC PAGO"/>
      <sheetName val="2.2_RESUMEN GRAL"/>
      <sheetName val="2.3_RES VAL DESAGR X FORMULA"/>
      <sheetName val="2.3_planilla valorizacion"/>
      <sheetName val="2.4.- Metrado "/>
      <sheetName val="2.5_Reajuste y regulariz"/>
      <sheetName val="2.6_Reaj CP"/>
      <sheetName val="2.7_Amorti-Adel-efec"/>
      <sheetName val="2.8 Amorti-Adel-material"/>
      <sheetName val="2.8 Amorti-Adel-material (2)"/>
      <sheetName val="2.8 resumen amortizac mater"/>
      <sheetName val="2.8 resumen amortizac mater (2"/>
      <sheetName val="2.8 Amort adelanto espec 01"/>
      <sheetName val="2.8 Amort Adel Mat (IU-21)  (2"/>
      <sheetName val="2.8 Amort adelanto espec 02"/>
      <sheetName val="Hoja4"/>
      <sheetName val="2.8 Amort Adel Mat (IU-21) "/>
      <sheetName val="2.8 Amort Adel Mat  (IU-3)"/>
      <sheetName val="2.8 Amort Adel Mat  (IU-43)"/>
      <sheetName val="2.8 Amort Adel Mat  (IU-30)"/>
      <sheetName val="2.8 Amort Adel Mat  (IU-20)"/>
      <sheetName val="2.8 Amort Adel Mat  (IU-3) (2)"/>
      <sheetName val="2.8 Amort Adel Mat  (IU-43) (2"/>
      <sheetName val="2.8 Amort Adel Mat  (IU-30) (2"/>
      <sheetName val="2.8 Amort Adel Mat  (IU-20) (2"/>
      <sheetName val="NUEVO FACTOR AMORTIZACION"/>
      <sheetName val="2.9_DedEf"/>
      <sheetName val="2.10 Deducc Mater"/>
      <sheetName val="2.11 Formula Polinomicas"/>
      <sheetName val="2.12_calculo del k"/>
      <sheetName val="2.13_IUP"/>
      <sheetName val="2.14_Resum Val tramitadas"/>
      <sheetName val="3.2_VAL - Resumen"/>
      <sheetName val="Amort Adel Mat  (REGULARIZ)"/>
      <sheetName val="Amort Adel Mat  regularizacion"/>
      <sheetName val="Amort Adel Mat  (6)"/>
      <sheetName val="resum deducciones mater-OK"/>
      <sheetName val="4.1_RESUMEN METRADOS"/>
      <sheetName val="RESUMEN METRADOS"/>
      <sheetName val="metrados"/>
      <sheetName val="2.4_FOR_01_SECTOR-I (x mes)"/>
      <sheetName val="3.2_VAL - Resumen (2)"/>
      <sheetName val="COMPROBACION"/>
      <sheetName val="COMPROBACION (2)"/>
      <sheetName val="Hoja1"/>
      <sheetName val="Hoja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4">
          <cell r="A14" t="str">
            <v>100</v>
          </cell>
          <cell r="B14" t="str">
            <v>OBRAS PRELIMINARES</v>
          </cell>
        </row>
        <row r="15">
          <cell r="A15" t="str">
            <v>101.A</v>
          </cell>
          <cell r="B15" t="str">
            <v xml:space="preserve">   MOVILIZACION Y DESMOVILIZACION DE EQUIPOS</v>
          </cell>
          <cell r="C15" t="str">
            <v>glb</v>
          </cell>
          <cell r="D15">
            <v>1</v>
          </cell>
          <cell r="E15">
            <v>0</v>
          </cell>
          <cell r="F15">
            <v>0</v>
          </cell>
          <cell r="G15">
            <v>1</v>
          </cell>
          <cell r="H15">
            <v>0.24</v>
          </cell>
          <cell r="I15">
            <v>0</v>
          </cell>
          <cell r="J15">
            <v>0.1</v>
          </cell>
          <cell r="K15">
            <v>0.1</v>
          </cell>
          <cell r="L15">
            <v>0.01</v>
          </cell>
          <cell r="M15">
            <v>0.01</v>
          </cell>
          <cell r="N15">
            <v>0.04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W15">
            <v>0.49999999999999994</v>
          </cell>
          <cell r="X15">
            <v>0.5</v>
          </cell>
          <cell r="Y15">
            <v>0.5</v>
          </cell>
          <cell r="Z15">
            <v>0.5</v>
          </cell>
        </row>
        <row r="16">
          <cell r="A16" t="str">
            <v>102.A</v>
          </cell>
          <cell r="B16" t="str">
            <v xml:space="preserve">   TRAZO Y REPLANTEO</v>
          </cell>
          <cell r="C16" t="str">
            <v>km</v>
          </cell>
          <cell r="D16">
            <v>42.6</v>
          </cell>
          <cell r="E16">
            <v>0</v>
          </cell>
          <cell r="F16">
            <v>0</v>
          </cell>
          <cell r="G16">
            <v>42.6</v>
          </cell>
          <cell r="H16">
            <v>2.2000000000000002</v>
          </cell>
          <cell r="I16">
            <v>2.84</v>
          </cell>
          <cell r="J16">
            <v>2.84</v>
          </cell>
          <cell r="K16">
            <v>2.84</v>
          </cell>
          <cell r="L16">
            <v>2.84</v>
          </cell>
          <cell r="M16">
            <v>2.84</v>
          </cell>
          <cell r="N16">
            <v>2.84</v>
          </cell>
          <cell r="O16">
            <v>2.84</v>
          </cell>
          <cell r="P16">
            <v>2.84</v>
          </cell>
          <cell r="Q16">
            <v>2.84</v>
          </cell>
          <cell r="R16">
            <v>2.84</v>
          </cell>
          <cell r="S16">
            <v>2.84</v>
          </cell>
          <cell r="T16">
            <v>2.84</v>
          </cell>
          <cell r="W16">
            <v>36.28</v>
          </cell>
          <cell r="X16">
            <v>0.85160000000000002</v>
          </cell>
          <cell r="Y16">
            <v>6.32</v>
          </cell>
          <cell r="Z16">
            <v>0.14839999999999998</v>
          </cell>
        </row>
        <row r="17">
          <cell r="A17" t="str">
            <v>103.A</v>
          </cell>
          <cell r="B17" t="str">
            <v xml:space="preserve">   MANTENIMIENTO DE TRÁNSITO Y SEGURIDAD VIAL</v>
          </cell>
          <cell r="C17" t="str">
            <v>mes</v>
          </cell>
          <cell r="D17">
            <v>12</v>
          </cell>
          <cell r="E17">
            <v>0</v>
          </cell>
          <cell r="F17">
            <v>0</v>
          </cell>
          <cell r="G17">
            <v>12</v>
          </cell>
          <cell r="H17">
            <v>0.8</v>
          </cell>
          <cell r="I17">
            <v>1</v>
          </cell>
          <cell r="J17">
            <v>1.03</v>
          </cell>
          <cell r="K17">
            <v>1</v>
          </cell>
          <cell r="L17">
            <v>1.03</v>
          </cell>
          <cell r="M17">
            <v>1.03</v>
          </cell>
          <cell r="N17">
            <v>1</v>
          </cell>
          <cell r="O17">
            <v>1.03</v>
          </cell>
          <cell r="P17">
            <v>1</v>
          </cell>
          <cell r="Q17">
            <v>1.03</v>
          </cell>
          <cell r="R17">
            <v>1.03</v>
          </cell>
          <cell r="S17">
            <v>0.93</v>
          </cell>
          <cell r="T17">
            <v>0.09</v>
          </cell>
          <cell r="W17">
            <v>12</v>
          </cell>
          <cell r="X17">
            <v>1</v>
          </cell>
          <cell r="Y17">
            <v>0</v>
          </cell>
          <cell r="Z17">
            <v>0</v>
          </cell>
        </row>
        <row r="18">
          <cell r="A18" t="str">
            <v>107.A</v>
          </cell>
          <cell r="B18" t="str">
            <v xml:space="preserve">   ACCESO DE CANTERAS, DME, PLANTAS Y FUENTES DE AGUA</v>
          </cell>
          <cell r="C18" t="str">
            <v>km</v>
          </cell>
          <cell r="D18">
            <v>2.0699999999999998</v>
          </cell>
          <cell r="E18">
            <v>0</v>
          </cell>
          <cell r="F18">
            <v>0</v>
          </cell>
          <cell r="G18">
            <v>2.0699999999999998</v>
          </cell>
          <cell r="H18">
            <v>1.17</v>
          </cell>
          <cell r="I18">
            <v>0.51</v>
          </cell>
          <cell r="J18">
            <v>0.22</v>
          </cell>
          <cell r="K18">
            <v>0.1</v>
          </cell>
          <cell r="L18">
            <v>0</v>
          </cell>
          <cell r="M18">
            <v>7.0000000000000007E-2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W18">
            <v>2.0699999999999998</v>
          </cell>
          <cell r="X18">
            <v>1</v>
          </cell>
          <cell r="Y18">
            <v>0</v>
          </cell>
          <cell r="Z18">
            <v>0</v>
          </cell>
        </row>
        <row r="19">
          <cell r="A19" t="str">
            <v>200</v>
          </cell>
          <cell r="B19" t="str">
            <v>MOVIMIENTO DE TIERRAS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W19" t="str">
            <v xml:space="preserve"> </v>
          </cell>
          <cell r="X19" t="str">
            <v xml:space="preserve"> </v>
          </cell>
          <cell r="Y19" t="str">
            <v xml:space="preserve"> </v>
          </cell>
          <cell r="Z19" t="str">
            <v xml:space="preserve"> </v>
          </cell>
        </row>
        <row r="20">
          <cell r="A20" t="str">
            <v>201.B</v>
          </cell>
          <cell r="B20" t="str">
            <v xml:space="preserve">   DESBROCE Y LIMPIEZA EN ZONAS NO BOSCOSAS</v>
          </cell>
          <cell r="C20" t="str">
            <v>ha</v>
          </cell>
          <cell r="D20">
            <v>43.46</v>
          </cell>
          <cell r="E20">
            <v>0</v>
          </cell>
          <cell r="F20">
            <v>0</v>
          </cell>
          <cell r="G20">
            <v>43.46</v>
          </cell>
          <cell r="H20">
            <v>0.64</v>
          </cell>
          <cell r="I20">
            <v>2.78</v>
          </cell>
          <cell r="J20">
            <v>4.55</v>
          </cell>
          <cell r="K20">
            <v>2.81</v>
          </cell>
          <cell r="L20">
            <v>0.71</v>
          </cell>
          <cell r="M20">
            <v>3.69</v>
          </cell>
          <cell r="N20">
            <v>0</v>
          </cell>
          <cell r="O20">
            <v>0.55000000000000004</v>
          </cell>
          <cell r="P20">
            <v>0</v>
          </cell>
          <cell r="Q20">
            <v>0</v>
          </cell>
          <cell r="R20">
            <v>5.96</v>
          </cell>
          <cell r="S20">
            <v>0</v>
          </cell>
          <cell r="T20">
            <v>7.0000000000000007E-2</v>
          </cell>
          <cell r="W20">
            <v>21.759999999999998</v>
          </cell>
          <cell r="X20">
            <v>0.50070000000000003</v>
          </cell>
          <cell r="Y20">
            <v>21.700000000000003</v>
          </cell>
          <cell r="Z20">
            <v>0.49929999999999997</v>
          </cell>
        </row>
        <row r="21">
          <cell r="A21" t="str">
            <v>202.B</v>
          </cell>
          <cell r="B21" t="str">
            <v xml:space="preserve">   DEMOLICION DE ESTRUCTURAS DE CONCRETO</v>
          </cell>
          <cell r="C21" t="str">
            <v>m3</v>
          </cell>
          <cell r="D21">
            <v>453.77</v>
          </cell>
          <cell r="E21">
            <v>0</v>
          </cell>
          <cell r="F21">
            <v>0</v>
          </cell>
          <cell r="G21">
            <v>453.77</v>
          </cell>
          <cell r="I21">
            <v>13.38</v>
          </cell>
          <cell r="J21">
            <v>45.22</v>
          </cell>
          <cell r="K21">
            <v>102.61</v>
          </cell>
          <cell r="L21">
            <v>29.8</v>
          </cell>
          <cell r="N21">
            <v>74.709999999999994</v>
          </cell>
          <cell r="O21">
            <v>0</v>
          </cell>
          <cell r="P21">
            <v>8.82</v>
          </cell>
          <cell r="Q21">
            <v>0</v>
          </cell>
          <cell r="R21">
            <v>0</v>
          </cell>
          <cell r="S21">
            <v>116.71</v>
          </cell>
          <cell r="T21">
            <v>41.25</v>
          </cell>
          <cell r="W21">
            <v>432.5</v>
          </cell>
          <cell r="X21">
            <v>0.95309999999999995</v>
          </cell>
          <cell r="Y21">
            <v>21.269999999999982</v>
          </cell>
          <cell r="Z21">
            <v>4.6900000000000053E-2</v>
          </cell>
        </row>
        <row r="22">
          <cell r="A22" t="str">
            <v>205.B</v>
          </cell>
          <cell r="B22" t="str">
            <v xml:space="preserve">   EXCAVACION PARA EXPLANACIONES EN ROCA FIJA.</v>
          </cell>
          <cell r="C22" t="str">
            <v>m3</v>
          </cell>
          <cell r="D22">
            <v>50051.98</v>
          </cell>
          <cell r="E22">
            <v>0</v>
          </cell>
          <cell r="F22">
            <v>0</v>
          </cell>
          <cell r="G22">
            <v>50051.98</v>
          </cell>
          <cell r="I22">
            <v>0</v>
          </cell>
          <cell r="J22">
            <v>0</v>
          </cell>
          <cell r="L22">
            <v>4808.32</v>
          </cell>
          <cell r="M22">
            <v>9015.39</v>
          </cell>
          <cell r="N22">
            <v>10524.28</v>
          </cell>
          <cell r="O22">
            <v>-2514.33</v>
          </cell>
          <cell r="P22">
            <v>1493.97</v>
          </cell>
          <cell r="Q22">
            <v>4850.62</v>
          </cell>
          <cell r="R22">
            <v>9208.9</v>
          </cell>
          <cell r="S22">
            <v>12664.83</v>
          </cell>
          <cell r="W22">
            <v>50051.979999999996</v>
          </cell>
          <cell r="X22">
            <v>1</v>
          </cell>
          <cell r="Y22">
            <v>7.2759576141834259E-12</v>
          </cell>
          <cell r="Z22">
            <v>0</v>
          </cell>
        </row>
        <row r="23">
          <cell r="A23" t="str">
            <v>205.B1</v>
          </cell>
          <cell r="B23" t="str">
            <v xml:space="preserve">   EXCAVACION PARA EXPLANACIONES EN ROCA SUELTA.</v>
          </cell>
          <cell r="C23" t="str">
            <v>m3</v>
          </cell>
          <cell r="D23">
            <v>0.5</v>
          </cell>
          <cell r="G23">
            <v>0.5</v>
          </cell>
          <cell r="I23">
            <v>0</v>
          </cell>
          <cell r="J23">
            <v>0</v>
          </cell>
          <cell r="L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W23">
            <v>0</v>
          </cell>
          <cell r="X23">
            <v>0</v>
          </cell>
          <cell r="Y23">
            <v>0.5</v>
          </cell>
          <cell r="Z23">
            <v>1</v>
          </cell>
        </row>
        <row r="24">
          <cell r="A24" t="str">
            <v>205.C</v>
          </cell>
          <cell r="B24" t="str">
            <v xml:space="preserve">   EXCAVACION PARA EXPLANACIONES EN MATERIAL COMÚN</v>
          </cell>
          <cell r="C24" t="str">
            <v>m3</v>
          </cell>
          <cell r="D24">
            <v>93464.8</v>
          </cell>
          <cell r="E24">
            <v>0</v>
          </cell>
          <cell r="F24">
            <v>0</v>
          </cell>
          <cell r="G24">
            <v>93464.8</v>
          </cell>
          <cell r="I24">
            <v>0</v>
          </cell>
          <cell r="J24">
            <v>21654.32</v>
          </cell>
          <cell r="K24">
            <v>5223.17</v>
          </cell>
          <cell r="L24">
            <v>11485.16</v>
          </cell>
          <cell r="M24">
            <v>7688.68</v>
          </cell>
          <cell r="N24">
            <v>22677.78</v>
          </cell>
          <cell r="O24">
            <v>18011.04</v>
          </cell>
          <cell r="P24">
            <v>-1687.09</v>
          </cell>
          <cell r="Q24">
            <v>-638.1</v>
          </cell>
          <cell r="R24">
            <v>0</v>
          </cell>
          <cell r="S24">
            <v>0</v>
          </cell>
          <cell r="T24">
            <v>2898.64</v>
          </cell>
          <cell r="W24">
            <v>87313.599999999991</v>
          </cell>
          <cell r="X24">
            <v>0.93420000000000003</v>
          </cell>
          <cell r="Y24">
            <v>6151.2000000000116</v>
          </cell>
          <cell r="Z24">
            <v>6.579999999999997E-2</v>
          </cell>
        </row>
        <row r="25">
          <cell r="A25" t="str">
            <v>205.E</v>
          </cell>
          <cell r="B25" t="str">
            <v xml:space="preserve">   PERFILADO Y COMPACTADO EN ZONA DE CORTE</v>
          </cell>
          <cell r="C25" t="str">
            <v>m2</v>
          </cell>
          <cell r="D25">
            <v>63145.599999999999</v>
          </cell>
          <cell r="E25">
            <v>0</v>
          </cell>
          <cell r="F25">
            <v>0</v>
          </cell>
          <cell r="G25">
            <v>63145.599999999999</v>
          </cell>
          <cell r="I25">
            <v>0</v>
          </cell>
          <cell r="J25">
            <v>0</v>
          </cell>
          <cell r="L25">
            <v>0</v>
          </cell>
          <cell r="M25">
            <v>5219.3999999999996</v>
          </cell>
          <cell r="N25">
            <v>11460.6</v>
          </cell>
          <cell r="O25">
            <v>1667.2</v>
          </cell>
          <cell r="P25">
            <v>800.1</v>
          </cell>
          <cell r="Q25">
            <v>3551.05</v>
          </cell>
          <cell r="R25">
            <v>3824.75</v>
          </cell>
          <cell r="S25">
            <v>733.8</v>
          </cell>
          <cell r="T25">
            <v>15147.7</v>
          </cell>
          <cell r="W25">
            <v>42404.6</v>
          </cell>
          <cell r="X25">
            <v>0.67149999999999999</v>
          </cell>
          <cell r="Y25">
            <v>20741</v>
          </cell>
          <cell r="Z25">
            <v>0.32850000000000001</v>
          </cell>
        </row>
        <row r="26">
          <cell r="A26" t="str">
            <v>206.A</v>
          </cell>
          <cell r="B26" t="str">
            <v xml:space="preserve">   REMOCION DE DERRUMBES</v>
          </cell>
          <cell r="C26" t="str">
            <v>m3</v>
          </cell>
          <cell r="D26">
            <v>4673.24</v>
          </cell>
          <cell r="E26">
            <v>0</v>
          </cell>
          <cell r="F26">
            <v>0</v>
          </cell>
          <cell r="G26">
            <v>4673.24</v>
          </cell>
          <cell r="I26">
            <v>0</v>
          </cell>
          <cell r="J26">
            <v>0</v>
          </cell>
          <cell r="L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W26">
            <v>0</v>
          </cell>
          <cell r="X26">
            <v>0</v>
          </cell>
          <cell r="Y26">
            <v>4673.24</v>
          </cell>
          <cell r="Z26">
            <v>1</v>
          </cell>
        </row>
        <row r="27">
          <cell r="A27" t="str">
            <v>210.A</v>
          </cell>
          <cell r="B27" t="str">
            <v xml:space="preserve">   MATERIAL DE CANTERA PARA RELLENOS</v>
          </cell>
          <cell r="C27" t="str">
            <v>m3</v>
          </cell>
          <cell r="D27">
            <v>77932.94</v>
          </cell>
          <cell r="E27">
            <v>0</v>
          </cell>
          <cell r="F27">
            <v>0</v>
          </cell>
          <cell r="G27">
            <v>77932.94</v>
          </cell>
          <cell r="H27">
            <v>29311.95</v>
          </cell>
          <cell r="I27">
            <v>48620.99</v>
          </cell>
          <cell r="J27">
            <v>0</v>
          </cell>
          <cell r="L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W27">
            <v>77932.94</v>
          </cell>
          <cell r="X27">
            <v>1</v>
          </cell>
          <cell r="Y27">
            <v>0</v>
          </cell>
          <cell r="Z27">
            <v>0</v>
          </cell>
        </row>
        <row r="28">
          <cell r="A28" t="str">
            <v>210.B</v>
          </cell>
          <cell r="B28" t="str">
            <v xml:space="preserve">   CONFORMACION DE TERRAPLENES</v>
          </cell>
          <cell r="C28" t="str">
            <v>m3</v>
          </cell>
          <cell r="D28">
            <v>188969.04</v>
          </cell>
          <cell r="E28">
            <v>0</v>
          </cell>
          <cell r="F28">
            <v>0</v>
          </cell>
          <cell r="G28">
            <v>188969.04</v>
          </cell>
          <cell r="I28">
            <v>26557.1</v>
          </cell>
          <cell r="J28">
            <v>42412.78</v>
          </cell>
          <cell r="K28">
            <v>29495.53</v>
          </cell>
          <cell r="L28">
            <v>9396.51</v>
          </cell>
          <cell r="M28">
            <v>23338.22</v>
          </cell>
          <cell r="N28">
            <v>23897.97</v>
          </cell>
          <cell r="O28">
            <v>6017.5</v>
          </cell>
          <cell r="P28">
            <v>196.5</v>
          </cell>
          <cell r="Q28">
            <v>13810.95</v>
          </cell>
          <cell r="R28">
            <v>0</v>
          </cell>
          <cell r="S28">
            <v>0</v>
          </cell>
          <cell r="T28">
            <v>10856.17</v>
          </cell>
          <cell r="W28">
            <v>185979.23000000004</v>
          </cell>
          <cell r="X28">
            <v>0.98419999999999996</v>
          </cell>
          <cell r="Y28">
            <v>2989.8099999999686</v>
          </cell>
          <cell r="Z28">
            <v>1.5800000000000036E-2</v>
          </cell>
        </row>
        <row r="29">
          <cell r="A29" t="str">
            <v>211.A</v>
          </cell>
          <cell r="B29" t="str">
            <v xml:space="preserve">   PEDRAPLENES</v>
          </cell>
          <cell r="C29" t="str">
            <v>m3</v>
          </cell>
          <cell r="D29">
            <v>14303.12</v>
          </cell>
          <cell r="G29">
            <v>14303.12</v>
          </cell>
          <cell r="I29">
            <v>0</v>
          </cell>
          <cell r="J29">
            <v>0</v>
          </cell>
          <cell r="L29">
            <v>0</v>
          </cell>
          <cell r="M29">
            <v>2493.9499999999998</v>
          </cell>
          <cell r="N29">
            <v>2727.25</v>
          </cell>
          <cell r="O29">
            <v>9030.7999999999993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W29">
            <v>14252</v>
          </cell>
          <cell r="X29">
            <v>0.99639999999999995</v>
          </cell>
          <cell r="Y29">
            <v>51.1200000000008</v>
          </cell>
          <cell r="Z29">
            <v>3.6000000000000476E-3</v>
          </cell>
        </row>
        <row r="30">
          <cell r="A30" t="str">
            <v>300</v>
          </cell>
          <cell r="B30" t="str">
            <v>SUB BASES Y BASES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W30" t="str">
            <v xml:space="preserve"> </v>
          </cell>
          <cell r="X30" t="str">
            <v xml:space="preserve"> </v>
          </cell>
          <cell r="Y30" t="str">
            <v xml:space="preserve"> </v>
          </cell>
          <cell r="Z30" t="str">
            <v xml:space="preserve"> </v>
          </cell>
        </row>
        <row r="31">
          <cell r="A31" t="str">
            <v>303.A</v>
          </cell>
          <cell r="B31" t="str">
            <v xml:space="preserve">   SUB BASE GRANULAR</v>
          </cell>
          <cell r="C31" t="str">
            <v>m3</v>
          </cell>
          <cell r="D31">
            <v>45534.07</v>
          </cell>
          <cell r="E31">
            <v>0</v>
          </cell>
          <cell r="F31">
            <v>0</v>
          </cell>
          <cell r="G31">
            <v>45534.07</v>
          </cell>
          <cell r="I31">
            <v>0</v>
          </cell>
          <cell r="J31">
            <v>0</v>
          </cell>
          <cell r="K31">
            <v>6658.46</v>
          </cell>
          <cell r="L31">
            <v>8906.83</v>
          </cell>
          <cell r="M31">
            <v>6126.99</v>
          </cell>
          <cell r="N31">
            <v>4608.24</v>
          </cell>
          <cell r="O31">
            <v>46.12</v>
          </cell>
          <cell r="P31">
            <v>805.8</v>
          </cell>
          <cell r="Q31">
            <v>1827.13</v>
          </cell>
          <cell r="R31">
            <v>5613.16</v>
          </cell>
          <cell r="S31">
            <v>3355.47</v>
          </cell>
          <cell r="T31">
            <v>4883.67</v>
          </cell>
          <cell r="W31">
            <v>42831.869999999995</v>
          </cell>
          <cell r="X31">
            <v>0.94069999999999998</v>
          </cell>
          <cell r="Y31">
            <v>2702.2000000000044</v>
          </cell>
          <cell r="Z31">
            <v>5.9300000000000019E-2</v>
          </cell>
        </row>
        <row r="32">
          <cell r="A32" t="str">
            <v>305.A</v>
          </cell>
          <cell r="B32" t="str">
            <v xml:space="preserve">   BASE GRANULAR</v>
          </cell>
          <cell r="C32" t="str">
            <v>m3</v>
          </cell>
          <cell r="D32">
            <v>43325.07</v>
          </cell>
          <cell r="E32">
            <v>0</v>
          </cell>
          <cell r="F32">
            <v>0</v>
          </cell>
          <cell r="G32">
            <v>43325.07</v>
          </cell>
          <cell r="I32">
            <v>0</v>
          </cell>
          <cell r="J32">
            <v>0</v>
          </cell>
          <cell r="L32">
            <v>5258.9</v>
          </cell>
          <cell r="M32">
            <v>11135.17</v>
          </cell>
          <cell r="N32">
            <v>4737.53</v>
          </cell>
          <cell r="O32">
            <v>3142.34</v>
          </cell>
          <cell r="P32">
            <v>1417.8</v>
          </cell>
          <cell r="Q32">
            <v>1849.36</v>
          </cell>
          <cell r="R32">
            <v>2654.12</v>
          </cell>
          <cell r="S32">
            <v>5355.97</v>
          </cell>
          <cell r="T32">
            <v>4503.3599999999997</v>
          </cell>
          <cell r="W32">
            <v>40054.549999999996</v>
          </cell>
          <cell r="X32">
            <v>0.92449999999999999</v>
          </cell>
          <cell r="Y32">
            <v>3270.5200000000041</v>
          </cell>
          <cell r="Z32">
            <v>7.5500000000000012E-2</v>
          </cell>
        </row>
        <row r="33">
          <cell r="A33" t="str">
            <v>400</v>
          </cell>
          <cell r="B33" t="str">
            <v>PAVIMENTO ASFÁLTICO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W33" t="str">
            <v xml:space="preserve"> </v>
          </cell>
          <cell r="X33" t="str">
            <v xml:space="preserve"> </v>
          </cell>
          <cell r="Y33" t="str">
            <v xml:space="preserve"> </v>
          </cell>
          <cell r="Z33" t="str">
            <v xml:space="preserve"> </v>
          </cell>
        </row>
        <row r="34">
          <cell r="A34" t="str">
            <v>401.A</v>
          </cell>
          <cell r="B34" t="str">
            <v xml:space="preserve">   IMPRIMACION ASFALTICA</v>
          </cell>
          <cell r="C34" t="str">
            <v>m2</v>
          </cell>
          <cell r="D34">
            <v>281663.68</v>
          </cell>
          <cell r="E34">
            <v>0</v>
          </cell>
          <cell r="F34">
            <v>0</v>
          </cell>
          <cell r="G34">
            <v>281663.68</v>
          </cell>
          <cell r="I34">
            <v>0</v>
          </cell>
          <cell r="J34">
            <v>0</v>
          </cell>
          <cell r="L34">
            <v>0</v>
          </cell>
          <cell r="M34">
            <v>54133.2</v>
          </cell>
          <cell r="N34">
            <v>76550.720000000001</v>
          </cell>
          <cell r="O34">
            <v>18908.43</v>
          </cell>
          <cell r="P34">
            <v>9120.3799999999992</v>
          </cell>
          <cell r="Q34">
            <v>12138.36</v>
          </cell>
          <cell r="R34">
            <v>13543.69</v>
          </cell>
          <cell r="S34">
            <v>41649.9</v>
          </cell>
          <cell r="T34">
            <v>5227.49</v>
          </cell>
          <cell r="W34">
            <v>231272.17</v>
          </cell>
          <cell r="X34">
            <v>0.82110000000000005</v>
          </cell>
          <cell r="Y34">
            <v>50391.50999999998</v>
          </cell>
          <cell r="Z34">
            <v>0.17889999999999995</v>
          </cell>
        </row>
        <row r="35">
          <cell r="A35" t="str">
            <v>406.A</v>
          </cell>
          <cell r="B35" t="str">
            <v xml:space="preserve">   SELLO</v>
          </cell>
          <cell r="C35" t="str">
            <v>m2</v>
          </cell>
          <cell r="D35">
            <v>98400</v>
          </cell>
          <cell r="E35">
            <v>0</v>
          </cell>
          <cell r="F35">
            <v>0</v>
          </cell>
          <cell r="G35">
            <v>98400</v>
          </cell>
          <cell r="I35">
            <v>0</v>
          </cell>
          <cell r="J35">
            <v>0</v>
          </cell>
          <cell r="L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24665.599999999999</v>
          </cell>
          <cell r="T35">
            <v>51402.879999999997</v>
          </cell>
          <cell r="W35">
            <v>76068.479999999996</v>
          </cell>
          <cell r="X35">
            <v>0.77310000000000001</v>
          </cell>
          <cell r="Y35">
            <v>22331.520000000004</v>
          </cell>
          <cell r="Z35">
            <v>0.22689999999999999</v>
          </cell>
        </row>
        <row r="36">
          <cell r="A36" t="str">
            <v>410.A</v>
          </cell>
          <cell r="B36" t="str">
            <v xml:space="preserve">   PAVIMENTO DE CONCRETO ASFÁLTICO EN CALIENTE</v>
          </cell>
          <cell r="C36" t="str">
            <v>m3</v>
          </cell>
          <cell r="D36">
            <v>20990.77</v>
          </cell>
          <cell r="E36">
            <v>0</v>
          </cell>
          <cell r="F36">
            <v>0</v>
          </cell>
          <cell r="G36">
            <v>20990.77</v>
          </cell>
          <cell r="I36">
            <v>0</v>
          </cell>
          <cell r="J36">
            <v>0</v>
          </cell>
          <cell r="L36">
            <v>0</v>
          </cell>
          <cell r="N36">
            <v>4748.54</v>
          </cell>
          <cell r="O36">
            <v>5016.21</v>
          </cell>
          <cell r="P36">
            <v>1635.47</v>
          </cell>
          <cell r="Q36">
            <v>660.99</v>
          </cell>
          <cell r="R36">
            <v>0</v>
          </cell>
          <cell r="S36">
            <v>4416.9799999999996</v>
          </cell>
          <cell r="T36">
            <v>265.97000000000003</v>
          </cell>
          <cell r="W36">
            <v>16744.16</v>
          </cell>
          <cell r="X36">
            <v>0.79769999999999996</v>
          </cell>
          <cell r="Y36">
            <v>4246.6100000000006</v>
          </cell>
          <cell r="Z36">
            <v>0.20230000000000004</v>
          </cell>
        </row>
        <row r="37">
          <cell r="A37" t="str">
            <v>420.B</v>
          </cell>
          <cell r="B37" t="str">
            <v xml:space="preserve">   CEMENTO ASFÁLTICO PEN 60/70</v>
          </cell>
          <cell r="C37" t="str">
            <v>kg</v>
          </cell>
          <cell r="D37">
            <v>2871956.89</v>
          </cell>
          <cell r="E37">
            <v>0</v>
          </cell>
          <cell r="F37">
            <v>0</v>
          </cell>
          <cell r="G37">
            <v>2871956.89</v>
          </cell>
          <cell r="I37">
            <v>0</v>
          </cell>
          <cell r="J37">
            <v>0</v>
          </cell>
          <cell r="L37">
            <v>0</v>
          </cell>
          <cell r="N37">
            <v>653256.27</v>
          </cell>
          <cell r="O37">
            <v>674149.54</v>
          </cell>
          <cell r="P37">
            <v>222495.84</v>
          </cell>
          <cell r="Q37">
            <v>88816.28</v>
          </cell>
          <cell r="R37">
            <v>0</v>
          </cell>
          <cell r="S37">
            <v>614291.59</v>
          </cell>
          <cell r="T37">
            <v>36222.43</v>
          </cell>
          <cell r="W37">
            <v>2289231.9500000002</v>
          </cell>
          <cell r="X37">
            <v>0.79710000000000003</v>
          </cell>
          <cell r="Y37">
            <v>582724.93999999994</v>
          </cell>
          <cell r="Z37">
            <v>0.20289999999999997</v>
          </cell>
        </row>
        <row r="38">
          <cell r="A38" t="str">
            <v>422.A</v>
          </cell>
          <cell r="B38" t="str">
            <v xml:space="preserve">   ASFALTO DILUIDO TIPO MC-30</v>
          </cell>
          <cell r="C38" t="str">
            <v>L</v>
          </cell>
          <cell r="D38">
            <v>337996.42</v>
          </cell>
          <cell r="G38">
            <v>337996.42</v>
          </cell>
          <cell r="I38">
            <v>0</v>
          </cell>
          <cell r="J38">
            <v>0</v>
          </cell>
          <cell r="L38">
            <v>0</v>
          </cell>
          <cell r="M38">
            <v>61342.76</v>
          </cell>
          <cell r="N38">
            <v>86575.77</v>
          </cell>
          <cell r="O38">
            <v>22942.23</v>
          </cell>
          <cell r="P38">
            <v>12615.53</v>
          </cell>
          <cell r="Q38">
            <v>14292.81</v>
          </cell>
          <cell r="R38">
            <v>16145.47</v>
          </cell>
          <cell r="S38">
            <v>50457.81</v>
          </cell>
          <cell r="T38">
            <v>6348.07</v>
          </cell>
          <cell r="W38">
            <v>270720.45</v>
          </cell>
          <cell r="X38">
            <v>0.80100000000000005</v>
          </cell>
          <cell r="Y38">
            <v>67275.969999999972</v>
          </cell>
          <cell r="Z38">
            <v>0.19899999999999995</v>
          </cell>
        </row>
        <row r="39">
          <cell r="A39" t="str">
            <v>423.A</v>
          </cell>
          <cell r="B39" t="str">
            <v xml:space="preserve">   FILLER MINERAL</v>
          </cell>
          <cell r="C39" t="str">
            <v>kg</v>
          </cell>
          <cell r="D39">
            <v>932829.73</v>
          </cell>
          <cell r="E39">
            <v>0</v>
          </cell>
          <cell r="F39">
            <v>0</v>
          </cell>
          <cell r="G39">
            <v>932829.73</v>
          </cell>
          <cell r="I39">
            <v>0</v>
          </cell>
          <cell r="J39">
            <v>0</v>
          </cell>
          <cell r="L39">
            <v>0</v>
          </cell>
          <cell r="N39">
            <v>224231.67999999999</v>
          </cell>
          <cell r="O39">
            <v>236562.24</v>
          </cell>
          <cell r="P39">
            <v>77504.850000000006</v>
          </cell>
          <cell r="Q39">
            <v>31384.15</v>
          </cell>
          <cell r="R39">
            <v>0</v>
          </cell>
          <cell r="S39">
            <v>209275.46</v>
          </cell>
          <cell r="T39">
            <v>12568.09</v>
          </cell>
          <cell r="W39">
            <v>791526.47</v>
          </cell>
          <cell r="X39">
            <v>0.84850000000000003</v>
          </cell>
          <cell r="Y39">
            <v>141303.26</v>
          </cell>
          <cell r="Z39">
            <v>0.15149999999999997</v>
          </cell>
        </row>
        <row r="40">
          <cell r="A40" t="str">
            <v>424.A</v>
          </cell>
          <cell r="B40" t="str">
            <v xml:space="preserve">   ADITIVO MEJORADOR DE ADHERENCIA</v>
          </cell>
          <cell r="C40" t="str">
            <v>kg</v>
          </cell>
          <cell r="D40">
            <v>14359.78</v>
          </cell>
          <cell r="E40">
            <v>0</v>
          </cell>
          <cell r="F40">
            <v>0</v>
          </cell>
          <cell r="G40">
            <v>14359.78</v>
          </cell>
          <cell r="I40">
            <v>0</v>
          </cell>
          <cell r="J40">
            <v>0</v>
          </cell>
          <cell r="L40">
            <v>0</v>
          </cell>
          <cell r="N40">
            <v>2614.21</v>
          </cell>
          <cell r="O40">
            <v>2696.84</v>
          </cell>
          <cell r="P40">
            <v>891.2</v>
          </cell>
          <cell r="Q40">
            <v>355.17</v>
          </cell>
          <cell r="R40">
            <v>0</v>
          </cell>
          <cell r="S40">
            <v>2458.64</v>
          </cell>
          <cell r="T40">
            <v>144.72</v>
          </cell>
          <cell r="W40">
            <v>9160.7799999999988</v>
          </cell>
          <cell r="X40">
            <v>0.63790000000000002</v>
          </cell>
          <cell r="Y40">
            <v>5199.0000000000018</v>
          </cell>
          <cell r="Z40">
            <v>0.36209999999999998</v>
          </cell>
        </row>
        <row r="41">
          <cell r="A41" t="str">
            <v>426.E</v>
          </cell>
          <cell r="B41" t="str">
            <v xml:space="preserve">   TRATAMIENTO DE FISURAS</v>
          </cell>
          <cell r="C41" t="str">
            <v>m</v>
          </cell>
          <cell r="D41">
            <v>2415.12</v>
          </cell>
          <cell r="E41">
            <v>0</v>
          </cell>
          <cell r="F41">
            <v>0</v>
          </cell>
          <cell r="G41">
            <v>2415.12</v>
          </cell>
          <cell r="I41">
            <v>0</v>
          </cell>
          <cell r="J41">
            <v>0</v>
          </cell>
          <cell r="L41">
            <v>0</v>
          </cell>
          <cell r="N41">
            <v>0</v>
          </cell>
          <cell r="O41">
            <v>0</v>
          </cell>
          <cell r="P41">
            <v>0</v>
          </cell>
          <cell r="Q41">
            <v>2065</v>
          </cell>
          <cell r="R41">
            <v>0</v>
          </cell>
          <cell r="S41">
            <v>0</v>
          </cell>
          <cell r="T41">
            <v>145.30000000000001</v>
          </cell>
          <cell r="W41">
            <v>2210.3000000000002</v>
          </cell>
          <cell r="X41">
            <v>0.91520000000000001</v>
          </cell>
          <cell r="Y41">
            <v>204.81999999999971</v>
          </cell>
          <cell r="Z41">
            <v>8.4799999999999986E-2</v>
          </cell>
        </row>
        <row r="42">
          <cell r="A42" t="str">
            <v>428.B</v>
          </cell>
          <cell r="B42" t="str">
            <v xml:space="preserve">   PARCHADO SUPERFICIAL</v>
          </cell>
          <cell r="C42" t="str">
            <v>m2</v>
          </cell>
          <cell r="D42">
            <v>4195.32</v>
          </cell>
          <cell r="E42">
            <v>0</v>
          </cell>
          <cell r="F42">
            <v>0</v>
          </cell>
          <cell r="G42">
            <v>4195.32</v>
          </cell>
          <cell r="I42">
            <v>0</v>
          </cell>
          <cell r="J42">
            <v>0</v>
          </cell>
          <cell r="L42">
            <v>0</v>
          </cell>
          <cell r="N42">
            <v>0</v>
          </cell>
          <cell r="O42">
            <v>1791.86</v>
          </cell>
          <cell r="P42">
            <v>2377.4499999999998</v>
          </cell>
          <cell r="Q42">
            <v>0</v>
          </cell>
          <cell r="R42">
            <v>26.01</v>
          </cell>
          <cell r="S42">
            <v>0</v>
          </cell>
          <cell r="W42">
            <v>4195.32</v>
          </cell>
          <cell r="X42">
            <v>1</v>
          </cell>
          <cell r="Y42">
            <v>0</v>
          </cell>
          <cell r="Z42">
            <v>0</v>
          </cell>
        </row>
        <row r="43">
          <cell r="A43" t="str">
            <v>600</v>
          </cell>
          <cell r="B43" t="str">
            <v>OBRAS DE ARTE Y DRENAJE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W43" t="str">
            <v xml:space="preserve"> </v>
          </cell>
          <cell r="X43" t="str">
            <v xml:space="preserve"> </v>
          </cell>
          <cell r="Y43" t="str">
            <v xml:space="preserve"> </v>
          </cell>
          <cell r="Z43" t="str">
            <v xml:space="preserve"> </v>
          </cell>
        </row>
        <row r="44">
          <cell r="A44" t="str">
            <v>601.C</v>
          </cell>
          <cell r="B44" t="str">
            <v xml:space="preserve">   EXCAVACIÓN NO CLASIFICADA PARA ESTRUCTURAS</v>
          </cell>
          <cell r="C44" t="str">
            <v>m3</v>
          </cell>
          <cell r="D44">
            <v>17254.650000000001</v>
          </cell>
          <cell r="E44">
            <v>0</v>
          </cell>
          <cell r="F44">
            <v>0</v>
          </cell>
          <cell r="G44">
            <v>17254.650000000001</v>
          </cell>
          <cell r="I44">
            <v>166.31</v>
          </cell>
          <cell r="J44">
            <v>614.61</v>
          </cell>
          <cell r="K44">
            <v>851.1</v>
          </cell>
          <cell r="L44">
            <v>664.05</v>
          </cell>
          <cell r="M44">
            <v>388.52</v>
          </cell>
          <cell r="N44">
            <v>113.29</v>
          </cell>
          <cell r="O44">
            <v>176.32</v>
          </cell>
          <cell r="P44">
            <v>1650.55</v>
          </cell>
          <cell r="Q44">
            <v>932.44</v>
          </cell>
          <cell r="R44">
            <v>1512.15</v>
          </cell>
          <cell r="S44">
            <v>1046.93</v>
          </cell>
          <cell r="T44">
            <v>866.35</v>
          </cell>
          <cell r="W44">
            <v>8982.6200000000008</v>
          </cell>
          <cell r="X44">
            <v>0.52059999999999995</v>
          </cell>
          <cell r="Y44">
            <v>8272.0300000000007</v>
          </cell>
          <cell r="Z44">
            <v>0.47940000000000005</v>
          </cell>
        </row>
        <row r="45">
          <cell r="A45" t="str">
            <v>601.C1</v>
          </cell>
          <cell r="B45" t="str">
            <v xml:space="preserve">   EXCAVACION MANUAL PARA ESTRUCTURAS</v>
          </cell>
          <cell r="C45" t="str">
            <v>m3</v>
          </cell>
          <cell r="D45">
            <v>272</v>
          </cell>
          <cell r="G45">
            <v>272</v>
          </cell>
          <cell r="I45">
            <v>0</v>
          </cell>
          <cell r="J45">
            <v>0</v>
          </cell>
          <cell r="L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W45">
            <v>0</v>
          </cell>
          <cell r="X45">
            <v>0</v>
          </cell>
          <cell r="Y45">
            <v>272</v>
          </cell>
          <cell r="Z45">
            <v>1</v>
          </cell>
        </row>
        <row r="46">
          <cell r="A46" t="str">
            <v>601.E</v>
          </cell>
          <cell r="B46" t="str">
            <v xml:space="preserve">   LIMPIEZA Y MANTENIMIENTO DE ZANJA DE DRENAJE</v>
          </cell>
          <cell r="C46" t="str">
            <v>m3</v>
          </cell>
          <cell r="D46">
            <v>4965.63</v>
          </cell>
          <cell r="E46">
            <v>0</v>
          </cell>
          <cell r="F46">
            <v>0</v>
          </cell>
          <cell r="G46">
            <v>4965.63</v>
          </cell>
          <cell r="I46">
            <v>0</v>
          </cell>
          <cell r="J46">
            <v>0</v>
          </cell>
          <cell r="L46">
            <v>0</v>
          </cell>
          <cell r="N46">
            <v>0</v>
          </cell>
          <cell r="O46">
            <v>0</v>
          </cell>
          <cell r="P46">
            <v>63.95</v>
          </cell>
          <cell r="Q46">
            <v>0</v>
          </cell>
          <cell r="R46">
            <v>0</v>
          </cell>
          <cell r="S46">
            <v>2108.3000000000002</v>
          </cell>
          <cell r="T46">
            <v>1047.1199999999999</v>
          </cell>
          <cell r="W46">
            <v>3219.37</v>
          </cell>
          <cell r="X46">
            <v>0.64829999999999999</v>
          </cell>
          <cell r="Y46">
            <v>1746.2600000000002</v>
          </cell>
          <cell r="Z46">
            <v>0.35170000000000001</v>
          </cell>
        </row>
        <row r="47">
          <cell r="A47" t="str">
            <v>602.A</v>
          </cell>
          <cell r="B47" t="str">
            <v xml:space="preserve">   LIMPIEZA DE ALCANTARILLAS</v>
          </cell>
          <cell r="C47" t="str">
            <v>m3</v>
          </cell>
          <cell r="D47">
            <v>9.1</v>
          </cell>
          <cell r="E47">
            <v>0</v>
          </cell>
          <cell r="F47">
            <v>0</v>
          </cell>
          <cell r="G47">
            <v>9.1</v>
          </cell>
          <cell r="I47">
            <v>0</v>
          </cell>
          <cell r="J47">
            <v>0</v>
          </cell>
          <cell r="L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W47">
            <v>0</v>
          </cell>
          <cell r="X47">
            <v>0</v>
          </cell>
          <cell r="Y47">
            <v>9.1</v>
          </cell>
          <cell r="Z47">
            <v>1</v>
          </cell>
        </row>
        <row r="48">
          <cell r="A48" t="str">
            <v>605.A</v>
          </cell>
          <cell r="B48" t="str">
            <v xml:space="preserve">   RELLENO PARA ESTRUCTURAS</v>
          </cell>
          <cell r="C48" t="str">
            <v>m3</v>
          </cell>
          <cell r="D48">
            <v>6362.17</v>
          </cell>
          <cell r="E48">
            <v>0</v>
          </cell>
          <cell r="F48">
            <v>0</v>
          </cell>
          <cell r="G48">
            <v>6362.17</v>
          </cell>
          <cell r="I48">
            <v>19.79</v>
          </cell>
          <cell r="J48">
            <v>218.22</v>
          </cell>
          <cell r="K48">
            <v>571.64</v>
          </cell>
          <cell r="L48">
            <v>533.52</v>
          </cell>
          <cell r="M48">
            <v>650.64</v>
          </cell>
          <cell r="N48">
            <v>135.19</v>
          </cell>
          <cell r="O48">
            <v>202.6</v>
          </cell>
          <cell r="P48">
            <v>0</v>
          </cell>
          <cell r="Q48">
            <v>0</v>
          </cell>
          <cell r="R48">
            <v>0</v>
          </cell>
          <cell r="S48">
            <v>1051.2</v>
          </cell>
          <cell r="T48">
            <v>107.98</v>
          </cell>
          <cell r="W48">
            <v>3490.78</v>
          </cell>
          <cell r="X48">
            <v>0.54869999999999997</v>
          </cell>
          <cell r="Y48">
            <v>2871.39</v>
          </cell>
          <cell r="Z48">
            <v>0.45130000000000003</v>
          </cell>
        </row>
        <row r="49">
          <cell r="A49" t="str">
            <v>605.B</v>
          </cell>
          <cell r="B49" t="str">
            <v xml:space="preserve">   MATERIAL FILTRANTE</v>
          </cell>
          <cell r="C49" t="str">
            <v>m3</v>
          </cell>
          <cell r="D49">
            <v>378.1</v>
          </cell>
          <cell r="E49">
            <v>0</v>
          </cell>
          <cell r="F49">
            <v>0</v>
          </cell>
          <cell r="G49">
            <v>378.1</v>
          </cell>
          <cell r="I49">
            <v>0</v>
          </cell>
          <cell r="J49">
            <v>0</v>
          </cell>
          <cell r="L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162.91</v>
          </cell>
          <cell r="W49">
            <v>162.91</v>
          </cell>
          <cell r="X49">
            <v>0.43090000000000001</v>
          </cell>
          <cell r="Y49">
            <v>215.19000000000003</v>
          </cell>
          <cell r="Z49">
            <v>0.56909999999999994</v>
          </cell>
        </row>
        <row r="50">
          <cell r="A50" t="str">
            <v>610.C1</v>
          </cell>
          <cell r="B50" t="str">
            <v xml:space="preserve">   CONCRETO CLASE C1 (F´C= 245 KG/CM2)</v>
          </cell>
          <cell r="C50" t="str">
            <v>m3</v>
          </cell>
          <cell r="D50">
            <v>691.28</v>
          </cell>
          <cell r="E50">
            <v>0</v>
          </cell>
          <cell r="F50">
            <v>0</v>
          </cell>
          <cell r="G50">
            <v>691.28</v>
          </cell>
          <cell r="I50">
            <v>15.84</v>
          </cell>
          <cell r="J50">
            <v>54.15</v>
          </cell>
          <cell r="K50">
            <v>132.16</v>
          </cell>
          <cell r="L50">
            <v>103.98</v>
          </cell>
          <cell r="M50">
            <v>50</v>
          </cell>
          <cell r="N50">
            <v>96.02</v>
          </cell>
          <cell r="O50">
            <v>19.600000000000001</v>
          </cell>
          <cell r="P50">
            <v>13.37</v>
          </cell>
          <cell r="Q50">
            <v>22.82</v>
          </cell>
          <cell r="R50">
            <v>3.9</v>
          </cell>
          <cell r="S50">
            <v>29.25</v>
          </cell>
          <cell r="T50">
            <v>69.81</v>
          </cell>
          <cell r="W50">
            <v>610.89999999999986</v>
          </cell>
          <cell r="X50">
            <v>0.88370000000000004</v>
          </cell>
          <cell r="Y50">
            <v>80.380000000000109</v>
          </cell>
          <cell r="Z50">
            <v>0.11629999999999996</v>
          </cell>
        </row>
        <row r="51">
          <cell r="A51" t="str">
            <v>610.D</v>
          </cell>
          <cell r="B51" t="str">
            <v xml:space="preserve">   CONCRETO CLASE D (fc= 210 kg/cm2)</v>
          </cell>
          <cell r="C51" t="str">
            <v>m3</v>
          </cell>
          <cell r="D51">
            <v>1567.72</v>
          </cell>
          <cell r="G51">
            <v>1567.72</v>
          </cell>
          <cell r="I51">
            <v>0</v>
          </cell>
          <cell r="J51">
            <v>0</v>
          </cell>
          <cell r="K51">
            <v>37.380000000000003</v>
          </cell>
          <cell r="L51">
            <v>0</v>
          </cell>
          <cell r="M51">
            <v>0.79</v>
          </cell>
          <cell r="N51">
            <v>46.92</v>
          </cell>
          <cell r="O51">
            <v>24.42</v>
          </cell>
          <cell r="P51">
            <v>131.31</v>
          </cell>
          <cell r="Q51">
            <v>520.04</v>
          </cell>
          <cell r="R51">
            <v>490.91</v>
          </cell>
          <cell r="S51">
            <v>153.21</v>
          </cell>
          <cell r="T51">
            <v>5.95</v>
          </cell>
          <cell r="W51">
            <v>1410.93</v>
          </cell>
          <cell r="X51">
            <v>0.9</v>
          </cell>
          <cell r="Y51">
            <v>156.78999999999996</v>
          </cell>
          <cell r="Z51">
            <v>9.9999999999999978E-2</v>
          </cell>
        </row>
        <row r="52">
          <cell r="A52" t="str">
            <v>610.E1</v>
          </cell>
          <cell r="B52" t="str">
            <v xml:space="preserve">   CONCRETO CLASE E1 (fc=175 kg/cm2 + 30% PM)</v>
          </cell>
          <cell r="C52" t="str">
            <v>m3</v>
          </cell>
          <cell r="D52">
            <v>1306.0899999999999</v>
          </cell>
          <cell r="E52">
            <v>0</v>
          </cell>
          <cell r="F52">
            <v>0</v>
          </cell>
          <cell r="G52">
            <v>1306.0899999999999</v>
          </cell>
          <cell r="I52">
            <v>54.1</v>
          </cell>
          <cell r="J52">
            <v>145.18</v>
          </cell>
          <cell r="K52">
            <v>247.59</v>
          </cell>
          <cell r="L52">
            <v>232.22</v>
          </cell>
          <cell r="M52">
            <v>96.06</v>
          </cell>
          <cell r="N52">
            <v>123.56</v>
          </cell>
          <cell r="O52">
            <v>45.08</v>
          </cell>
          <cell r="P52">
            <v>66.56</v>
          </cell>
          <cell r="Q52">
            <v>21.34</v>
          </cell>
          <cell r="R52">
            <v>7.2</v>
          </cell>
          <cell r="S52">
            <v>26.19</v>
          </cell>
          <cell r="T52">
            <v>23</v>
          </cell>
          <cell r="W52">
            <v>1088.0800000000002</v>
          </cell>
          <cell r="X52">
            <v>0.83309999999999995</v>
          </cell>
          <cell r="Y52">
            <v>218.00999999999976</v>
          </cell>
          <cell r="Z52">
            <v>0.16690000000000005</v>
          </cell>
        </row>
        <row r="53">
          <cell r="A53" t="str">
            <v>610.F1</v>
          </cell>
          <cell r="B53" t="str">
            <v xml:space="preserve">   CONCRETO CLASE F1 (fc=140 kg/cm2 + 30% PM)</v>
          </cell>
          <cell r="C53" t="str">
            <v>m3</v>
          </cell>
          <cell r="D53">
            <v>20.149999999999999</v>
          </cell>
          <cell r="E53">
            <v>0</v>
          </cell>
          <cell r="F53">
            <v>0</v>
          </cell>
          <cell r="G53">
            <v>20.149999999999999</v>
          </cell>
          <cell r="I53">
            <v>0</v>
          </cell>
          <cell r="J53">
            <v>0</v>
          </cell>
          <cell r="K53">
            <v>14.37</v>
          </cell>
          <cell r="L53">
            <v>0</v>
          </cell>
          <cell r="M53">
            <v>-7.72</v>
          </cell>
          <cell r="N53">
            <v>0</v>
          </cell>
          <cell r="O53">
            <v>0</v>
          </cell>
          <cell r="P53">
            <v>7.0000000000000007E-2</v>
          </cell>
          <cell r="Q53">
            <v>0</v>
          </cell>
          <cell r="R53">
            <v>0</v>
          </cell>
          <cell r="S53">
            <v>0</v>
          </cell>
          <cell r="W53">
            <v>6.72</v>
          </cell>
          <cell r="X53">
            <v>0.33350000000000002</v>
          </cell>
          <cell r="Y53">
            <v>13.43</v>
          </cell>
          <cell r="Z53">
            <v>0.66649999999999998</v>
          </cell>
        </row>
        <row r="54">
          <cell r="A54" t="str">
            <v>610.H</v>
          </cell>
          <cell r="B54" t="str">
            <v xml:space="preserve">   CONCRETO CLASE H (fc=100 kg/cm2)</v>
          </cell>
          <cell r="C54" t="str">
            <v>m3</v>
          </cell>
          <cell r="D54">
            <v>258.33999999999997</v>
          </cell>
          <cell r="E54">
            <v>0</v>
          </cell>
          <cell r="F54">
            <v>0</v>
          </cell>
          <cell r="G54">
            <v>258.33999999999997</v>
          </cell>
          <cell r="I54">
            <v>4.63</v>
          </cell>
          <cell r="J54">
            <v>14.61</v>
          </cell>
          <cell r="K54">
            <v>24.69</v>
          </cell>
          <cell r="L54">
            <v>10.54</v>
          </cell>
          <cell r="M54">
            <v>15.68</v>
          </cell>
          <cell r="N54">
            <v>13.13</v>
          </cell>
          <cell r="O54">
            <v>5.8</v>
          </cell>
          <cell r="P54">
            <v>34.32</v>
          </cell>
          <cell r="Q54">
            <v>60.05</v>
          </cell>
          <cell r="R54">
            <v>42.5</v>
          </cell>
          <cell r="S54">
            <v>4.95</v>
          </cell>
          <cell r="T54">
            <v>6.85</v>
          </cell>
          <cell r="W54">
            <v>237.74999999999997</v>
          </cell>
          <cell r="X54">
            <v>0.92030000000000001</v>
          </cell>
          <cell r="Y54">
            <v>20.590000000000003</v>
          </cell>
          <cell r="Z54">
            <v>7.9699999999999993E-2</v>
          </cell>
        </row>
        <row r="55">
          <cell r="A55" t="str">
            <v>612.A</v>
          </cell>
          <cell r="B55" t="str">
            <v xml:space="preserve">   ENCOFRADO Y DESENCOFRADO</v>
          </cell>
          <cell r="C55" t="str">
            <v>m2</v>
          </cell>
          <cell r="D55">
            <v>12051.01</v>
          </cell>
          <cell r="E55">
            <v>0</v>
          </cell>
          <cell r="F55">
            <v>0</v>
          </cell>
          <cell r="G55">
            <v>12051.01</v>
          </cell>
          <cell r="I55">
            <v>242.11</v>
          </cell>
          <cell r="J55">
            <v>875.95</v>
          </cell>
          <cell r="K55">
            <v>1766.59</v>
          </cell>
          <cell r="L55">
            <v>706.7</v>
          </cell>
          <cell r="M55">
            <v>1069.8399999999999</v>
          </cell>
          <cell r="N55">
            <v>858.47</v>
          </cell>
          <cell r="O55">
            <v>429.98</v>
          </cell>
          <cell r="P55">
            <v>426.61</v>
          </cell>
          <cell r="Q55">
            <v>515.83000000000004</v>
          </cell>
          <cell r="R55">
            <v>1892.84</v>
          </cell>
          <cell r="S55">
            <v>1246.77</v>
          </cell>
          <cell r="T55">
            <v>396.01</v>
          </cell>
          <cell r="W55">
            <v>10427.699999999999</v>
          </cell>
          <cell r="X55">
            <v>0.86529999999999996</v>
          </cell>
          <cell r="Y55">
            <v>1623.3100000000013</v>
          </cell>
          <cell r="Z55">
            <v>0.13470000000000004</v>
          </cell>
        </row>
        <row r="56">
          <cell r="A56" t="str">
            <v>615.A</v>
          </cell>
          <cell r="B56" t="str">
            <v xml:space="preserve">   ACERO DE REFUERZO fy=4200 kg/cm2</v>
          </cell>
          <cell r="C56" t="str">
            <v>kg</v>
          </cell>
          <cell r="D56">
            <v>135445.56</v>
          </cell>
          <cell r="E56">
            <v>0</v>
          </cell>
          <cell r="F56">
            <v>0</v>
          </cell>
          <cell r="G56">
            <v>135445.56</v>
          </cell>
          <cell r="I56">
            <v>2642.4</v>
          </cell>
          <cell r="J56">
            <v>5623.39</v>
          </cell>
          <cell r="K56">
            <v>11886.44</v>
          </cell>
          <cell r="L56">
            <v>6992.2</v>
          </cell>
          <cell r="M56">
            <v>9910.02</v>
          </cell>
          <cell r="N56">
            <v>6441.85</v>
          </cell>
          <cell r="O56">
            <v>1832.78</v>
          </cell>
          <cell r="P56">
            <v>10153.959999999999</v>
          </cell>
          <cell r="Q56">
            <v>28960.04</v>
          </cell>
          <cell r="R56">
            <v>23931.77</v>
          </cell>
          <cell r="S56">
            <v>8056.56</v>
          </cell>
          <cell r="T56">
            <v>7417.78</v>
          </cell>
          <cell r="W56">
            <v>123849.19</v>
          </cell>
          <cell r="X56">
            <v>0.91439999999999999</v>
          </cell>
          <cell r="Y56">
            <v>11596.369999999995</v>
          </cell>
          <cell r="Z56">
            <v>8.5600000000000009E-2</v>
          </cell>
        </row>
        <row r="57">
          <cell r="A57" t="str">
            <v>622.B</v>
          </cell>
          <cell r="B57" t="str">
            <v xml:space="preserve">   TUBERÍA CORRUGADA DE ACERO GALVANIZADO CIRCULAR DE 0.90 m. DIAM.</v>
          </cell>
          <cell r="C57" t="str">
            <v>m</v>
          </cell>
          <cell r="D57">
            <v>110.55</v>
          </cell>
          <cell r="E57">
            <v>0</v>
          </cell>
          <cell r="F57">
            <v>0</v>
          </cell>
          <cell r="G57">
            <v>110.55</v>
          </cell>
          <cell r="I57">
            <v>0</v>
          </cell>
          <cell r="J57">
            <v>11.34</v>
          </cell>
          <cell r="K57">
            <v>33.270000000000003</v>
          </cell>
          <cell r="L57">
            <v>18.57</v>
          </cell>
          <cell r="M57">
            <v>14.16</v>
          </cell>
          <cell r="N57">
            <v>0</v>
          </cell>
          <cell r="O57">
            <v>0</v>
          </cell>
          <cell r="P57">
            <v>8.08</v>
          </cell>
          <cell r="Q57">
            <v>0</v>
          </cell>
          <cell r="R57">
            <v>0</v>
          </cell>
          <cell r="S57">
            <v>0</v>
          </cell>
          <cell r="W57">
            <v>85.42</v>
          </cell>
          <cell r="X57">
            <v>0.77270000000000005</v>
          </cell>
          <cell r="Y57">
            <v>25.129999999999995</v>
          </cell>
          <cell r="Z57">
            <v>0.22729999999999995</v>
          </cell>
        </row>
        <row r="58">
          <cell r="A58" t="str">
            <v>625.B1</v>
          </cell>
          <cell r="B58" t="str">
            <v xml:space="preserve">   TUBERIA DE PVC D=6"</v>
          </cell>
          <cell r="C58" t="str">
            <v>m</v>
          </cell>
          <cell r="D58">
            <v>46.8</v>
          </cell>
          <cell r="E58">
            <v>0</v>
          </cell>
          <cell r="F58">
            <v>0</v>
          </cell>
          <cell r="G58">
            <v>46.8</v>
          </cell>
          <cell r="I58">
            <v>0</v>
          </cell>
          <cell r="J58">
            <v>0</v>
          </cell>
          <cell r="L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46.8</v>
          </cell>
          <cell r="W58">
            <v>46.8</v>
          </cell>
          <cell r="X58">
            <v>1</v>
          </cell>
          <cell r="Y58">
            <v>0</v>
          </cell>
          <cell r="Z58">
            <v>0</v>
          </cell>
        </row>
        <row r="59">
          <cell r="A59" t="str">
            <v>625.C</v>
          </cell>
          <cell r="B59" t="str">
            <v xml:space="preserve">   TUBERIA PERFORADA DE PVC D=6" PARA MUROS</v>
          </cell>
          <cell r="C59" t="str">
            <v>m</v>
          </cell>
          <cell r="D59">
            <v>360</v>
          </cell>
          <cell r="G59">
            <v>360</v>
          </cell>
          <cell r="I59">
            <v>0</v>
          </cell>
          <cell r="J59">
            <v>0</v>
          </cell>
          <cell r="L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360</v>
          </cell>
          <cell r="W59">
            <v>360</v>
          </cell>
          <cell r="X59">
            <v>1</v>
          </cell>
          <cell r="Y59">
            <v>0</v>
          </cell>
          <cell r="Z59">
            <v>0</v>
          </cell>
        </row>
        <row r="60">
          <cell r="A60" t="str">
            <v>625.E</v>
          </cell>
          <cell r="B60" t="str">
            <v xml:space="preserve">   TUBERIA HDPE  DE 10" CLASE 15</v>
          </cell>
          <cell r="C60" t="str">
            <v>m</v>
          </cell>
          <cell r="D60">
            <v>20.2</v>
          </cell>
          <cell r="E60">
            <v>0</v>
          </cell>
          <cell r="F60">
            <v>0</v>
          </cell>
          <cell r="G60">
            <v>20.2</v>
          </cell>
          <cell r="I60">
            <v>0</v>
          </cell>
          <cell r="J60">
            <v>0</v>
          </cell>
          <cell r="L60">
            <v>0</v>
          </cell>
          <cell r="M60">
            <v>20.2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W60">
            <v>20.2</v>
          </cell>
          <cell r="X60">
            <v>1</v>
          </cell>
          <cell r="Y60">
            <v>0</v>
          </cell>
          <cell r="Z60">
            <v>0</v>
          </cell>
        </row>
        <row r="61">
          <cell r="A61" t="str">
            <v>635.A1</v>
          </cell>
          <cell r="B61" t="str">
            <v xml:space="preserve">   CUNETAS REVESTIDAS EN CONCRETO_TRIANGULARES</v>
          </cell>
          <cell r="C61" t="str">
            <v>m</v>
          </cell>
          <cell r="D61">
            <v>1100</v>
          </cell>
          <cell r="E61">
            <v>0</v>
          </cell>
          <cell r="F61">
            <v>0</v>
          </cell>
          <cell r="G61">
            <v>1100</v>
          </cell>
          <cell r="I61">
            <v>0</v>
          </cell>
          <cell r="J61">
            <v>0</v>
          </cell>
          <cell r="L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W61">
            <v>0</v>
          </cell>
          <cell r="X61">
            <v>0</v>
          </cell>
          <cell r="Y61">
            <v>1100</v>
          </cell>
          <cell r="Z61">
            <v>1</v>
          </cell>
        </row>
        <row r="62">
          <cell r="A62" t="str">
            <v>635.A2</v>
          </cell>
          <cell r="B62" t="str">
            <v xml:space="preserve">   CUNETAS REVESTIDAS EN CONCRETO_TRAPEZOIDAL</v>
          </cell>
          <cell r="C62" t="str">
            <v>m</v>
          </cell>
          <cell r="D62">
            <v>3477</v>
          </cell>
          <cell r="E62">
            <v>0</v>
          </cell>
          <cell r="F62">
            <v>0</v>
          </cell>
          <cell r="G62">
            <v>3477</v>
          </cell>
          <cell r="I62">
            <v>0</v>
          </cell>
          <cell r="J62">
            <v>0</v>
          </cell>
          <cell r="L62">
            <v>0</v>
          </cell>
          <cell r="N62">
            <v>0</v>
          </cell>
          <cell r="O62">
            <v>400.52</v>
          </cell>
          <cell r="P62">
            <v>589.05999999999995</v>
          </cell>
          <cell r="Q62">
            <v>0</v>
          </cell>
          <cell r="R62">
            <v>264.33</v>
          </cell>
          <cell r="S62">
            <v>0</v>
          </cell>
          <cell r="T62">
            <v>183.08</v>
          </cell>
          <cell r="W62">
            <v>1436.9899999999998</v>
          </cell>
          <cell r="X62">
            <v>0.4133</v>
          </cell>
          <cell r="Y62">
            <v>2040.0100000000002</v>
          </cell>
          <cell r="Z62">
            <v>0.5867</v>
          </cell>
        </row>
        <row r="63">
          <cell r="A63" t="str">
            <v>638.A</v>
          </cell>
          <cell r="B63" t="str">
            <v xml:space="preserve">   SARDINEL PERALTADO</v>
          </cell>
          <cell r="C63" t="str">
            <v>m</v>
          </cell>
          <cell r="D63">
            <v>2160.4899999999998</v>
          </cell>
          <cell r="E63">
            <v>0</v>
          </cell>
          <cell r="F63">
            <v>0</v>
          </cell>
          <cell r="G63">
            <v>2160.4899999999998</v>
          </cell>
          <cell r="I63">
            <v>0</v>
          </cell>
          <cell r="J63">
            <v>0</v>
          </cell>
          <cell r="L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265.62</v>
          </cell>
          <cell r="W63">
            <v>265.62</v>
          </cell>
          <cell r="X63">
            <v>0.1229</v>
          </cell>
          <cell r="Y63">
            <v>1894.87</v>
          </cell>
          <cell r="Z63">
            <v>0.87709999999999999</v>
          </cell>
        </row>
        <row r="64">
          <cell r="A64" t="str">
            <v>639.B</v>
          </cell>
          <cell r="B64" t="str">
            <v xml:space="preserve">   PASE PEATONAL</v>
          </cell>
          <cell r="C64" t="str">
            <v>u</v>
          </cell>
          <cell r="D64">
            <v>218</v>
          </cell>
          <cell r="E64">
            <v>0</v>
          </cell>
          <cell r="F64">
            <v>0</v>
          </cell>
          <cell r="G64">
            <v>218</v>
          </cell>
          <cell r="I64">
            <v>0</v>
          </cell>
          <cell r="J64">
            <v>0</v>
          </cell>
          <cell r="L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218</v>
          </cell>
          <cell r="S64">
            <v>0</v>
          </cell>
          <cell r="W64">
            <v>218</v>
          </cell>
          <cell r="X64">
            <v>1</v>
          </cell>
          <cell r="Y64">
            <v>0</v>
          </cell>
          <cell r="Z64">
            <v>0</v>
          </cell>
        </row>
        <row r="65">
          <cell r="A65" t="str">
            <v>640.A</v>
          </cell>
          <cell r="B65" t="str">
            <v xml:space="preserve">   EMBOQUILLADO DE PIEDRA E=0.15 m</v>
          </cell>
          <cell r="C65" t="str">
            <v>m2</v>
          </cell>
          <cell r="D65">
            <v>5126.54</v>
          </cell>
          <cell r="E65">
            <v>0</v>
          </cell>
          <cell r="F65">
            <v>0</v>
          </cell>
          <cell r="G65">
            <v>5126.54</v>
          </cell>
          <cell r="I65">
            <v>0</v>
          </cell>
          <cell r="J65">
            <v>0</v>
          </cell>
          <cell r="L65">
            <v>0</v>
          </cell>
          <cell r="N65">
            <v>0</v>
          </cell>
          <cell r="O65">
            <v>4.2</v>
          </cell>
          <cell r="P65">
            <v>0</v>
          </cell>
          <cell r="Q65">
            <v>98.28</v>
          </cell>
          <cell r="R65">
            <v>1506.96</v>
          </cell>
          <cell r="S65">
            <v>803.88</v>
          </cell>
          <cell r="T65">
            <v>10.08</v>
          </cell>
          <cell r="W65">
            <v>2423.4</v>
          </cell>
          <cell r="X65">
            <v>0.47270000000000001</v>
          </cell>
          <cell r="Y65">
            <v>2703.14</v>
          </cell>
          <cell r="Z65">
            <v>0.52729999999999999</v>
          </cell>
        </row>
        <row r="66">
          <cell r="A66" t="str">
            <v>640.B</v>
          </cell>
          <cell r="B66" t="str">
            <v xml:space="preserve">   EMBOQUILLADO DE PIEDRA E=0.20m</v>
          </cell>
          <cell r="C66" t="str">
            <v>m2</v>
          </cell>
          <cell r="D66">
            <v>962.49</v>
          </cell>
          <cell r="E66">
            <v>0</v>
          </cell>
          <cell r="F66">
            <v>0</v>
          </cell>
          <cell r="G66">
            <v>962.49</v>
          </cell>
          <cell r="I66">
            <v>0</v>
          </cell>
          <cell r="J66">
            <v>0</v>
          </cell>
          <cell r="L66">
            <v>0</v>
          </cell>
          <cell r="M66">
            <v>16.5</v>
          </cell>
          <cell r="N66">
            <v>66</v>
          </cell>
          <cell r="O66">
            <v>161.44</v>
          </cell>
          <cell r="P66">
            <v>0</v>
          </cell>
          <cell r="Q66">
            <v>47.73</v>
          </cell>
          <cell r="R66">
            <v>0</v>
          </cell>
          <cell r="S66">
            <v>0</v>
          </cell>
          <cell r="W66">
            <v>291.67</v>
          </cell>
          <cell r="X66">
            <v>0.30299999999999999</v>
          </cell>
          <cell r="Y66">
            <v>670.81999999999994</v>
          </cell>
          <cell r="Z66">
            <v>0.69700000000000006</v>
          </cell>
        </row>
        <row r="67">
          <cell r="A67" t="str">
            <v>650.H</v>
          </cell>
          <cell r="B67" t="str">
            <v xml:space="preserve">   GEOTEXTIL NO TEJIDO CLASE 2</v>
          </cell>
          <cell r="C67" t="str">
            <v>m2</v>
          </cell>
          <cell r="D67">
            <v>15731.6</v>
          </cell>
          <cell r="E67">
            <v>0</v>
          </cell>
          <cell r="F67">
            <v>0</v>
          </cell>
          <cell r="G67">
            <v>15731.6</v>
          </cell>
          <cell r="I67">
            <v>0</v>
          </cell>
          <cell r="J67">
            <v>0</v>
          </cell>
          <cell r="L67">
            <v>0</v>
          </cell>
          <cell r="N67">
            <v>0</v>
          </cell>
          <cell r="O67">
            <v>15050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W67">
            <v>15050</v>
          </cell>
          <cell r="X67">
            <v>0.95669999999999999</v>
          </cell>
          <cell r="Y67">
            <v>681.60000000000036</v>
          </cell>
          <cell r="Z67">
            <v>4.3300000000000005E-2</v>
          </cell>
        </row>
        <row r="68">
          <cell r="A68" t="str">
            <v>653.A</v>
          </cell>
          <cell r="B68" t="str">
            <v xml:space="preserve">   PINTADO DE ESTRUCTURA METÁLICA.</v>
          </cell>
          <cell r="C68" t="str">
            <v>m2</v>
          </cell>
          <cell r="D68">
            <v>1309.76</v>
          </cell>
          <cell r="E68">
            <v>0</v>
          </cell>
          <cell r="F68">
            <v>0</v>
          </cell>
          <cell r="G68">
            <v>1309.76</v>
          </cell>
          <cell r="I68">
            <v>0</v>
          </cell>
          <cell r="J68">
            <v>0</v>
          </cell>
          <cell r="L68">
            <v>0</v>
          </cell>
          <cell r="N68">
            <v>0</v>
          </cell>
          <cell r="O68">
            <v>0</v>
          </cell>
          <cell r="P68">
            <v>0</v>
          </cell>
          <cell r="Q68">
            <v>205.99</v>
          </cell>
          <cell r="R68">
            <v>1103.76</v>
          </cell>
          <cell r="S68">
            <v>0</v>
          </cell>
          <cell r="W68">
            <v>1309.75</v>
          </cell>
          <cell r="X68">
            <v>1</v>
          </cell>
          <cell r="Y68">
            <v>9.9999999999909051E-3</v>
          </cell>
          <cell r="Z68">
            <v>0</v>
          </cell>
        </row>
        <row r="69">
          <cell r="A69" t="str">
            <v>654.A</v>
          </cell>
          <cell r="B69" t="str">
            <v xml:space="preserve">   CANAL RECTANGULAR DE CONCRETO (0.40 mx0.60m)</v>
          </cell>
          <cell r="C69" t="str">
            <v>m</v>
          </cell>
          <cell r="D69">
            <v>80</v>
          </cell>
          <cell r="G69">
            <v>80</v>
          </cell>
          <cell r="I69">
            <v>0</v>
          </cell>
          <cell r="J69">
            <v>0</v>
          </cell>
          <cell r="L69">
            <v>80</v>
          </cell>
          <cell r="M69">
            <v>-3.22</v>
          </cell>
          <cell r="N69">
            <v>0</v>
          </cell>
          <cell r="O69">
            <v>0</v>
          </cell>
          <cell r="P69">
            <v>2.0299999999999998</v>
          </cell>
          <cell r="Q69">
            <v>0</v>
          </cell>
          <cell r="R69">
            <v>0</v>
          </cell>
          <cell r="S69">
            <v>0</v>
          </cell>
          <cell r="W69">
            <v>78.81</v>
          </cell>
          <cell r="X69">
            <v>0.98509999999999998</v>
          </cell>
          <cell r="Y69">
            <v>1.1899999999999977</v>
          </cell>
          <cell r="Z69">
            <v>1.4900000000000024E-2</v>
          </cell>
        </row>
        <row r="70">
          <cell r="A70" t="str">
            <v>654.B</v>
          </cell>
          <cell r="B70" t="str">
            <v xml:space="preserve">   CANAL RECTANGULAR DE CONCRETO (0.60 mx0.80m)</v>
          </cell>
          <cell r="C70" t="str">
            <v>m</v>
          </cell>
          <cell r="D70">
            <v>1164.5999999999999</v>
          </cell>
          <cell r="G70">
            <v>1164.5999999999999</v>
          </cell>
          <cell r="I70">
            <v>0</v>
          </cell>
          <cell r="J70">
            <v>0</v>
          </cell>
          <cell r="L70">
            <v>0</v>
          </cell>
          <cell r="N70">
            <v>0</v>
          </cell>
          <cell r="O70">
            <v>58.34</v>
          </cell>
          <cell r="P70">
            <v>260.92</v>
          </cell>
          <cell r="Q70">
            <v>292.45999999999998</v>
          </cell>
          <cell r="R70">
            <v>322.88</v>
          </cell>
          <cell r="S70">
            <v>0</v>
          </cell>
          <cell r="W70">
            <v>934.6</v>
          </cell>
          <cell r="X70">
            <v>0.80249999999999999</v>
          </cell>
          <cell r="Y70">
            <v>229.99999999999989</v>
          </cell>
          <cell r="Z70">
            <v>0.19750000000000001</v>
          </cell>
        </row>
        <row r="71">
          <cell r="A71" t="str">
            <v>654.C</v>
          </cell>
          <cell r="B71" t="str">
            <v xml:space="preserve">   CANAL RECTANGULAR DE CONCRETO (1.20 mx0.80m)</v>
          </cell>
          <cell r="C71" t="str">
            <v>m</v>
          </cell>
          <cell r="D71">
            <v>198.9</v>
          </cell>
          <cell r="E71">
            <v>0</v>
          </cell>
          <cell r="F71">
            <v>0</v>
          </cell>
          <cell r="G71">
            <v>198.9</v>
          </cell>
          <cell r="I71">
            <v>0</v>
          </cell>
          <cell r="J71">
            <v>0</v>
          </cell>
          <cell r="L71">
            <v>0</v>
          </cell>
          <cell r="N71">
            <v>0</v>
          </cell>
          <cell r="O71">
            <v>0</v>
          </cell>
          <cell r="P71">
            <v>187.98</v>
          </cell>
          <cell r="Q71">
            <v>0</v>
          </cell>
          <cell r="R71">
            <v>3.22</v>
          </cell>
          <cell r="S71">
            <v>0</v>
          </cell>
          <cell r="W71">
            <v>191.2</v>
          </cell>
          <cell r="X71">
            <v>0.96130000000000004</v>
          </cell>
          <cell r="Y71">
            <v>7.7000000000000171</v>
          </cell>
          <cell r="Z71">
            <v>3.8699999999999957E-2</v>
          </cell>
        </row>
        <row r="72">
          <cell r="A72" t="str">
            <v>654.D</v>
          </cell>
          <cell r="B72" t="str">
            <v xml:space="preserve">   CANAL TRAPEZOIDAL DE CONCRETO (1.60 mx0.80m)</v>
          </cell>
          <cell r="C72" t="str">
            <v>m</v>
          </cell>
          <cell r="D72">
            <v>4940</v>
          </cell>
          <cell r="E72">
            <v>0</v>
          </cell>
          <cell r="F72">
            <v>0</v>
          </cell>
          <cell r="G72">
            <v>4940</v>
          </cell>
          <cell r="I72">
            <v>0</v>
          </cell>
          <cell r="J72">
            <v>0</v>
          </cell>
          <cell r="K72">
            <v>125.82</v>
          </cell>
          <cell r="L72">
            <v>316.68</v>
          </cell>
          <cell r="M72">
            <v>922.64</v>
          </cell>
          <cell r="N72">
            <v>811.86</v>
          </cell>
          <cell r="O72">
            <v>0</v>
          </cell>
          <cell r="P72">
            <v>110.4</v>
          </cell>
          <cell r="Q72">
            <v>0</v>
          </cell>
          <cell r="R72">
            <v>147.26</v>
          </cell>
          <cell r="S72">
            <v>462.07</v>
          </cell>
          <cell r="W72">
            <v>2896.73</v>
          </cell>
          <cell r="X72">
            <v>0.58640000000000003</v>
          </cell>
          <cell r="Y72">
            <v>2043.27</v>
          </cell>
          <cell r="Z72">
            <v>0.41359999999999997</v>
          </cell>
        </row>
        <row r="73">
          <cell r="A73" t="str">
            <v>654.E</v>
          </cell>
          <cell r="B73" t="str">
            <v xml:space="preserve">   CANAL TRAPEZOIDAL DE CONCRETO (1.50 mx1.00m)</v>
          </cell>
          <cell r="C73" t="str">
            <v>m</v>
          </cell>
          <cell r="D73">
            <v>1097</v>
          </cell>
          <cell r="G73">
            <v>1097</v>
          </cell>
          <cell r="I73">
            <v>0</v>
          </cell>
          <cell r="J73">
            <v>0</v>
          </cell>
          <cell r="L73">
            <v>0</v>
          </cell>
          <cell r="N73">
            <v>0</v>
          </cell>
          <cell r="O73">
            <v>0</v>
          </cell>
          <cell r="P73">
            <v>502.42</v>
          </cell>
          <cell r="Q73">
            <v>393.98</v>
          </cell>
          <cell r="R73">
            <v>200.6</v>
          </cell>
          <cell r="S73">
            <v>0</v>
          </cell>
          <cell r="W73">
            <v>1097</v>
          </cell>
          <cell r="X73">
            <v>1</v>
          </cell>
          <cell r="Y73">
            <v>0</v>
          </cell>
          <cell r="Z73">
            <v>0</v>
          </cell>
        </row>
        <row r="74">
          <cell r="A74" t="str">
            <v>654.F</v>
          </cell>
          <cell r="B74" t="str">
            <v xml:space="preserve">   CANAL TRAPEZOIDAL DE MAMPOSTERIA DE CONCRETO (0.75mx0.45m)</v>
          </cell>
          <cell r="C74" t="str">
            <v>m</v>
          </cell>
          <cell r="D74">
            <v>300</v>
          </cell>
          <cell r="G74">
            <v>300</v>
          </cell>
          <cell r="I74">
            <v>0</v>
          </cell>
          <cell r="J74">
            <v>0</v>
          </cell>
          <cell r="L74">
            <v>0</v>
          </cell>
          <cell r="N74">
            <v>284.95</v>
          </cell>
          <cell r="O74">
            <v>0</v>
          </cell>
          <cell r="P74">
            <v>0</v>
          </cell>
          <cell r="Q74">
            <v>0</v>
          </cell>
          <cell r="R74">
            <v>15.05</v>
          </cell>
          <cell r="S74">
            <v>0</v>
          </cell>
          <cell r="W74">
            <v>300</v>
          </cell>
          <cell r="X74">
            <v>1</v>
          </cell>
          <cell r="Y74">
            <v>0</v>
          </cell>
          <cell r="Z74">
            <v>0</v>
          </cell>
        </row>
        <row r="75">
          <cell r="A75" t="str">
            <v>655.A</v>
          </cell>
          <cell r="B75" t="str">
            <v xml:space="preserve">   JUNTA PARA MUROS</v>
          </cell>
          <cell r="C75" t="str">
            <v>m2</v>
          </cell>
          <cell r="D75">
            <v>259.52</v>
          </cell>
          <cell r="E75">
            <v>0</v>
          </cell>
          <cell r="F75">
            <v>0</v>
          </cell>
          <cell r="G75">
            <v>259.52</v>
          </cell>
          <cell r="I75">
            <v>0</v>
          </cell>
          <cell r="J75">
            <v>0</v>
          </cell>
          <cell r="L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W75">
            <v>0</v>
          </cell>
          <cell r="X75">
            <v>0</v>
          </cell>
          <cell r="Y75">
            <v>259.52</v>
          </cell>
          <cell r="Z75">
            <v>1</v>
          </cell>
        </row>
        <row r="76">
          <cell r="A76" t="str">
            <v>656.A</v>
          </cell>
          <cell r="B76" t="str">
            <v xml:space="preserve">   POZA DE SEDIMENTACIÓN</v>
          </cell>
          <cell r="C76" t="str">
            <v>m</v>
          </cell>
          <cell r="D76">
            <v>12</v>
          </cell>
          <cell r="E76">
            <v>0</v>
          </cell>
          <cell r="F76">
            <v>0</v>
          </cell>
          <cell r="G76">
            <v>12</v>
          </cell>
          <cell r="I76">
            <v>0</v>
          </cell>
          <cell r="J76">
            <v>0</v>
          </cell>
          <cell r="L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W76">
            <v>0</v>
          </cell>
          <cell r="X76">
            <v>0</v>
          </cell>
          <cell r="Y76">
            <v>12</v>
          </cell>
          <cell r="Z76">
            <v>1</v>
          </cell>
        </row>
        <row r="77">
          <cell r="A77" t="str">
            <v>657.A</v>
          </cell>
          <cell r="B77" t="str">
            <v xml:space="preserve">   PINTADO DE PARAPETOS EN ALCANTARILLAS</v>
          </cell>
          <cell r="C77" t="str">
            <v>m2</v>
          </cell>
          <cell r="D77">
            <v>1123.45</v>
          </cell>
          <cell r="E77">
            <v>0</v>
          </cell>
          <cell r="F77">
            <v>0</v>
          </cell>
          <cell r="G77">
            <v>1123.45</v>
          </cell>
          <cell r="I77">
            <v>0</v>
          </cell>
          <cell r="J77">
            <v>0</v>
          </cell>
          <cell r="L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W77">
            <v>0</v>
          </cell>
          <cell r="X77">
            <v>0</v>
          </cell>
          <cell r="Y77">
            <v>1123.45</v>
          </cell>
          <cell r="Z77">
            <v>1</v>
          </cell>
        </row>
        <row r="78">
          <cell r="A78" t="str">
            <v>700</v>
          </cell>
          <cell r="B78" t="str">
            <v>TRANSPORTES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W78" t="str">
            <v xml:space="preserve"> </v>
          </cell>
          <cell r="X78" t="str">
            <v xml:space="preserve"> </v>
          </cell>
          <cell r="Y78" t="str">
            <v xml:space="preserve"> </v>
          </cell>
          <cell r="Z78" t="str">
            <v xml:space="preserve"> </v>
          </cell>
        </row>
        <row r="79">
          <cell r="A79" t="str">
            <v>700.A</v>
          </cell>
          <cell r="B79" t="str">
            <v xml:space="preserve">   TRANSPORTE DE MATERIAL GRANULAR HASTA 1 KM</v>
          </cell>
          <cell r="C79" t="str">
            <v>m3k</v>
          </cell>
          <cell r="D79">
            <v>205363.79</v>
          </cell>
          <cell r="E79">
            <v>0</v>
          </cell>
          <cell r="F79">
            <v>0</v>
          </cell>
          <cell r="G79">
            <v>205363.79</v>
          </cell>
          <cell r="I79">
            <v>23370.19</v>
          </cell>
          <cell r="J79">
            <v>37532.6</v>
          </cell>
          <cell r="K79">
            <v>32425.13</v>
          </cell>
          <cell r="L79">
            <v>18350.580000000002</v>
          </cell>
          <cell r="M79">
            <v>34028.94</v>
          </cell>
          <cell r="N79">
            <v>12131.42</v>
          </cell>
          <cell r="O79">
            <v>7020.07</v>
          </cell>
          <cell r="P79">
            <v>2862.85</v>
          </cell>
          <cell r="Q79">
            <v>13482.97</v>
          </cell>
          <cell r="R79">
            <v>18123.18</v>
          </cell>
          <cell r="S79">
            <v>6035.86</v>
          </cell>
          <cell r="W79">
            <v>205363.79</v>
          </cell>
          <cell r="X79">
            <v>1</v>
          </cell>
          <cell r="Y79">
            <v>0</v>
          </cell>
          <cell r="Z79">
            <v>0</v>
          </cell>
        </row>
        <row r="80">
          <cell r="A80" t="str">
            <v>700.B</v>
          </cell>
          <cell r="B80" t="str">
            <v xml:space="preserve">   TRANSPORTE DE MATERIAL GRANULAR DESPUES DE 1 KM</v>
          </cell>
          <cell r="C80" t="str">
            <v>m3k</v>
          </cell>
          <cell r="D80">
            <v>3045004.33</v>
          </cell>
          <cell r="E80">
            <v>0</v>
          </cell>
          <cell r="F80">
            <v>0</v>
          </cell>
          <cell r="G80">
            <v>3045004.33</v>
          </cell>
          <cell r="I80">
            <v>281920.64000000001</v>
          </cell>
          <cell r="J80">
            <v>751652.11</v>
          </cell>
          <cell r="K80">
            <v>685836.21</v>
          </cell>
          <cell r="L80">
            <v>295089.93</v>
          </cell>
          <cell r="M80">
            <v>304983.34999999998</v>
          </cell>
          <cell r="N80">
            <v>72822.740000000005</v>
          </cell>
          <cell r="O80">
            <v>38351.57</v>
          </cell>
          <cell r="P80">
            <v>-4016.45</v>
          </cell>
          <cell r="Q80">
            <v>157734.5</v>
          </cell>
          <cell r="R80">
            <v>187296.79</v>
          </cell>
          <cell r="S80">
            <v>43193.57</v>
          </cell>
          <cell r="T80">
            <v>125014.39</v>
          </cell>
          <cell r="W80">
            <v>2939879.3499999996</v>
          </cell>
          <cell r="X80">
            <v>0.96550000000000002</v>
          </cell>
          <cell r="Y80">
            <v>105124.98000000045</v>
          </cell>
          <cell r="Z80">
            <v>3.4499999999999975E-2</v>
          </cell>
        </row>
        <row r="81">
          <cell r="A81" t="str">
            <v>700.C</v>
          </cell>
          <cell r="B81" t="str">
            <v xml:space="preserve">   TRANSPORTE DE MATERIAL A ELIMINAR HASTA 1 KM</v>
          </cell>
          <cell r="C81" t="str">
            <v>m3k</v>
          </cell>
          <cell r="D81">
            <v>29173.59</v>
          </cell>
          <cell r="E81">
            <v>0</v>
          </cell>
          <cell r="F81">
            <v>0</v>
          </cell>
          <cell r="G81">
            <v>29173.59</v>
          </cell>
          <cell r="I81">
            <v>12218.72</v>
          </cell>
          <cell r="J81">
            <v>6667.76</v>
          </cell>
          <cell r="K81">
            <v>5345.24</v>
          </cell>
          <cell r="L81">
            <v>4941.87</v>
          </cell>
          <cell r="N81">
            <v>0</v>
          </cell>
          <cell r="O81">
            <v>0</v>
          </cell>
          <cell r="P81">
            <v>0</v>
          </cell>
          <cell r="Q81">
            <v>-796.38</v>
          </cell>
          <cell r="R81">
            <v>796.38</v>
          </cell>
          <cell r="S81">
            <v>0</v>
          </cell>
          <cell r="W81">
            <v>29173.59</v>
          </cell>
          <cell r="X81">
            <v>1</v>
          </cell>
          <cell r="Y81">
            <v>0</v>
          </cell>
          <cell r="Z81">
            <v>0</v>
          </cell>
        </row>
        <row r="82">
          <cell r="A82" t="str">
            <v>700.D</v>
          </cell>
          <cell r="B82" t="str">
            <v xml:space="preserve">   TRANSPORTE DE MATERIAL A ELIMINAR DESPUES DE 1 KM</v>
          </cell>
          <cell r="C82" t="str">
            <v>m3k</v>
          </cell>
          <cell r="D82">
            <v>299010.96999999997</v>
          </cell>
          <cell r="E82">
            <v>0</v>
          </cell>
          <cell r="F82">
            <v>0</v>
          </cell>
          <cell r="G82">
            <v>299010.96999999997</v>
          </cell>
          <cell r="I82">
            <v>25487.360000000001</v>
          </cell>
          <cell r="J82">
            <v>28561.68</v>
          </cell>
          <cell r="K82">
            <v>31350.400000000001</v>
          </cell>
          <cell r="L82">
            <v>20596.71</v>
          </cell>
          <cell r="M82">
            <v>53647.23</v>
          </cell>
          <cell r="N82">
            <v>17717.560000000001</v>
          </cell>
          <cell r="O82">
            <v>28560.560000000001</v>
          </cell>
          <cell r="P82">
            <v>1370.42</v>
          </cell>
          <cell r="Q82">
            <v>-1674.25</v>
          </cell>
          <cell r="R82">
            <v>12152.55</v>
          </cell>
          <cell r="S82">
            <v>24227.3</v>
          </cell>
          <cell r="T82">
            <v>38293.14</v>
          </cell>
          <cell r="W82">
            <v>280290.65999999997</v>
          </cell>
          <cell r="X82">
            <v>0.93740000000000001</v>
          </cell>
          <cell r="Y82">
            <v>18720.309999999998</v>
          </cell>
          <cell r="Z82">
            <v>6.2599999999999989E-2</v>
          </cell>
        </row>
        <row r="83">
          <cell r="A83" t="str">
            <v>700.E</v>
          </cell>
          <cell r="B83" t="str">
            <v xml:space="preserve">   TRANSPORTE DE ASFALTO HASTA 1 KM</v>
          </cell>
          <cell r="C83" t="str">
            <v>m3k</v>
          </cell>
          <cell r="D83">
            <v>20879.3</v>
          </cell>
          <cell r="E83">
            <v>0</v>
          </cell>
          <cell r="F83">
            <v>0</v>
          </cell>
          <cell r="G83">
            <v>20879.3</v>
          </cell>
          <cell r="I83">
            <v>0</v>
          </cell>
          <cell r="J83">
            <v>0</v>
          </cell>
          <cell r="L83">
            <v>0</v>
          </cell>
          <cell r="N83">
            <v>4178.0200000000004</v>
          </cell>
          <cell r="O83">
            <v>5586.73</v>
          </cell>
          <cell r="P83">
            <v>1573.55</v>
          </cell>
          <cell r="Q83">
            <v>581.54</v>
          </cell>
          <cell r="R83">
            <v>0</v>
          </cell>
          <cell r="S83">
            <v>4018.35</v>
          </cell>
          <cell r="T83">
            <v>260.81</v>
          </cell>
          <cell r="W83">
            <v>16199</v>
          </cell>
          <cell r="X83">
            <v>0.77580000000000005</v>
          </cell>
          <cell r="Y83">
            <v>4680.2999999999993</v>
          </cell>
          <cell r="Z83">
            <v>0.22419999999999995</v>
          </cell>
        </row>
        <row r="84">
          <cell r="A84" t="str">
            <v>700.F</v>
          </cell>
          <cell r="B84" t="str">
            <v xml:space="preserve">   TRANSPORTE DE ASFALTO DESPUES DE 1 KM</v>
          </cell>
          <cell r="C84" t="str">
            <v>m3k</v>
          </cell>
          <cell r="D84">
            <v>268047.88</v>
          </cell>
          <cell r="E84">
            <v>0</v>
          </cell>
          <cell r="F84">
            <v>0</v>
          </cell>
          <cell r="G84">
            <v>268047.88</v>
          </cell>
          <cell r="I84">
            <v>0</v>
          </cell>
          <cell r="J84">
            <v>0</v>
          </cell>
          <cell r="L84">
            <v>0</v>
          </cell>
          <cell r="N84">
            <v>64613.760000000002</v>
          </cell>
          <cell r="O84">
            <v>77919.149999999994</v>
          </cell>
          <cell r="P84">
            <v>10599.21</v>
          </cell>
          <cell r="Q84">
            <v>10195.73</v>
          </cell>
          <cell r="R84">
            <v>0</v>
          </cell>
          <cell r="S84">
            <v>32733.61</v>
          </cell>
          <cell r="T84">
            <v>1275.1400000000001</v>
          </cell>
          <cell r="W84">
            <v>197336.60000000003</v>
          </cell>
          <cell r="X84">
            <v>0.73619999999999997</v>
          </cell>
          <cell r="Y84">
            <v>70711.27999999997</v>
          </cell>
          <cell r="Z84">
            <v>0.26380000000000003</v>
          </cell>
        </row>
        <row r="85">
          <cell r="A85" t="str">
            <v>700.G</v>
          </cell>
          <cell r="B85" t="str">
            <v xml:space="preserve">   TRANSPORTE DE ROCA HASTA 1 KM</v>
          </cell>
          <cell r="C85" t="str">
            <v>m3k</v>
          </cell>
          <cell r="D85">
            <v>35529.4</v>
          </cell>
          <cell r="G85">
            <v>35529.4</v>
          </cell>
          <cell r="I85">
            <v>0</v>
          </cell>
          <cell r="J85">
            <v>0</v>
          </cell>
          <cell r="L85">
            <v>0</v>
          </cell>
          <cell r="M85">
            <v>2194.6799999999998</v>
          </cell>
          <cell r="N85">
            <v>4093.93</v>
          </cell>
          <cell r="O85">
            <v>7492.76</v>
          </cell>
          <cell r="P85">
            <v>0.12</v>
          </cell>
          <cell r="Q85">
            <v>0</v>
          </cell>
          <cell r="R85">
            <v>3400.34</v>
          </cell>
          <cell r="S85">
            <v>0</v>
          </cell>
          <cell r="T85">
            <v>2592.5</v>
          </cell>
          <cell r="W85">
            <v>19774.330000000002</v>
          </cell>
          <cell r="X85">
            <v>0.55659999999999998</v>
          </cell>
          <cell r="Y85">
            <v>15755.07</v>
          </cell>
          <cell r="Z85">
            <v>0.44340000000000002</v>
          </cell>
        </row>
        <row r="86">
          <cell r="A86" t="str">
            <v>700.H</v>
          </cell>
          <cell r="B86" t="str">
            <v xml:space="preserve">   TRANSPORTE DE ROCA DESPUES DE 1 KM</v>
          </cell>
          <cell r="C86" t="str">
            <v>m3k</v>
          </cell>
          <cell r="D86">
            <v>133772.39000000001</v>
          </cell>
          <cell r="E86">
            <v>0</v>
          </cell>
          <cell r="F86">
            <v>0</v>
          </cell>
          <cell r="G86">
            <v>133772.39000000001</v>
          </cell>
          <cell r="I86">
            <v>0</v>
          </cell>
          <cell r="J86">
            <v>0</v>
          </cell>
          <cell r="L86">
            <v>0</v>
          </cell>
          <cell r="M86">
            <v>6538.95</v>
          </cell>
          <cell r="N86">
            <v>4386.88</v>
          </cell>
          <cell r="O86">
            <v>15735.58</v>
          </cell>
          <cell r="P86">
            <v>0</v>
          </cell>
          <cell r="Q86">
            <v>0</v>
          </cell>
          <cell r="R86">
            <v>15305.04</v>
          </cell>
          <cell r="S86">
            <v>0</v>
          </cell>
          <cell r="T86">
            <v>8354.6299999999992</v>
          </cell>
          <cell r="W86">
            <v>50321.079999999994</v>
          </cell>
          <cell r="X86">
            <v>0.37619999999999998</v>
          </cell>
          <cell r="Y86">
            <v>83451.310000000027</v>
          </cell>
          <cell r="Z86">
            <v>0.62380000000000002</v>
          </cell>
        </row>
        <row r="87">
          <cell r="A87" t="str">
            <v>800</v>
          </cell>
          <cell r="B87" t="str">
            <v>SEÑALIZACION Y SEGURIDAD VIAL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W87" t="str">
            <v xml:space="preserve"> </v>
          </cell>
          <cell r="X87" t="str">
            <v xml:space="preserve"> </v>
          </cell>
          <cell r="Y87" t="str">
            <v xml:space="preserve"> </v>
          </cell>
          <cell r="Z87" t="str">
            <v xml:space="preserve"> </v>
          </cell>
        </row>
        <row r="88">
          <cell r="A88" t="str">
            <v>801.A</v>
          </cell>
          <cell r="B88" t="str">
            <v xml:space="preserve">   SEÑAL PREVENTIVA 0.60 X 0.60 M</v>
          </cell>
          <cell r="C88" t="str">
            <v>u</v>
          </cell>
          <cell r="D88">
            <v>57</v>
          </cell>
          <cell r="E88">
            <v>0</v>
          </cell>
          <cell r="F88">
            <v>0</v>
          </cell>
          <cell r="G88">
            <v>57</v>
          </cell>
          <cell r="I88">
            <v>0</v>
          </cell>
          <cell r="J88">
            <v>0</v>
          </cell>
          <cell r="L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W88">
            <v>0</v>
          </cell>
          <cell r="X88">
            <v>0</v>
          </cell>
          <cell r="Y88">
            <v>57</v>
          </cell>
          <cell r="Z88">
            <v>1</v>
          </cell>
        </row>
        <row r="89">
          <cell r="A89" t="str">
            <v>802.D</v>
          </cell>
          <cell r="B89" t="str">
            <v xml:space="preserve">   SEÑAL REGLAMENTARIA OCTOGONAL (0.75m x 0.75m)</v>
          </cell>
          <cell r="C89" t="str">
            <v>u</v>
          </cell>
          <cell r="D89">
            <v>4</v>
          </cell>
          <cell r="E89">
            <v>0</v>
          </cell>
          <cell r="F89">
            <v>0</v>
          </cell>
          <cell r="G89">
            <v>4</v>
          </cell>
          <cell r="I89">
            <v>0</v>
          </cell>
          <cell r="J89">
            <v>0</v>
          </cell>
          <cell r="L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W89">
            <v>0</v>
          </cell>
          <cell r="X89">
            <v>0</v>
          </cell>
          <cell r="Y89">
            <v>4</v>
          </cell>
          <cell r="Z89">
            <v>1</v>
          </cell>
        </row>
        <row r="90">
          <cell r="A90" t="str">
            <v>802.F</v>
          </cell>
          <cell r="B90" t="str">
            <v xml:space="preserve">   SEÑAL REGLAMENTARIA TRIANGULAR (0.75 m DE LADO)</v>
          </cell>
          <cell r="C90" t="str">
            <v>u</v>
          </cell>
          <cell r="D90">
            <v>1</v>
          </cell>
          <cell r="G90">
            <v>1</v>
          </cell>
          <cell r="I90">
            <v>0</v>
          </cell>
          <cell r="J90">
            <v>0</v>
          </cell>
          <cell r="L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W90">
            <v>0</v>
          </cell>
          <cell r="X90">
            <v>0</v>
          </cell>
          <cell r="Y90">
            <v>1</v>
          </cell>
          <cell r="Z90">
            <v>1</v>
          </cell>
        </row>
        <row r="91">
          <cell r="A91" t="str">
            <v>802.I1</v>
          </cell>
          <cell r="B91" t="str">
            <v xml:space="preserve">   SEÑAL REGLAMENTARIA (0.60 m x 0.90 m)</v>
          </cell>
          <cell r="C91" t="str">
            <v>u</v>
          </cell>
          <cell r="D91">
            <v>29</v>
          </cell>
          <cell r="E91">
            <v>0</v>
          </cell>
          <cell r="F91">
            <v>0</v>
          </cell>
          <cell r="G91">
            <v>29</v>
          </cell>
          <cell r="I91">
            <v>0</v>
          </cell>
          <cell r="J91">
            <v>0</v>
          </cell>
          <cell r="L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W91">
            <v>0</v>
          </cell>
          <cell r="X91">
            <v>0</v>
          </cell>
          <cell r="Y91">
            <v>29</v>
          </cell>
          <cell r="Z91">
            <v>1</v>
          </cell>
        </row>
        <row r="92">
          <cell r="A92" t="str">
            <v>802.I3</v>
          </cell>
          <cell r="B92" t="str">
            <v xml:space="preserve">   SEÑAL REGLAMENTARIA (0.60 m x 0.75 m)</v>
          </cell>
          <cell r="C92" t="str">
            <v>u</v>
          </cell>
          <cell r="D92">
            <v>7</v>
          </cell>
          <cell r="E92">
            <v>0</v>
          </cell>
          <cell r="F92">
            <v>0</v>
          </cell>
          <cell r="G92">
            <v>7</v>
          </cell>
          <cell r="I92">
            <v>0</v>
          </cell>
          <cell r="J92">
            <v>0</v>
          </cell>
          <cell r="L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W92">
            <v>0</v>
          </cell>
          <cell r="X92">
            <v>0</v>
          </cell>
          <cell r="Y92">
            <v>7</v>
          </cell>
          <cell r="Z92">
            <v>1</v>
          </cell>
        </row>
        <row r="93">
          <cell r="A93" t="str">
            <v>803.B</v>
          </cell>
          <cell r="B93" t="str">
            <v xml:space="preserve">   SEÑAL DE SERVICIO AUXILIAR (0.50 m x 0.60 m)</v>
          </cell>
          <cell r="C93" t="str">
            <v>u</v>
          </cell>
          <cell r="D93">
            <v>2</v>
          </cell>
          <cell r="G93">
            <v>2</v>
          </cell>
          <cell r="I93">
            <v>0</v>
          </cell>
          <cell r="J93">
            <v>0</v>
          </cell>
          <cell r="L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W93">
            <v>0</v>
          </cell>
          <cell r="X93">
            <v>0</v>
          </cell>
          <cell r="Y93">
            <v>2</v>
          </cell>
          <cell r="Z93">
            <v>1</v>
          </cell>
        </row>
        <row r="94">
          <cell r="A94" t="str">
            <v>803.C</v>
          </cell>
          <cell r="B94" t="str">
            <v xml:space="preserve">   SEÑAL INFORMATIVA</v>
          </cell>
          <cell r="C94" t="str">
            <v>m2</v>
          </cell>
          <cell r="D94">
            <v>106.99</v>
          </cell>
          <cell r="E94">
            <v>0</v>
          </cell>
          <cell r="F94">
            <v>0</v>
          </cell>
          <cell r="G94">
            <v>106.99</v>
          </cell>
          <cell r="I94">
            <v>0</v>
          </cell>
          <cell r="J94">
            <v>0</v>
          </cell>
          <cell r="L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W94">
            <v>0</v>
          </cell>
          <cell r="X94">
            <v>0</v>
          </cell>
          <cell r="Y94">
            <v>106.99</v>
          </cell>
          <cell r="Z94">
            <v>1</v>
          </cell>
        </row>
        <row r="95">
          <cell r="A95" t="str">
            <v>804.A1</v>
          </cell>
          <cell r="B95" t="str">
            <v xml:space="preserve">   POSTES DE SOPORTE DE SEÑALES DE CONCRETO</v>
          </cell>
          <cell r="C95" t="str">
            <v>u</v>
          </cell>
          <cell r="D95">
            <v>100</v>
          </cell>
          <cell r="E95">
            <v>0</v>
          </cell>
          <cell r="F95">
            <v>0</v>
          </cell>
          <cell r="G95">
            <v>100</v>
          </cell>
          <cell r="I95">
            <v>0</v>
          </cell>
          <cell r="J95">
            <v>0</v>
          </cell>
          <cell r="L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W95">
            <v>0</v>
          </cell>
          <cell r="X95">
            <v>0</v>
          </cell>
          <cell r="Y95">
            <v>100</v>
          </cell>
          <cell r="Z95">
            <v>1</v>
          </cell>
        </row>
        <row r="96">
          <cell r="A96" t="str">
            <v>804.B2</v>
          </cell>
          <cell r="B96" t="str">
            <v xml:space="preserve">   ESTRUCTURA DE SOPORTE DE SEÑALES TIPO E-1 (PÓRTICO)</v>
          </cell>
          <cell r="C96" t="str">
            <v>u</v>
          </cell>
          <cell r="D96">
            <v>36</v>
          </cell>
          <cell r="E96">
            <v>0</v>
          </cell>
          <cell r="F96">
            <v>0</v>
          </cell>
          <cell r="G96">
            <v>36</v>
          </cell>
          <cell r="I96">
            <v>0</v>
          </cell>
          <cell r="J96">
            <v>0</v>
          </cell>
          <cell r="L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W96">
            <v>0</v>
          </cell>
          <cell r="X96">
            <v>0</v>
          </cell>
          <cell r="Y96">
            <v>36</v>
          </cell>
          <cell r="Z96">
            <v>1</v>
          </cell>
        </row>
        <row r="97">
          <cell r="A97" t="str">
            <v>805.A</v>
          </cell>
          <cell r="B97" t="str">
            <v xml:space="preserve">   POSTES DELINEADORES</v>
          </cell>
          <cell r="C97" t="str">
            <v>u</v>
          </cell>
          <cell r="D97">
            <v>92</v>
          </cell>
          <cell r="E97">
            <v>0</v>
          </cell>
          <cell r="F97">
            <v>0</v>
          </cell>
          <cell r="G97">
            <v>92</v>
          </cell>
          <cell r="I97">
            <v>0</v>
          </cell>
          <cell r="J97">
            <v>0</v>
          </cell>
          <cell r="L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W97">
            <v>0</v>
          </cell>
          <cell r="X97">
            <v>0</v>
          </cell>
          <cell r="Y97">
            <v>92</v>
          </cell>
          <cell r="Z97">
            <v>1</v>
          </cell>
        </row>
        <row r="98">
          <cell r="A98" t="str">
            <v>805.B</v>
          </cell>
          <cell r="B98" t="str">
            <v xml:space="preserve">   TACHA RETROREFLECTIVA</v>
          </cell>
          <cell r="C98" t="str">
            <v>u</v>
          </cell>
          <cell r="D98">
            <v>7304</v>
          </cell>
          <cell r="E98">
            <v>0</v>
          </cell>
          <cell r="F98">
            <v>0</v>
          </cell>
          <cell r="G98">
            <v>7304</v>
          </cell>
          <cell r="I98">
            <v>0</v>
          </cell>
          <cell r="J98">
            <v>0</v>
          </cell>
          <cell r="L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W98">
            <v>0</v>
          </cell>
          <cell r="X98">
            <v>0</v>
          </cell>
          <cell r="Y98">
            <v>7304</v>
          </cell>
          <cell r="Z98">
            <v>1</v>
          </cell>
        </row>
        <row r="99">
          <cell r="A99" t="str">
            <v>810.A</v>
          </cell>
          <cell r="B99" t="str">
            <v xml:space="preserve">   MARCAS EN EL PAVIMENTO</v>
          </cell>
          <cell r="C99" t="str">
            <v>m2</v>
          </cell>
          <cell r="D99">
            <v>10048.709999999999</v>
          </cell>
          <cell r="E99">
            <v>0</v>
          </cell>
          <cell r="F99">
            <v>0</v>
          </cell>
          <cell r="G99">
            <v>10048.709999999999</v>
          </cell>
          <cell r="I99">
            <v>0</v>
          </cell>
          <cell r="J99">
            <v>0</v>
          </cell>
          <cell r="L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W99">
            <v>0</v>
          </cell>
          <cell r="X99">
            <v>0</v>
          </cell>
          <cell r="Y99">
            <v>10048.709999999999</v>
          </cell>
          <cell r="Z99">
            <v>1</v>
          </cell>
        </row>
        <row r="100">
          <cell r="A100" t="str">
            <v>825.A</v>
          </cell>
          <cell r="B100" t="str">
            <v xml:space="preserve">   CAPTAFAROS</v>
          </cell>
          <cell r="C100" t="str">
            <v>u</v>
          </cell>
          <cell r="D100">
            <v>72</v>
          </cell>
          <cell r="E100">
            <v>0</v>
          </cell>
          <cell r="F100">
            <v>0</v>
          </cell>
          <cell r="G100">
            <v>72</v>
          </cell>
          <cell r="I100">
            <v>0</v>
          </cell>
          <cell r="J100">
            <v>0</v>
          </cell>
          <cell r="L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W100">
            <v>0</v>
          </cell>
          <cell r="X100">
            <v>0</v>
          </cell>
          <cell r="Y100">
            <v>72</v>
          </cell>
          <cell r="Z100">
            <v>1</v>
          </cell>
        </row>
        <row r="101">
          <cell r="A101" t="str">
            <v>830.A</v>
          </cell>
          <cell r="B101" t="str">
            <v xml:space="preserve">   POSTES DE KILOMETRAJE</v>
          </cell>
          <cell r="C101" t="str">
            <v>u</v>
          </cell>
          <cell r="D101">
            <v>43</v>
          </cell>
          <cell r="G101">
            <v>43</v>
          </cell>
          <cell r="I101">
            <v>0</v>
          </cell>
          <cell r="J101">
            <v>0</v>
          </cell>
          <cell r="L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W101">
            <v>0</v>
          </cell>
          <cell r="X101">
            <v>0</v>
          </cell>
          <cell r="Y101">
            <v>43</v>
          </cell>
          <cell r="Z101">
            <v>1</v>
          </cell>
        </row>
        <row r="102">
          <cell r="A102" t="str">
            <v>840.A</v>
          </cell>
          <cell r="B102" t="str">
            <v xml:space="preserve">   BARRERAS DE SEGURIDAD</v>
          </cell>
          <cell r="C102" t="str">
            <v>m</v>
          </cell>
          <cell r="D102">
            <v>360</v>
          </cell>
          <cell r="E102">
            <v>0</v>
          </cell>
          <cell r="F102">
            <v>0</v>
          </cell>
          <cell r="G102">
            <v>360</v>
          </cell>
          <cell r="I102">
            <v>0</v>
          </cell>
          <cell r="J102">
            <v>0</v>
          </cell>
          <cell r="L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W102">
            <v>0</v>
          </cell>
          <cell r="X102">
            <v>0</v>
          </cell>
          <cell r="Y102">
            <v>360</v>
          </cell>
          <cell r="Z102">
            <v>1</v>
          </cell>
        </row>
        <row r="103">
          <cell r="A103" t="str">
            <v>900</v>
          </cell>
          <cell r="B103" t="str">
            <v>PLAN DE MANEJO AMBIENTAL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W103" t="str">
            <v xml:space="preserve"> </v>
          </cell>
          <cell r="X103" t="str">
            <v xml:space="preserve"> </v>
          </cell>
          <cell r="Y103" t="str">
            <v xml:space="preserve"> </v>
          </cell>
          <cell r="Z103" t="str">
            <v xml:space="preserve"> </v>
          </cell>
        </row>
        <row r="104">
          <cell r="A104" t="str">
            <v>906.A</v>
          </cell>
          <cell r="B104" t="str">
            <v xml:space="preserve">   COMPACTACIÓN DE MATERIAL EXCEDENTE Y READECUACIÓN MORFOLÓGICA DEL ÁREA</v>
          </cell>
          <cell r="C104" t="str">
            <v>m3</v>
          </cell>
          <cell r="D104">
            <v>38897.26</v>
          </cell>
          <cell r="G104">
            <v>38897.26</v>
          </cell>
          <cell r="I104">
            <v>0</v>
          </cell>
          <cell r="J104">
            <v>0</v>
          </cell>
          <cell r="K104">
            <v>26863.040000000001</v>
          </cell>
          <cell r="L104">
            <v>6360.24</v>
          </cell>
          <cell r="M104">
            <v>-2089.36</v>
          </cell>
          <cell r="N104">
            <v>3359.96</v>
          </cell>
          <cell r="O104">
            <v>4403.38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W104">
            <v>38897.259999999995</v>
          </cell>
          <cell r="X104">
            <v>1</v>
          </cell>
          <cell r="Y104">
            <v>7.2759576141834259E-12</v>
          </cell>
          <cell r="Z104">
            <v>0</v>
          </cell>
        </row>
        <row r="105">
          <cell r="A105" t="str">
            <v>907.A</v>
          </cell>
          <cell r="B105" t="str">
            <v xml:space="preserve">   READECUACION AMBIENTAL DE CANTERAS DE RIO, CANTERAS DECERRO</v>
          </cell>
          <cell r="C105" t="str">
            <v>m2</v>
          </cell>
          <cell r="D105">
            <v>95443.67</v>
          </cell>
          <cell r="G105">
            <v>95443.67</v>
          </cell>
          <cell r="I105">
            <v>0</v>
          </cell>
          <cell r="J105">
            <v>0</v>
          </cell>
          <cell r="L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W105">
            <v>0</v>
          </cell>
          <cell r="X105">
            <v>0</v>
          </cell>
          <cell r="Y105">
            <v>95443.67</v>
          </cell>
          <cell r="Z105">
            <v>1</v>
          </cell>
        </row>
        <row r="106">
          <cell r="A106" t="str">
            <v>907.B</v>
          </cell>
          <cell r="B106" t="str">
            <v xml:space="preserve">   READECUACION DEL AREA DE CAMPAMENTO, ALMACENES Y PATIO DE MÁQUINAS</v>
          </cell>
          <cell r="C106" t="str">
            <v>m2</v>
          </cell>
          <cell r="D106">
            <v>5000</v>
          </cell>
          <cell r="G106">
            <v>5000</v>
          </cell>
          <cell r="I106">
            <v>0</v>
          </cell>
          <cell r="J106">
            <v>0</v>
          </cell>
          <cell r="L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W106">
            <v>0</v>
          </cell>
          <cell r="X106">
            <v>0</v>
          </cell>
          <cell r="Y106">
            <v>5000</v>
          </cell>
          <cell r="Z106">
            <v>1</v>
          </cell>
        </row>
        <row r="107">
          <cell r="A107" t="str">
            <v>907.C</v>
          </cell>
          <cell r="B107" t="str">
            <v xml:space="preserve">   READECUACION AMBIENTAL DE PLANTAS INDUSTRIALES</v>
          </cell>
          <cell r="C107" t="str">
            <v>m2</v>
          </cell>
          <cell r="D107">
            <v>6000</v>
          </cell>
          <cell r="G107">
            <v>6000</v>
          </cell>
          <cell r="I107">
            <v>0</v>
          </cell>
          <cell r="J107">
            <v>0</v>
          </cell>
          <cell r="L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W107">
            <v>0</v>
          </cell>
          <cell r="X107">
            <v>0</v>
          </cell>
          <cell r="Y107">
            <v>6000</v>
          </cell>
          <cell r="Z107">
            <v>1</v>
          </cell>
        </row>
        <row r="108">
          <cell r="A108" t="str">
            <v>908</v>
          </cell>
          <cell r="B108" t="str">
            <v xml:space="preserve">   SEÑALIZACIÓN AMBIENTAL (TEMPORAL)</v>
          </cell>
          <cell r="C108" t="str">
            <v>u</v>
          </cell>
          <cell r="D108">
            <v>22</v>
          </cell>
          <cell r="G108">
            <v>22</v>
          </cell>
          <cell r="I108">
            <v>16</v>
          </cell>
          <cell r="J108">
            <v>1</v>
          </cell>
          <cell r="L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W108">
            <v>17</v>
          </cell>
          <cell r="X108">
            <v>0.77270000000000005</v>
          </cell>
          <cell r="Y108">
            <v>5</v>
          </cell>
          <cell r="Z108">
            <v>0.22729999999999995</v>
          </cell>
        </row>
        <row r="109">
          <cell r="A109" t="str">
            <v>908.A</v>
          </cell>
          <cell r="B109" t="str">
            <v xml:space="preserve">   SEÑALIZACION AMBIENTAL (PERMANENTE)</v>
          </cell>
          <cell r="C109" t="str">
            <v>m2</v>
          </cell>
          <cell r="D109">
            <v>67.36</v>
          </cell>
          <cell r="G109">
            <v>67.36</v>
          </cell>
          <cell r="I109">
            <v>0</v>
          </cell>
          <cell r="J109">
            <v>0</v>
          </cell>
          <cell r="L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W109">
            <v>0</v>
          </cell>
          <cell r="X109">
            <v>0</v>
          </cell>
          <cell r="Y109">
            <v>67.36</v>
          </cell>
          <cell r="Z109">
            <v>1</v>
          </cell>
        </row>
        <row r="110">
          <cell r="A110" t="str">
            <v>908.B</v>
          </cell>
          <cell r="B110" t="str">
            <v xml:space="preserve">   ESTRUCTURA DE SOPORTE DE SEÑALES TIPO E-2 (PÓRTICO)</v>
          </cell>
          <cell r="C110" t="str">
            <v>u</v>
          </cell>
          <cell r="D110">
            <v>22</v>
          </cell>
          <cell r="G110">
            <v>22</v>
          </cell>
          <cell r="I110">
            <v>0</v>
          </cell>
          <cell r="J110">
            <v>0</v>
          </cell>
          <cell r="L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W110">
            <v>0</v>
          </cell>
          <cell r="X110">
            <v>0</v>
          </cell>
          <cell r="Y110">
            <v>22</v>
          </cell>
          <cell r="Z110">
            <v>1</v>
          </cell>
        </row>
        <row r="111">
          <cell r="A111" t="str">
            <v>909.A</v>
          </cell>
          <cell r="B111" t="str">
            <v xml:space="preserve">   MONITOREO DE AIRE</v>
          </cell>
          <cell r="C111" t="str">
            <v>pto</v>
          </cell>
          <cell r="D111">
            <v>54</v>
          </cell>
          <cell r="G111">
            <v>54</v>
          </cell>
          <cell r="I111">
            <v>10</v>
          </cell>
          <cell r="J111">
            <v>0</v>
          </cell>
          <cell r="L111">
            <v>11</v>
          </cell>
          <cell r="N111">
            <v>0</v>
          </cell>
          <cell r="O111">
            <v>11</v>
          </cell>
          <cell r="P111">
            <v>0</v>
          </cell>
          <cell r="Q111">
            <v>0</v>
          </cell>
          <cell r="R111">
            <v>11</v>
          </cell>
          <cell r="S111">
            <v>0</v>
          </cell>
          <cell r="W111">
            <v>43</v>
          </cell>
          <cell r="X111">
            <v>0.79630000000000001</v>
          </cell>
          <cell r="Y111">
            <v>11</v>
          </cell>
          <cell r="Z111">
            <v>0.20369999999999999</v>
          </cell>
        </row>
        <row r="112">
          <cell r="A112" t="str">
            <v>909.B</v>
          </cell>
          <cell r="B112" t="str">
            <v xml:space="preserve">   MONITOREO DE AGUA</v>
          </cell>
          <cell r="C112" t="str">
            <v>pto</v>
          </cell>
          <cell r="D112">
            <v>18</v>
          </cell>
          <cell r="G112">
            <v>18</v>
          </cell>
          <cell r="I112">
            <v>3</v>
          </cell>
          <cell r="J112">
            <v>0</v>
          </cell>
          <cell r="L112">
            <v>3</v>
          </cell>
          <cell r="N112">
            <v>3</v>
          </cell>
          <cell r="O112">
            <v>0</v>
          </cell>
          <cell r="P112">
            <v>3</v>
          </cell>
          <cell r="Q112">
            <v>0</v>
          </cell>
          <cell r="R112">
            <v>3</v>
          </cell>
          <cell r="S112">
            <v>0</v>
          </cell>
          <cell r="T112">
            <v>3</v>
          </cell>
          <cell r="W112">
            <v>18</v>
          </cell>
          <cell r="X112">
            <v>1</v>
          </cell>
          <cell r="Y112">
            <v>0</v>
          </cell>
          <cell r="Z112">
            <v>0</v>
          </cell>
        </row>
        <row r="113">
          <cell r="A113" t="str">
            <v>909.C</v>
          </cell>
          <cell r="B113" t="str">
            <v xml:space="preserve">   MONITOREO DE RUIDO</v>
          </cell>
          <cell r="C113" t="str">
            <v>pto</v>
          </cell>
          <cell r="D113">
            <v>54</v>
          </cell>
          <cell r="E113">
            <v>0</v>
          </cell>
          <cell r="F113">
            <v>0</v>
          </cell>
          <cell r="G113">
            <v>54</v>
          </cell>
          <cell r="I113">
            <v>10</v>
          </cell>
          <cell r="J113">
            <v>0</v>
          </cell>
          <cell r="L113">
            <v>11</v>
          </cell>
          <cell r="N113">
            <v>0</v>
          </cell>
          <cell r="O113">
            <v>11</v>
          </cell>
          <cell r="P113">
            <v>0</v>
          </cell>
          <cell r="Q113">
            <v>0</v>
          </cell>
          <cell r="R113">
            <v>11</v>
          </cell>
          <cell r="S113">
            <v>0</v>
          </cell>
          <cell r="W113">
            <v>43</v>
          </cell>
          <cell r="X113">
            <v>0.79630000000000001</v>
          </cell>
          <cell r="Y113">
            <v>11</v>
          </cell>
          <cell r="Z113">
            <v>0.20369999999999999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 FRENTE"/>
      <sheetName val="FORMATO F1"/>
      <sheetName val="RES F1"/>
      <sheetName val="FORMATO F2 (2)"/>
      <sheetName val="RES F2 (2)"/>
      <sheetName val="FORMATO F2 (3)"/>
      <sheetName val="RES F2 (3)"/>
      <sheetName val="FORMATO F2 (4)"/>
      <sheetName val="RES F2 (4)"/>
      <sheetName val="FORMATO F2 (5)"/>
      <sheetName val="RES F2 (5)"/>
      <sheetName val="FORMATO F2 (6)"/>
      <sheetName val="RES F2 (6)"/>
      <sheetName val="FORMATO F2 (7)"/>
      <sheetName val="RES F2 (7)"/>
    </sheetNames>
    <sheetDataSet>
      <sheetData sheetId="0" refreshError="1"/>
      <sheetData sheetId="1"/>
      <sheetData sheetId="2" refreshError="1">
        <row r="42">
          <cell r="D42">
            <v>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. VALO"/>
      <sheetName val="FICHA"/>
      <sheetName val="C.G. AVANCE DE OBRA"/>
      <sheetName val="VALO 1"/>
      <sheetName val="CURVA S"/>
      <sheetName val="RES. MET. EJEC."/>
      <sheetName val="K"/>
      <sheetName val="Reajuste"/>
      <sheetName val="Amortizacion del AD"/>
      <sheetName val="Deducción AD"/>
      <sheetName val="Amort. A. Materiales 1"/>
      <sheetName val="Amort.A.Mater 2"/>
      <sheetName val="Deduccion AM"/>
    </sheetNames>
    <sheetDataSet>
      <sheetData sheetId="0"/>
      <sheetData sheetId="1">
        <row r="4">
          <cell r="E4" t="str">
            <v xml:space="preserve">"CONSTRUCCION DE NICHO, COLUMBARIO Y CREMATORIO; REMODELACION DE VELATORIO; EN EL (LA) CEMENTERIO MUNICIPAL EN EL CENTRO POBLADO SANTIAGO DE SURCO, DISTRITO DE SANTIAGO DE SURCO, PROVINCIA LIMA, DEPARTAMENTO LIMA" CUI N| 2658565 - ETAPA COLUMBARIO. </v>
          </cell>
        </row>
        <row r="9">
          <cell r="E9" t="str">
            <v>CONSORCIO LIMA</v>
          </cell>
        </row>
        <row r="10">
          <cell r="E10" t="str">
            <v>ING. JOSE ISMAEL MOSCOSO PINGO</v>
          </cell>
        </row>
        <row r="11">
          <cell r="E11" t="str">
            <v>ING. GUIDO JAVIER VALVERDE TRUJILLO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1:G31"/>
  <sheetViews>
    <sheetView view="pageBreakPreview" topLeftCell="A7" zoomScale="110" zoomScaleNormal="100" zoomScaleSheetLayoutView="110" workbookViewId="0">
      <selection activeCell="G15" sqref="G15"/>
    </sheetView>
  </sheetViews>
  <sheetFormatPr baseColWidth="10" defaultColWidth="11.44140625" defaultRowHeight="15.6" x14ac:dyDescent="0.3"/>
  <cols>
    <col min="1" max="1" width="3.109375" style="8" customWidth="1"/>
    <col min="2" max="2" width="17" style="8" customWidth="1"/>
    <col min="3" max="3" width="41.5546875" style="8" customWidth="1"/>
    <col min="4" max="4" width="18.5546875" style="8" customWidth="1"/>
    <col min="5" max="5" width="6.5546875" style="8" customWidth="1"/>
    <col min="6" max="16384" width="11.44140625" style="8"/>
  </cols>
  <sheetData>
    <row r="1" spans="2:5" ht="16.2" thickBot="1" x14ac:dyDescent="0.35"/>
    <row r="2" spans="2:5" ht="31.5" customHeight="1" thickBot="1" x14ac:dyDescent="0.35">
      <c r="B2" s="489" t="s">
        <v>1335</v>
      </c>
      <c r="C2" s="490"/>
      <c r="D2" s="491"/>
    </row>
    <row r="3" spans="2:5" ht="16.2" thickBot="1" x14ac:dyDescent="0.35"/>
    <row r="4" spans="2:5" ht="89.25" customHeight="1" x14ac:dyDescent="0.3">
      <c r="B4" s="9" t="s">
        <v>0</v>
      </c>
      <c r="C4" s="492" t="str">
        <f>+FICHA!E4</f>
        <v xml:space="preserve">"CONSTRUCCION DE NICHO, COLUMBARIO Y CREMATORIO; REMODELACION DE VELATORIO; EN EL (LA) CEMENTERIO MUNICIPAL EN EL CENTRO POBLADO SANTIAGO DE SURCO, DISTRITO DE SANTIAGO DE SURCO, PROVINCIA LIMA, DEPARTAMENTO LIMA" CUI N| 2658565 - ETAPA COLUMBARIO. </v>
      </c>
      <c r="D4" s="493"/>
    </row>
    <row r="5" spans="2:5" x14ac:dyDescent="0.3">
      <c r="B5" s="18" t="s">
        <v>1</v>
      </c>
      <c r="C5" s="494" t="s">
        <v>305</v>
      </c>
      <c r="D5" s="495"/>
    </row>
    <row r="6" spans="2:5" x14ac:dyDescent="0.3">
      <c r="B6" s="18" t="s">
        <v>2</v>
      </c>
      <c r="C6" s="494" t="s">
        <v>308</v>
      </c>
      <c r="D6" s="495"/>
    </row>
    <row r="7" spans="2:5" x14ac:dyDescent="0.3">
      <c r="B7" s="18" t="s">
        <v>3</v>
      </c>
      <c r="C7" s="496" t="s">
        <v>1239</v>
      </c>
      <c r="D7" s="497"/>
    </row>
    <row r="8" spans="2:5" ht="16.2" thickBot="1" x14ac:dyDescent="0.35">
      <c r="B8" s="19" t="s">
        <v>4</v>
      </c>
      <c r="C8" s="483">
        <v>45962</v>
      </c>
      <c r="D8" s="484"/>
    </row>
    <row r="9" spans="2:5" ht="7.5" customHeight="1" thickBot="1" x14ac:dyDescent="0.35"/>
    <row r="10" spans="2:5" ht="16.2" thickBot="1" x14ac:dyDescent="0.35">
      <c r="B10" s="281" t="s">
        <v>5</v>
      </c>
      <c r="C10" s="282" t="s">
        <v>6</v>
      </c>
      <c r="D10" s="283" t="s">
        <v>7</v>
      </c>
    </row>
    <row r="11" spans="2:5" ht="16.2" thickBot="1" x14ac:dyDescent="0.35">
      <c r="B11" s="13">
        <v>1</v>
      </c>
      <c r="C11" s="14" t="s">
        <v>8</v>
      </c>
      <c r="D11" s="39">
        <f>+VALO!K565</f>
        <v>207432.9693749999</v>
      </c>
      <c r="E11" s="210" t="s">
        <v>110</v>
      </c>
    </row>
    <row r="12" spans="2:5" ht="16.2" thickBot="1" x14ac:dyDescent="0.35">
      <c r="B12" s="15">
        <v>2</v>
      </c>
      <c r="C12" s="61" t="s">
        <v>9</v>
      </c>
      <c r="D12" s="60">
        <f>+Reajuste!J25</f>
        <v>0</v>
      </c>
    </row>
    <row r="13" spans="2:5" ht="20.100000000000001" customHeight="1" x14ac:dyDescent="0.3">
      <c r="B13" s="16">
        <v>3</v>
      </c>
      <c r="C13" s="64" t="s">
        <v>10</v>
      </c>
      <c r="D13" s="46"/>
    </row>
    <row r="14" spans="2:5" ht="31.2" x14ac:dyDescent="0.3">
      <c r="B14" s="11">
        <v>3.1</v>
      </c>
      <c r="C14" s="62" t="s">
        <v>11</v>
      </c>
      <c r="D14" s="47">
        <v>0</v>
      </c>
    </row>
    <row r="15" spans="2:5" ht="31.2" x14ac:dyDescent="0.3">
      <c r="B15" s="11">
        <v>3.2</v>
      </c>
      <c r="C15" s="62" t="s">
        <v>12</v>
      </c>
      <c r="D15" s="47">
        <v>0</v>
      </c>
    </row>
    <row r="16" spans="2:5" ht="16.2" thickBot="1" x14ac:dyDescent="0.35">
      <c r="B16" s="12"/>
      <c r="C16" s="63" t="s">
        <v>13</v>
      </c>
      <c r="D16" s="48">
        <f>+D14+D15</f>
        <v>0</v>
      </c>
    </row>
    <row r="17" spans="2:7" x14ac:dyDescent="0.3">
      <c r="B17" s="17"/>
      <c r="C17" s="64" t="s">
        <v>14</v>
      </c>
      <c r="D17" s="46">
        <f>+D11+D12-D16</f>
        <v>207432.9693749999</v>
      </c>
    </row>
    <row r="18" spans="2:7" x14ac:dyDescent="0.3">
      <c r="B18" s="10">
        <v>4</v>
      </c>
      <c r="C18" s="65" t="s">
        <v>15</v>
      </c>
      <c r="D18" s="47"/>
    </row>
    <row r="19" spans="2:7" x14ac:dyDescent="0.3">
      <c r="B19" s="11">
        <v>4.0999999999999996</v>
      </c>
      <c r="C19" s="65" t="s">
        <v>16</v>
      </c>
      <c r="D19" s="49">
        <v>0</v>
      </c>
    </row>
    <row r="20" spans="2:7" x14ac:dyDescent="0.3">
      <c r="B20" s="11">
        <v>4.2</v>
      </c>
      <c r="C20" s="65" t="s">
        <v>17</v>
      </c>
      <c r="D20" s="47">
        <v>0</v>
      </c>
    </row>
    <row r="21" spans="2:7" ht="16.2" thickBot="1" x14ac:dyDescent="0.35">
      <c r="B21" s="273"/>
      <c r="C21" s="274" t="s">
        <v>18</v>
      </c>
      <c r="D21" s="272">
        <f>ROUND(D19+D20,2)</f>
        <v>0</v>
      </c>
    </row>
    <row r="22" spans="2:7" x14ac:dyDescent="0.3">
      <c r="B22" s="481" t="s">
        <v>19</v>
      </c>
      <c r="C22" s="482"/>
      <c r="D22" s="46">
        <f>ROUND(D17-D21,2)</f>
        <v>207432.97</v>
      </c>
    </row>
    <row r="23" spans="2:7" x14ac:dyDescent="0.3">
      <c r="B23" s="275" t="s">
        <v>20</v>
      </c>
      <c r="C23" s="268" t="s">
        <v>21</v>
      </c>
      <c r="D23" s="47">
        <v>0</v>
      </c>
    </row>
    <row r="24" spans="2:7" ht="16.2" thickBot="1" x14ac:dyDescent="0.35">
      <c r="B24" s="266">
        <v>5.2</v>
      </c>
      <c r="C24" s="267" t="s">
        <v>22</v>
      </c>
      <c r="D24" s="50">
        <f>+D22</f>
        <v>207432.97</v>
      </c>
    </row>
    <row r="25" spans="2:7" ht="16.2" thickBot="1" x14ac:dyDescent="0.35">
      <c r="B25" s="485" t="s">
        <v>23</v>
      </c>
      <c r="C25" s="486"/>
      <c r="D25" s="50">
        <f>+ROUND(D24*0.18,2)</f>
        <v>37337.93</v>
      </c>
      <c r="G25" s="8" t="s">
        <v>110</v>
      </c>
    </row>
    <row r="26" spans="2:7" x14ac:dyDescent="0.3">
      <c r="B26" s="382"/>
      <c r="C26" s="383" t="s">
        <v>1253</v>
      </c>
      <c r="D26" s="384">
        <f>+D24+D25</f>
        <v>244770.9</v>
      </c>
    </row>
    <row r="27" spans="2:7" ht="16.2" thickBot="1" x14ac:dyDescent="0.35">
      <c r="B27" s="275" t="s">
        <v>1254</v>
      </c>
      <c r="C27" s="268" t="s">
        <v>1332</v>
      </c>
      <c r="D27" s="47">
        <v>0</v>
      </c>
    </row>
    <row r="28" spans="2:7" ht="16.2" thickBot="1" x14ac:dyDescent="0.35">
      <c r="B28" s="487" t="s">
        <v>1255</v>
      </c>
      <c r="C28" s="488"/>
      <c r="D28" s="280">
        <f>+D24+D25-D27</f>
        <v>244770.9</v>
      </c>
    </row>
    <row r="30" spans="2:7" ht="16.2" thickBot="1" x14ac:dyDescent="0.35"/>
    <row r="31" spans="2:7" ht="16.2" thickBot="1" x14ac:dyDescent="0.35">
      <c r="C31" s="293" t="s">
        <v>1241</v>
      </c>
    </row>
  </sheetData>
  <mergeCells count="9">
    <mergeCell ref="B22:C22"/>
    <mergeCell ref="C8:D8"/>
    <mergeCell ref="B25:C25"/>
    <mergeCell ref="B28:C28"/>
    <mergeCell ref="B2:D2"/>
    <mergeCell ref="C4:D4"/>
    <mergeCell ref="C5:D5"/>
    <mergeCell ref="C6:D6"/>
    <mergeCell ref="C7:D7"/>
  </mergeCells>
  <phoneticPr fontId="47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05" fitToWidth="10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B1:I39"/>
  <sheetViews>
    <sheetView view="pageBreakPreview" zoomScale="90" zoomScaleNormal="70" zoomScaleSheetLayoutView="90" workbookViewId="0">
      <selection activeCell="K11" sqref="K11"/>
    </sheetView>
  </sheetViews>
  <sheetFormatPr baseColWidth="10" defaultColWidth="11.44140625" defaultRowHeight="14.4" x14ac:dyDescent="0.3"/>
  <cols>
    <col min="1" max="1" width="10.109375" customWidth="1"/>
    <col min="2" max="2" width="8" customWidth="1"/>
    <col min="3" max="3" width="50.109375" customWidth="1"/>
    <col min="4" max="4" width="9.6640625" customWidth="1"/>
    <col min="5" max="5" width="28.109375" customWidth="1"/>
    <col min="6" max="6" width="16.5546875" customWidth="1"/>
    <col min="7" max="7" width="35.33203125" customWidth="1"/>
  </cols>
  <sheetData>
    <row r="1" spans="2:7" ht="15" thickBot="1" x14ac:dyDescent="0.35"/>
    <row r="2" spans="2:7" ht="39" customHeight="1" thickBot="1" x14ac:dyDescent="0.35">
      <c r="B2" s="501" t="s">
        <v>24</v>
      </c>
      <c r="C2" s="502"/>
      <c r="D2" s="502"/>
      <c r="E2" s="502"/>
      <c r="F2" s="502"/>
      <c r="G2" s="503"/>
    </row>
    <row r="3" spans="2:7" ht="50.25" customHeight="1" thickBot="1" x14ac:dyDescent="0.35">
      <c r="B3" s="526" t="s">
        <v>1337</v>
      </c>
      <c r="C3" s="527"/>
      <c r="D3" s="527"/>
      <c r="E3" s="528" t="s">
        <v>1334</v>
      </c>
      <c r="F3" s="528"/>
      <c r="G3" s="529"/>
    </row>
    <row r="4" spans="2:7" ht="77.25" customHeight="1" x14ac:dyDescent="0.3">
      <c r="B4" s="478">
        <v>1</v>
      </c>
      <c r="C4" s="479" t="s">
        <v>25</v>
      </c>
      <c r="D4" s="205" t="s">
        <v>26</v>
      </c>
      <c r="E4" s="530" t="s">
        <v>307</v>
      </c>
      <c r="F4" s="530"/>
      <c r="G4" s="531"/>
    </row>
    <row r="5" spans="2:7" ht="18" customHeight="1" x14ac:dyDescent="0.3">
      <c r="B5" s="284">
        <v>2</v>
      </c>
      <c r="C5" s="368" t="s">
        <v>27</v>
      </c>
      <c r="D5" s="367" t="s">
        <v>26</v>
      </c>
      <c r="E5" s="524" t="s">
        <v>303</v>
      </c>
      <c r="F5" s="524"/>
      <c r="G5" s="525"/>
    </row>
    <row r="6" spans="2:7" x14ac:dyDescent="0.3">
      <c r="B6" s="284"/>
      <c r="C6" s="369" t="s">
        <v>28</v>
      </c>
      <c r="D6" s="367" t="s">
        <v>26</v>
      </c>
      <c r="E6" s="524">
        <v>2</v>
      </c>
      <c r="F6" s="524"/>
      <c r="G6" s="525"/>
    </row>
    <row r="7" spans="2:7" ht="33" customHeight="1" x14ac:dyDescent="0.3">
      <c r="B7" s="284">
        <v>3</v>
      </c>
      <c r="C7" s="368" t="s">
        <v>29</v>
      </c>
      <c r="D7" s="367" t="s">
        <v>26</v>
      </c>
      <c r="E7" s="532" t="s">
        <v>1258</v>
      </c>
      <c r="F7" s="532"/>
      <c r="G7" s="533"/>
    </row>
    <row r="8" spans="2:7" x14ac:dyDescent="0.3">
      <c r="B8" s="284">
        <v>4</v>
      </c>
      <c r="C8" s="370" t="s">
        <v>30</v>
      </c>
      <c r="D8" s="367" t="s">
        <v>26</v>
      </c>
      <c r="E8" s="510" t="s">
        <v>304</v>
      </c>
      <c r="F8" s="510"/>
      <c r="G8" s="511"/>
    </row>
    <row r="9" spans="2:7" x14ac:dyDescent="0.3">
      <c r="B9" s="284">
        <v>5</v>
      </c>
      <c r="C9" s="370" t="s">
        <v>31</v>
      </c>
      <c r="D9" s="367" t="s">
        <v>26</v>
      </c>
      <c r="E9" s="510" t="s">
        <v>308</v>
      </c>
      <c r="F9" s="510"/>
      <c r="G9" s="511"/>
    </row>
    <row r="10" spans="2:7" x14ac:dyDescent="0.3">
      <c r="B10" s="284">
        <f t="shared" ref="B10:B31" si="0">+B9+1</f>
        <v>6</v>
      </c>
      <c r="C10" s="370" t="s">
        <v>32</v>
      </c>
      <c r="D10" s="367" t="s">
        <v>26</v>
      </c>
      <c r="E10" s="208" t="s">
        <v>1239</v>
      </c>
      <c r="F10" s="209"/>
      <c r="G10" s="269" t="s">
        <v>1257</v>
      </c>
    </row>
    <row r="11" spans="2:7" x14ac:dyDescent="0.3">
      <c r="B11" s="284">
        <f t="shared" si="0"/>
        <v>7</v>
      </c>
      <c r="C11" s="370" t="s">
        <v>33</v>
      </c>
      <c r="D11" s="367" t="s">
        <v>26</v>
      </c>
      <c r="E11" s="208" t="s">
        <v>164</v>
      </c>
      <c r="F11" s="209"/>
      <c r="G11" s="269" t="s">
        <v>165</v>
      </c>
    </row>
    <row r="12" spans="2:7" x14ac:dyDescent="0.3">
      <c r="B12" s="284">
        <f t="shared" si="0"/>
        <v>8</v>
      </c>
      <c r="C12" s="370" t="s">
        <v>34</v>
      </c>
      <c r="D12" s="367" t="s">
        <v>26</v>
      </c>
      <c r="E12" s="518" t="str">
        <f>+E8</f>
        <v>MUNICIPALIDAD DISTRITAL DE SANTIAGO DE SURCO</v>
      </c>
      <c r="F12" s="518"/>
      <c r="G12" s="519"/>
    </row>
    <row r="13" spans="2:7" x14ac:dyDescent="0.3">
      <c r="B13" s="284">
        <f t="shared" si="0"/>
        <v>9</v>
      </c>
      <c r="C13" s="370" t="s">
        <v>35</v>
      </c>
      <c r="D13" s="367" t="s">
        <v>26</v>
      </c>
      <c r="E13" s="520" t="s">
        <v>36</v>
      </c>
      <c r="F13" s="520"/>
      <c r="G13" s="521"/>
    </row>
    <row r="14" spans="2:7" x14ac:dyDescent="0.3">
      <c r="B14" s="284">
        <f t="shared" si="0"/>
        <v>10</v>
      </c>
      <c r="C14" s="370" t="s">
        <v>37</v>
      </c>
      <c r="D14" s="367" t="s">
        <v>26</v>
      </c>
      <c r="E14" s="520" t="s">
        <v>309</v>
      </c>
      <c r="F14" s="520"/>
      <c r="G14" s="521"/>
    </row>
    <row r="15" spans="2:7" x14ac:dyDescent="0.3">
      <c r="B15" s="284">
        <f t="shared" si="0"/>
        <v>11</v>
      </c>
      <c r="C15" s="371" t="s">
        <v>38</v>
      </c>
      <c r="D15" s="367" t="s">
        <v>26</v>
      </c>
      <c r="E15" s="522" t="s">
        <v>310</v>
      </c>
      <c r="F15" s="522"/>
      <c r="G15" s="523"/>
    </row>
    <row r="16" spans="2:7" x14ac:dyDescent="0.3">
      <c r="B16" s="284">
        <f t="shared" si="0"/>
        <v>12</v>
      </c>
      <c r="C16" s="370" t="s">
        <v>39</v>
      </c>
      <c r="D16" s="367" t="s">
        <v>26</v>
      </c>
      <c r="E16" s="522" t="s">
        <v>311</v>
      </c>
      <c r="F16" s="522"/>
      <c r="G16" s="270"/>
    </row>
    <row r="17" spans="2:9" x14ac:dyDescent="0.3">
      <c r="B17" s="284">
        <f t="shared" si="0"/>
        <v>13</v>
      </c>
      <c r="C17" s="370" t="s">
        <v>40</v>
      </c>
      <c r="D17" s="367" t="s">
        <v>26</v>
      </c>
      <c r="E17" s="516" t="s">
        <v>202</v>
      </c>
      <c r="F17" s="516"/>
      <c r="G17" s="517"/>
    </row>
    <row r="18" spans="2:9" x14ac:dyDescent="0.3">
      <c r="B18" s="284">
        <f t="shared" si="0"/>
        <v>14</v>
      </c>
      <c r="C18" s="370" t="s">
        <v>41</v>
      </c>
      <c r="D18" s="367" t="s">
        <v>26</v>
      </c>
      <c r="E18" s="512">
        <v>1821179.83</v>
      </c>
      <c r="F18" s="512"/>
      <c r="G18" s="271">
        <v>45809</v>
      </c>
    </row>
    <row r="19" spans="2:9" x14ac:dyDescent="0.3">
      <c r="B19" s="284">
        <f t="shared" si="0"/>
        <v>15</v>
      </c>
      <c r="C19" s="370" t="s">
        <v>42</v>
      </c>
      <c r="D19" s="367" t="s">
        <v>26</v>
      </c>
      <c r="E19" s="512">
        <f>E18/1.18</f>
        <v>1543372.7372881358</v>
      </c>
      <c r="F19" s="512"/>
      <c r="G19" s="513"/>
    </row>
    <row r="20" spans="2:9" x14ac:dyDescent="0.3">
      <c r="B20" s="284">
        <v>16</v>
      </c>
      <c r="C20" s="370" t="s">
        <v>43</v>
      </c>
      <c r="D20" s="367" t="s">
        <v>26</v>
      </c>
      <c r="E20" s="512">
        <v>1730120.84</v>
      </c>
      <c r="F20" s="512"/>
      <c r="G20" s="513"/>
    </row>
    <row r="21" spans="2:9" x14ac:dyDescent="0.3">
      <c r="B21" s="284">
        <f t="shared" si="0"/>
        <v>17</v>
      </c>
      <c r="C21" s="370" t="s">
        <v>44</v>
      </c>
      <c r="D21" s="367" t="s">
        <v>26</v>
      </c>
      <c r="E21" s="514">
        <f>ROUND(E20/1.18,2)</f>
        <v>1466204.1</v>
      </c>
      <c r="F21" s="514"/>
      <c r="G21" s="515"/>
    </row>
    <row r="22" spans="2:9" x14ac:dyDescent="0.3">
      <c r="B22" s="284">
        <f t="shared" si="0"/>
        <v>18</v>
      </c>
      <c r="C22" s="370" t="s">
        <v>1256</v>
      </c>
      <c r="D22" s="367" t="s">
        <v>26</v>
      </c>
      <c r="E22" s="516">
        <v>120</v>
      </c>
      <c r="F22" s="516"/>
      <c r="G22" s="517"/>
    </row>
    <row r="23" spans="2:9" x14ac:dyDescent="0.3">
      <c r="B23" s="284">
        <f t="shared" si="0"/>
        <v>19</v>
      </c>
      <c r="C23" s="370" t="s">
        <v>172</v>
      </c>
      <c r="D23" s="367" t="s">
        <v>26</v>
      </c>
      <c r="E23" s="516" t="str">
        <f>E22&amp;" Días Calendario"</f>
        <v>120 Días Calendario</v>
      </c>
      <c r="F23" s="516"/>
      <c r="G23" s="517"/>
    </row>
    <row r="24" spans="2:9" x14ac:dyDescent="0.3">
      <c r="B24" s="284">
        <v>20</v>
      </c>
      <c r="C24" s="370" t="s">
        <v>45</v>
      </c>
      <c r="D24" s="367" t="s">
        <v>26</v>
      </c>
      <c r="E24" s="504">
        <v>45937</v>
      </c>
      <c r="F24" s="504"/>
      <c r="G24" s="505"/>
    </row>
    <row r="25" spans="2:9" x14ac:dyDescent="0.3">
      <c r="B25" s="284">
        <f t="shared" si="0"/>
        <v>21</v>
      </c>
      <c r="C25" s="370" t="s">
        <v>46</v>
      </c>
      <c r="D25" s="367" t="s">
        <v>26</v>
      </c>
      <c r="E25" s="506">
        <v>45948</v>
      </c>
      <c r="F25" s="506"/>
      <c r="G25" s="507"/>
      <c r="I25" t="s">
        <v>110</v>
      </c>
    </row>
    <row r="26" spans="2:9" x14ac:dyDescent="0.3">
      <c r="B26" s="284">
        <f t="shared" si="0"/>
        <v>22</v>
      </c>
      <c r="C26" s="370" t="s">
        <v>47</v>
      </c>
      <c r="D26" s="367" t="s">
        <v>26</v>
      </c>
      <c r="E26" s="506">
        <v>45954</v>
      </c>
      <c r="F26" s="506"/>
      <c r="G26" s="507"/>
    </row>
    <row r="27" spans="2:9" ht="29.25" customHeight="1" x14ac:dyDescent="0.3">
      <c r="B27" s="284">
        <f t="shared" si="0"/>
        <v>23</v>
      </c>
      <c r="C27" s="370" t="s">
        <v>48</v>
      </c>
      <c r="D27" s="367" t="s">
        <v>26</v>
      </c>
      <c r="E27" s="508">
        <f>E26+E22-1</f>
        <v>46073</v>
      </c>
      <c r="F27" s="508"/>
      <c r="G27" s="509"/>
    </row>
    <row r="28" spans="2:9" ht="24" customHeight="1" x14ac:dyDescent="0.3">
      <c r="B28" s="284">
        <f t="shared" si="0"/>
        <v>24</v>
      </c>
      <c r="C28" s="370" t="s">
        <v>49</v>
      </c>
      <c r="D28" s="367" t="s">
        <v>26</v>
      </c>
      <c r="E28" s="508">
        <f>E26+E22-1</f>
        <v>46073</v>
      </c>
      <c r="F28" s="508"/>
      <c r="G28" s="509"/>
      <c r="I28" t="s">
        <v>110</v>
      </c>
    </row>
    <row r="29" spans="2:9" x14ac:dyDescent="0.3">
      <c r="B29" s="284">
        <f t="shared" si="0"/>
        <v>25</v>
      </c>
      <c r="C29" s="370" t="s">
        <v>50</v>
      </c>
      <c r="D29" s="367" t="s">
        <v>26</v>
      </c>
      <c r="E29" s="364">
        <f>+VALO!N570</f>
        <v>0.72547562929188214</v>
      </c>
      <c r="F29" s="294"/>
      <c r="G29" s="295"/>
    </row>
    <row r="30" spans="2:9" x14ac:dyDescent="0.3">
      <c r="B30" s="284">
        <f t="shared" si="0"/>
        <v>26</v>
      </c>
      <c r="C30" s="370" t="s">
        <v>51</v>
      </c>
      <c r="D30" s="372" t="s">
        <v>26</v>
      </c>
      <c r="E30" s="364">
        <f>+'C.G. AVANCE DE OBRA'!G16</f>
        <v>0.63343706674269051</v>
      </c>
      <c r="F30" s="294"/>
      <c r="G30" s="295"/>
    </row>
    <row r="31" spans="2:9" x14ac:dyDescent="0.3">
      <c r="B31" s="284">
        <f t="shared" si="0"/>
        <v>27</v>
      </c>
      <c r="C31" s="370" t="s">
        <v>52</v>
      </c>
      <c r="D31" s="372" t="s">
        <v>26</v>
      </c>
      <c r="E31" s="366" t="str">
        <f>IF(E29&gt;E30,"OBRA ADELANTADA",IF(E29=E30,"OBRA TERMINADA","OBRA ATRASADA"))</f>
        <v>OBRA ADELANTADA</v>
      </c>
      <c r="F31" s="365">
        <f>ABS(E29-E30)</f>
        <v>9.2038562549191627E-2</v>
      </c>
      <c r="G31" s="296"/>
    </row>
    <row r="32" spans="2:9" ht="15" thickBot="1" x14ac:dyDescent="0.35">
      <c r="B32" s="35"/>
      <c r="C32" s="36"/>
      <c r="D32" s="37"/>
      <c r="E32" s="206"/>
      <c r="F32" s="206"/>
      <c r="G32" s="207"/>
    </row>
    <row r="35" spans="2:7" x14ac:dyDescent="0.3">
      <c r="D35" s="172"/>
      <c r="E35" s="172"/>
    </row>
    <row r="36" spans="2:7" x14ac:dyDescent="0.3">
      <c r="D36" s="172"/>
      <c r="E36" s="172"/>
    </row>
    <row r="37" spans="2:7" ht="15" thickBot="1" x14ac:dyDescent="0.35">
      <c r="D37" s="173"/>
      <c r="E37" s="173"/>
    </row>
    <row r="38" spans="2:7" ht="15" thickBot="1" x14ac:dyDescent="0.35">
      <c r="B38" s="498" t="s">
        <v>302</v>
      </c>
      <c r="C38" s="499"/>
      <c r="D38" s="499"/>
      <c r="E38" s="499"/>
      <c r="F38" s="499"/>
      <c r="G38" s="500"/>
    </row>
    <row r="39" spans="2:7" x14ac:dyDescent="0.3">
      <c r="C39" t="s">
        <v>110</v>
      </c>
    </row>
  </sheetData>
  <mergeCells count="27">
    <mergeCell ref="E15:G15"/>
    <mergeCell ref="E28:G28"/>
    <mergeCell ref="E5:G5"/>
    <mergeCell ref="B3:D3"/>
    <mergeCell ref="E3:G3"/>
    <mergeCell ref="E4:G4"/>
    <mergeCell ref="E14:G14"/>
    <mergeCell ref="E16:F16"/>
    <mergeCell ref="E17:G17"/>
    <mergeCell ref="E6:G6"/>
    <mergeCell ref="E7:G7"/>
    <mergeCell ref="B38:G38"/>
    <mergeCell ref="B2:G2"/>
    <mergeCell ref="E24:G24"/>
    <mergeCell ref="E25:G25"/>
    <mergeCell ref="E26:G26"/>
    <mergeCell ref="E27:G27"/>
    <mergeCell ref="E8:G8"/>
    <mergeCell ref="E9:G9"/>
    <mergeCell ref="E18:F18"/>
    <mergeCell ref="E19:G19"/>
    <mergeCell ref="E20:G20"/>
    <mergeCell ref="E21:G21"/>
    <mergeCell ref="E22:G22"/>
    <mergeCell ref="E23:G23"/>
    <mergeCell ref="E12:G12"/>
    <mergeCell ref="E13:G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B1:R24"/>
  <sheetViews>
    <sheetView view="pageBreakPreview" zoomScale="70" zoomScaleNormal="70" zoomScaleSheetLayoutView="70" workbookViewId="0">
      <selection activeCell="J28" sqref="J28"/>
    </sheetView>
  </sheetViews>
  <sheetFormatPr baseColWidth="10" defaultColWidth="11.44140625" defaultRowHeight="13.8" x14ac:dyDescent="0.25"/>
  <cols>
    <col min="1" max="1" width="11.44140625" style="7"/>
    <col min="2" max="2" width="19.44140625" style="7" customWidth="1"/>
    <col min="3" max="11" width="15.88671875" style="7" customWidth="1"/>
    <col min="12" max="12" width="15.5546875" style="7" customWidth="1"/>
    <col min="13" max="13" width="16.33203125" style="20" customWidth="1"/>
    <col min="14" max="14" width="18.109375" style="20" customWidth="1"/>
    <col min="15" max="15" width="17.109375" style="20" customWidth="1"/>
    <col min="16" max="16384" width="11.44140625" style="7"/>
  </cols>
  <sheetData>
    <row r="1" spans="2:18" ht="14.4" thickBot="1" x14ac:dyDescent="0.3"/>
    <row r="2" spans="2:18" x14ac:dyDescent="0.25">
      <c r="B2" s="562" t="s">
        <v>1333</v>
      </c>
      <c r="C2" s="563"/>
      <c r="D2" s="563"/>
      <c r="E2" s="563"/>
      <c r="F2" s="563"/>
      <c r="G2" s="563"/>
      <c r="H2" s="563"/>
      <c r="I2" s="563"/>
      <c r="J2" s="563"/>
      <c r="K2" s="563"/>
      <c r="L2" s="563"/>
      <c r="M2" s="563"/>
      <c r="N2" s="563"/>
      <c r="O2" s="563"/>
    </row>
    <row r="3" spans="2:18" ht="14.4" thickBot="1" x14ac:dyDescent="0.3">
      <c r="B3" s="564"/>
      <c r="C3" s="565"/>
      <c r="D3" s="565"/>
      <c r="E3" s="565"/>
      <c r="F3" s="565"/>
      <c r="G3" s="565"/>
      <c r="H3" s="565"/>
      <c r="I3" s="565"/>
      <c r="J3" s="565"/>
      <c r="K3" s="565"/>
      <c r="L3" s="565"/>
      <c r="M3" s="565"/>
      <c r="N3" s="565"/>
      <c r="O3" s="565"/>
    </row>
    <row r="4" spans="2:18" ht="14.4" thickBot="1" x14ac:dyDescent="0.3"/>
    <row r="5" spans="2:18" ht="27.6" x14ac:dyDescent="0.25">
      <c r="B5" s="21" t="s">
        <v>53</v>
      </c>
      <c r="C5" s="560" t="s">
        <v>304</v>
      </c>
      <c r="D5" s="560"/>
      <c r="E5" s="560"/>
      <c r="F5" s="560"/>
      <c r="G5" s="560"/>
      <c r="H5" s="561"/>
      <c r="I5" s="21" t="s">
        <v>54</v>
      </c>
      <c r="J5" s="576">
        <f>+FICHA!E18</f>
        <v>1821179.83</v>
      </c>
      <c r="K5" s="577"/>
      <c r="L5" s="577"/>
      <c r="M5" s="577"/>
      <c r="N5" s="577"/>
      <c r="O5" s="578"/>
    </row>
    <row r="6" spans="2:18" ht="27.6" x14ac:dyDescent="0.25">
      <c r="B6" s="22" t="s">
        <v>55</v>
      </c>
      <c r="C6" s="534" t="str">
        <f>+FICHA!E16</f>
        <v>037-2025-GAF/MSS</v>
      </c>
      <c r="D6" s="534"/>
      <c r="E6" s="534"/>
      <c r="F6" s="534"/>
      <c r="G6" s="534"/>
      <c r="H6" s="535"/>
      <c r="I6" s="22" t="s">
        <v>56</v>
      </c>
      <c r="J6" s="574">
        <f>+FICHA!E20</f>
        <v>1730120.84</v>
      </c>
      <c r="K6" s="574"/>
      <c r="L6" s="574"/>
      <c r="M6" s="574"/>
      <c r="N6" s="574"/>
      <c r="O6" s="575"/>
    </row>
    <row r="7" spans="2:18" ht="41.4" x14ac:dyDescent="0.25">
      <c r="B7" s="22" t="s">
        <v>57</v>
      </c>
      <c r="C7" s="534" t="str">
        <f>+FICHA!E4</f>
        <v xml:space="preserve">"CONSTRUCCION DE NICHO, COLUMBARIO Y CREMATORIO; REMODELACION DE VELATORIO; EN EL (LA) CEMENTERIO MUNICIPAL EN EL CENTRO POBLADO SANTIAGO DE SURCO, DISTRITO DE SANTIAGO DE SURCO, PROVINCIA LIMA, DEPARTAMENTO LIMA" CUI N| 2658565 - ETAPA COLUMBARIO. </v>
      </c>
      <c r="D7" s="534"/>
      <c r="E7" s="534"/>
      <c r="F7" s="534"/>
      <c r="G7" s="534"/>
      <c r="H7" s="535"/>
      <c r="I7" s="22" t="s">
        <v>58</v>
      </c>
      <c r="J7" s="549" t="str">
        <f>+FICHA!E23</f>
        <v>120 Días Calendario</v>
      </c>
      <c r="K7" s="549"/>
      <c r="L7" s="549"/>
      <c r="M7" s="549"/>
      <c r="N7" s="549"/>
      <c r="O7" s="550"/>
    </row>
    <row r="8" spans="2:18" ht="27.6" x14ac:dyDescent="0.25">
      <c r="B8" s="22" t="s">
        <v>59</v>
      </c>
      <c r="C8" s="534" t="str">
        <f>+FICHA!E9</f>
        <v>CONSORCIO LIMA</v>
      </c>
      <c r="D8" s="534"/>
      <c r="E8" s="534"/>
      <c r="F8" s="534"/>
      <c r="G8" s="534"/>
      <c r="H8" s="535"/>
      <c r="I8" s="22" t="s">
        <v>60</v>
      </c>
      <c r="J8" s="548">
        <f>+FICHA!E26</f>
        <v>45954</v>
      </c>
      <c r="K8" s="549"/>
      <c r="L8" s="549"/>
      <c r="M8" s="549"/>
      <c r="N8" s="549"/>
      <c r="O8" s="550"/>
    </row>
    <row r="9" spans="2:18" ht="40.5" customHeight="1" thickBot="1" x14ac:dyDescent="0.3">
      <c r="B9" s="23" t="s">
        <v>61</v>
      </c>
      <c r="C9" s="579" t="str">
        <f>+FICHA!E10</f>
        <v>ING. JOSE ISMAEL MOSCOSO PINGO</v>
      </c>
      <c r="D9" s="579"/>
      <c r="E9" s="579"/>
      <c r="F9" s="579"/>
      <c r="G9" s="579"/>
      <c r="H9" s="580"/>
      <c r="I9" s="23" t="s">
        <v>62</v>
      </c>
      <c r="J9" s="545">
        <f>+FICHA!E27</f>
        <v>46073</v>
      </c>
      <c r="K9" s="546"/>
      <c r="L9" s="546"/>
      <c r="M9" s="546"/>
      <c r="N9" s="546"/>
      <c r="O9" s="547"/>
    </row>
    <row r="10" spans="2:18" ht="14.4" thickBot="1" x14ac:dyDescent="0.3">
      <c r="B10" s="411"/>
      <c r="C10" s="412"/>
    </row>
    <row r="11" spans="2:18" ht="37.5" customHeight="1" x14ac:dyDescent="0.25">
      <c r="B11" s="536" t="s">
        <v>63</v>
      </c>
      <c r="C11" s="539" t="s">
        <v>64</v>
      </c>
      <c r="D11" s="553" t="s">
        <v>65</v>
      </c>
      <c r="E11" s="554"/>
      <c r="F11" s="554"/>
      <c r="G11" s="555"/>
      <c r="H11" s="536" t="s">
        <v>66</v>
      </c>
      <c r="I11" s="554"/>
      <c r="J11" s="554"/>
      <c r="K11" s="539"/>
      <c r="L11" s="572" t="s">
        <v>67</v>
      </c>
      <c r="M11" s="542" t="s">
        <v>166</v>
      </c>
      <c r="N11" s="543"/>
      <c r="O11" s="544"/>
    </row>
    <row r="12" spans="2:18" ht="20.25" customHeight="1" x14ac:dyDescent="0.25">
      <c r="B12" s="537"/>
      <c r="C12" s="540"/>
      <c r="D12" s="551" t="s">
        <v>68</v>
      </c>
      <c r="E12" s="558" t="s">
        <v>69</v>
      </c>
      <c r="F12" s="558" t="s">
        <v>70</v>
      </c>
      <c r="G12" s="556" t="s">
        <v>71</v>
      </c>
      <c r="H12" s="537" t="s">
        <v>68</v>
      </c>
      <c r="I12" s="558" t="s">
        <v>69</v>
      </c>
      <c r="J12" s="558" t="s">
        <v>70</v>
      </c>
      <c r="K12" s="566" t="s">
        <v>71</v>
      </c>
      <c r="L12" s="573"/>
      <c r="M12" s="568" t="s">
        <v>167</v>
      </c>
      <c r="N12" s="570" t="s">
        <v>72</v>
      </c>
      <c r="O12" s="566" t="s">
        <v>73</v>
      </c>
    </row>
    <row r="13" spans="2:18" ht="20.25" customHeight="1" thickBot="1" x14ac:dyDescent="0.3">
      <c r="B13" s="538"/>
      <c r="C13" s="541"/>
      <c r="D13" s="552"/>
      <c r="E13" s="559"/>
      <c r="F13" s="559"/>
      <c r="G13" s="557"/>
      <c r="H13" s="538"/>
      <c r="I13" s="559"/>
      <c r="J13" s="559"/>
      <c r="K13" s="567"/>
      <c r="L13" s="573"/>
      <c r="M13" s="569"/>
      <c r="N13" s="571"/>
      <c r="O13" s="567"/>
    </row>
    <row r="14" spans="2:18" ht="33" customHeight="1" x14ac:dyDescent="0.25">
      <c r="B14" s="38">
        <v>1</v>
      </c>
      <c r="C14" s="176">
        <f>+'CURVA S'!E29</f>
        <v>45939</v>
      </c>
      <c r="D14" s="199">
        <v>303729.83999999997</v>
      </c>
      <c r="E14" s="390">
        <f>+D14</f>
        <v>303729.83999999997</v>
      </c>
      <c r="F14" s="201">
        <f>+D14/$J$6</f>
        <v>0.17555411909840932</v>
      </c>
      <c r="G14" s="202">
        <f>+F14</f>
        <v>0.17555411909840932</v>
      </c>
      <c r="H14" s="40">
        <v>389969.06079999998</v>
      </c>
      <c r="I14" s="386">
        <f>+H14</f>
        <v>389969.06079999998</v>
      </c>
      <c r="J14" s="41">
        <v>0.22539989796319654</v>
      </c>
      <c r="K14" s="42">
        <f>+J14</f>
        <v>0.22539989796319654</v>
      </c>
      <c r="L14" s="406" t="s">
        <v>1242</v>
      </c>
      <c r="M14" s="407">
        <f>+G14</f>
        <v>0.17555411909840932</v>
      </c>
      <c r="N14" s="41">
        <f>+K14</f>
        <v>0.22539989796319654</v>
      </c>
      <c r="O14" s="171" t="s">
        <v>158</v>
      </c>
      <c r="Q14" s="165"/>
      <c r="R14" s="80"/>
    </row>
    <row r="15" spans="2:18" ht="33" customHeight="1" x14ac:dyDescent="0.25">
      <c r="B15" s="401">
        <v>2</v>
      </c>
      <c r="C15" s="402">
        <f>+'CURVA S'!E62</f>
        <v>45962</v>
      </c>
      <c r="D15" s="199">
        <v>307642.3</v>
      </c>
      <c r="E15" s="200">
        <f>+E14+D15</f>
        <v>611372.1399999999</v>
      </c>
      <c r="F15" s="201">
        <f t="shared" ref="F15:F18" si="0">+D15/$J$6</f>
        <v>0.17781549871395108</v>
      </c>
      <c r="G15" s="202">
        <f>+G14+F15</f>
        <v>0.35336961781236043</v>
      </c>
      <c r="H15" s="43">
        <v>620420.5449750002</v>
      </c>
      <c r="I15" s="385">
        <f>+I14+H15</f>
        <v>1010389.6057750002</v>
      </c>
      <c r="J15" s="44">
        <v>0.35859954439656372</v>
      </c>
      <c r="K15" s="45">
        <f>+K14+J15</f>
        <v>0.58399944235976031</v>
      </c>
      <c r="L15" s="406" t="s">
        <v>1242</v>
      </c>
      <c r="M15" s="413">
        <f>+G15</f>
        <v>0.35336961781236043</v>
      </c>
      <c r="N15" s="44">
        <f>+K15</f>
        <v>0.58399944235976031</v>
      </c>
      <c r="O15" s="57" t="s">
        <v>158</v>
      </c>
      <c r="Q15" s="165"/>
      <c r="R15" s="80"/>
    </row>
    <row r="16" spans="2:18" ht="31.2" customHeight="1" x14ac:dyDescent="0.25">
      <c r="B16" s="401">
        <v>3</v>
      </c>
      <c r="C16" s="402">
        <f>+'CURVA S'!E63</f>
        <v>45992</v>
      </c>
      <c r="D16" s="199">
        <v>484550.5299999998</v>
      </c>
      <c r="E16" s="200">
        <f t="shared" ref="E16:E18" si="1">+E15+D16</f>
        <v>1095922.6699999997</v>
      </c>
      <c r="F16" s="201">
        <f t="shared" si="0"/>
        <v>0.28006744893033009</v>
      </c>
      <c r="G16" s="202">
        <f t="shared" ref="G16:G18" si="2">+G15+F16</f>
        <v>0.63343706674269051</v>
      </c>
      <c r="H16" s="43">
        <f>+VALO!K568</f>
        <v>244770.89937499989</v>
      </c>
      <c r="I16" s="453">
        <f>+I15+H16</f>
        <v>1255160.5051500001</v>
      </c>
      <c r="J16" s="44">
        <f>+VALO!K569</f>
        <v>0.14147618693212194</v>
      </c>
      <c r="K16" s="45">
        <f>+K15+J16</f>
        <v>0.72547562929188225</v>
      </c>
      <c r="L16" s="406" t="s">
        <v>1242</v>
      </c>
      <c r="M16" s="413">
        <f>+G16</f>
        <v>0.63343706674269051</v>
      </c>
      <c r="N16" s="44">
        <f>+K16</f>
        <v>0.72547562929188225</v>
      </c>
      <c r="O16" s="57" t="s">
        <v>158</v>
      </c>
    </row>
    <row r="17" spans="2:15" ht="32.4" customHeight="1" x14ac:dyDescent="0.25">
      <c r="B17" s="401">
        <v>4</v>
      </c>
      <c r="C17" s="402">
        <f>+'CURVA S'!E64</f>
        <v>46023</v>
      </c>
      <c r="D17" s="199">
        <v>374272.70000000007</v>
      </c>
      <c r="E17" s="200">
        <f t="shared" si="1"/>
        <v>1470195.3699999996</v>
      </c>
      <c r="F17" s="201">
        <f t="shared" si="0"/>
        <v>0.21632749074336335</v>
      </c>
      <c r="G17" s="202">
        <f t="shared" si="2"/>
        <v>0.84976455748605384</v>
      </c>
      <c r="H17" s="395"/>
      <c r="I17" s="393"/>
      <c r="J17" s="393"/>
      <c r="K17" s="396"/>
      <c r="L17" s="403"/>
      <c r="M17" s="413"/>
      <c r="N17" s="405"/>
      <c r="O17" s="408"/>
    </row>
    <row r="18" spans="2:15" ht="34.200000000000003" customHeight="1" thickBot="1" x14ac:dyDescent="0.3">
      <c r="B18" s="177">
        <v>5</v>
      </c>
      <c r="C18" s="178">
        <f>+'CURVA S'!E65</f>
        <v>46054</v>
      </c>
      <c r="D18" s="400">
        <v>259925.47000000003</v>
      </c>
      <c r="E18" s="391">
        <f t="shared" si="1"/>
        <v>1730120.8399999996</v>
      </c>
      <c r="F18" s="392">
        <f t="shared" si="0"/>
        <v>0.15023544251394602</v>
      </c>
      <c r="G18" s="394">
        <f t="shared" si="2"/>
        <v>0.99999999999999989</v>
      </c>
      <c r="H18" s="397"/>
      <c r="I18" s="398"/>
      <c r="J18" s="398"/>
      <c r="K18" s="399"/>
      <c r="L18" s="404"/>
      <c r="M18" s="414"/>
      <c r="N18" s="409"/>
      <c r="O18" s="410"/>
    </row>
    <row r="19" spans="2:15" x14ac:dyDescent="0.25">
      <c r="C19" s="79"/>
      <c r="H19" s="56"/>
    </row>
    <row r="20" spans="2:15" x14ac:dyDescent="0.25">
      <c r="C20" s="79"/>
    </row>
    <row r="24" spans="2:15" ht="14.4" thickBot="1" x14ac:dyDescent="0.3">
      <c r="E24" s="391">
        <f>+E18*0.3</f>
        <v>519036.25199999986</v>
      </c>
    </row>
  </sheetData>
  <mergeCells count="28">
    <mergeCell ref="C5:H5"/>
    <mergeCell ref="J7:O7"/>
    <mergeCell ref="B2:O3"/>
    <mergeCell ref="H12:H13"/>
    <mergeCell ref="I12:I13"/>
    <mergeCell ref="J12:J13"/>
    <mergeCell ref="K12:K13"/>
    <mergeCell ref="M12:M13"/>
    <mergeCell ref="N12:N13"/>
    <mergeCell ref="O12:O13"/>
    <mergeCell ref="L11:L13"/>
    <mergeCell ref="J6:O6"/>
    <mergeCell ref="E12:E13"/>
    <mergeCell ref="J5:O5"/>
    <mergeCell ref="C9:H9"/>
    <mergeCell ref="C7:H7"/>
    <mergeCell ref="C6:H6"/>
    <mergeCell ref="B11:B13"/>
    <mergeCell ref="C11:C13"/>
    <mergeCell ref="M11:O11"/>
    <mergeCell ref="J9:O9"/>
    <mergeCell ref="J8:O8"/>
    <mergeCell ref="D12:D13"/>
    <mergeCell ref="D11:G11"/>
    <mergeCell ref="H11:K11"/>
    <mergeCell ref="G12:G13"/>
    <mergeCell ref="F12:F13"/>
    <mergeCell ref="C8:H8"/>
  </mergeCells>
  <printOptions horizontalCentered="1" verticalCentered="1"/>
  <pageMargins left="0.24" right="0.31" top="0.47244094488188981" bottom="0.74803149606299213" header="0.31496062992125984" footer="0.31496062992125984"/>
  <pageSetup paperSize="9" scale="60" orientation="landscape" r:id="rId1"/>
  <ignoredErrors>
    <ignoredError sqref="F14:F18 H16 J16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AB570"/>
  <sheetViews>
    <sheetView view="pageBreakPreview" topLeftCell="A545" zoomScale="80" zoomScaleNormal="72" zoomScaleSheetLayoutView="80" workbookViewId="0">
      <selection activeCell="B388" sqref="B388"/>
    </sheetView>
  </sheetViews>
  <sheetFormatPr baseColWidth="10" defaultColWidth="8" defaultRowHeight="15.6" x14ac:dyDescent="0.3"/>
  <cols>
    <col min="1" max="1" width="10.88671875" style="1" customWidth="1"/>
    <col min="2" max="2" width="43.6640625" style="1" customWidth="1"/>
    <col min="3" max="3" width="7.44140625" style="6" customWidth="1"/>
    <col min="4" max="4" width="10.88671875" style="1" customWidth="1"/>
    <col min="5" max="5" width="8.33203125" style="1" customWidth="1"/>
    <col min="6" max="6" width="13" style="1" customWidth="1"/>
    <col min="7" max="7" width="12.33203125" style="198" customWidth="1"/>
    <col min="8" max="8" width="14.6640625" style="1" customWidth="1"/>
    <col min="9" max="9" width="9.5546875" style="54" customWidth="1"/>
    <col min="10" max="10" width="10.44140625" style="416" customWidth="1"/>
    <col min="11" max="11" width="14.5546875" style="197" customWidth="1"/>
    <col min="12" max="12" width="11.33203125" style="1" customWidth="1"/>
    <col min="13" max="13" width="14.88671875" style="196" customWidth="1"/>
    <col min="14" max="14" width="16.6640625" style="1" customWidth="1"/>
    <col min="15" max="15" width="14.44140625" style="196" customWidth="1"/>
    <col min="16" max="16" width="12.5546875" style="1" customWidth="1"/>
    <col min="17" max="17" width="12.6640625" style="1" customWidth="1"/>
    <col min="18" max="18" width="14.6640625" style="198" customWidth="1"/>
    <col min="19" max="19" width="17.109375" style="1" customWidth="1"/>
    <col min="20" max="20" width="15.88671875" style="1" customWidth="1"/>
    <col min="21" max="21" width="10.5546875" style="1" bestFit="1" customWidth="1"/>
    <col min="22" max="16384" width="8" style="1"/>
  </cols>
  <sheetData>
    <row r="1" spans="1:20" ht="27" customHeight="1" thickBot="1" x14ac:dyDescent="0.35">
      <c r="A1" s="612"/>
      <c r="B1" s="613"/>
      <c r="C1" s="454"/>
      <c r="D1" s="455"/>
      <c r="E1" s="456"/>
      <c r="F1" s="456"/>
      <c r="G1" s="457"/>
      <c r="H1" s="457"/>
      <c r="I1" s="458"/>
      <c r="J1" s="459"/>
      <c r="K1" s="457"/>
      <c r="L1" s="457"/>
      <c r="M1" s="457"/>
      <c r="N1" s="457"/>
      <c r="O1" s="457"/>
      <c r="P1" s="457"/>
      <c r="Q1" s="457"/>
      <c r="R1" s="457"/>
    </row>
    <row r="2" spans="1:20" ht="41.4" customHeight="1" thickBot="1" x14ac:dyDescent="0.35">
      <c r="A2" s="614" t="s">
        <v>1336</v>
      </c>
      <c r="B2" s="615"/>
      <c r="C2" s="615"/>
      <c r="D2" s="615"/>
      <c r="E2" s="615"/>
      <c r="F2" s="615"/>
      <c r="G2" s="615"/>
      <c r="H2" s="615"/>
      <c r="I2" s="615"/>
      <c r="J2" s="615"/>
      <c r="K2" s="615"/>
      <c r="L2" s="615"/>
      <c r="M2" s="615"/>
      <c r="N2" s="615"/>
      <c r="O2" s="615"/>
      <c r="P2" s="615"/>
      <c r="Q2" s="615"/>
      <c r="R2" s="616"/>
    </row>
    <row r="3" spans="1:20" ht="15" customHeight="1" x14ac:dyDescent="0.3">
      <c r="A3" s="460"/>
      <c r="B3" s="460"/>
      <c r="C3" s="461"/>
      <c r="D3" s="461"/>
      <c r="E3" s="462"/>
      <c r="F3" s="462"/>
      <c r="G3" s="457"/>
      <c r="H3" s="457"/>
      <c r="I3" s="458"/>
      <c r="J3" s="459"/>
      <c r="K3" s="457"/>
      <c r="L3" s="457"/>
      <c r="M3" s="457"/>
      <c r="N3" s="457"/>
      <c r="O3" s="457"/>
      <c r="P3" s="457"/>
      <c r="Q3" s="457"/>
      <c r="R3" s="457"/>
    </row>
    <row r="4" spans="1:20" ht="20.399999999999999" customHeight="1" x14ac:dyDescent="0.3">
      <c r="A4" s="463" t="s">
        <v>59</v>
      </c>
      <c r="B4" s="608" t="s">
        <v>308</v>
      </c>
      <c r="C4" s="608"/>
      <c r="D4" s="608"/>
      <c r="E4" s="608"/>
      <c r="F4" s="608"/>
      <c r="G4" s="610" t="s">
        <v>54</v>
      </c>
      <c r="H4" s="610"/>
      <c r="I4" s="610"/>
      <c r="J4" s="610"/>
      <c r="K4" s="610"/>
      <c r="L4" s="610"/>
      <c r="M4" s="611">
        <f>+FICHA!E18</f>
        <v>1821179.83</v>
      </c>
      <c r="N4" s="611"/>
      <c r="O4" s="611"/>
      <c r="P4" s="611"/>
      <c r="Q4" s="611"/>
      <c r="R4" s="611"/>
    </row>
    <row r="5" spans="1:20" ht="18.600000000000001" customHeight="1" x14ac:dyDescent="0.3">
      <c r="A5" s="463" t="s">
        <v>61</v>
      </c>
      <c r="B5" s="608" t="s">
        <v>1239</v>
      </c>
      <c r="C5" s="608"/>
      <c r="D5" s="608"/>
      <c r="E5" s="608"/>
      <c r="F5" s="608"/>
      <c r="G5" s="610" t="s">
        <v>56</v>
      </c>
      <c r="H5" s="610"/>
      <c r="I5" s="610"/>
      <c r="J5" s="610"/>
      <c r="K5" s="610"/>
      <c r="L5" s="610"/>
      <c r="M5" s="611">
        <v>1730120.84</v>
      </c>
      <c r="N5" s="609"/>
      <c r="O5" s="609"/>
      <c r="P5" s="609"/>
      <c r="Q5" s="609"/>
      <c r="R5" s="609"/>
    </row>
    <row r="6" spans="1:20" ht="21" customHeight="1" x14ac:dyDescent="0.3">
      <c r="A6" s="463" t="s">
        <v>74</v>
      </c>
      <c r="B6" s="608" t="s">
        <v>164</v>
      </c>
      <c r="C6" s="608"/>
      <c r="D6" s="608"/>
      <c r="E6" s="608"/>
      <c r="F6" s="608"/>
      <c r="G6" s="610" t="s">
        <v>75</v>
      </c>
      <c r="H6" s="610"/>
      <c r="I6" s="610"/>
      <c r="J6" s="610"/>
      <c r="K6" s="610"/>
      <c r="L6" s="610"/>
      <c r="M6" s="609" t="s">
        <v>306</v>
      </c>
      <c r="N6" s="609"/>
      <c r="O6" s="609"/>
      <c r="P6" s="609"/>
      <c r="Q6" s="609"/>
      <c r="R6" s="609"/>
    </row>
    <row r="7" spans="1:20" ht="21.6" customHeight="1" x14ac:dyDescent="0.3">
      <c r="A7" s="463" t="s">
        <v>76</v>
      </c>
      <c r="B7" s="608" t="s">
        <v>1240</v>
      </c>
      <c r="C7" s="608"/>
      <c r="D7" s="608"/>
      <c r="E7" s="608"/>
      <c r="F7" s="608"/>
      <c r="G7" s="610" t="s">
        <v>77</v>
      </c>
      <c r="H7" s="610"/>
      <c r="I7" s="610"/>
      <c r="J7" s="610"/>
      <c r="K7" s="610"/>
      <c r="L7" s="610"/>
      <c r="M7" s="609" t="s">
        <v>304</v>
      </c>
      <c r="N7" s="609"/>
      <c r="O7" s="609"/>
      <c r="P7" s="609"/>
      <c r="Q7" s="609"/>
      <c r="R7" s="609"/>
    </row>
    <row r="8" spans="1:20" x14ac:dyDescent="0.3">
      <c r="A8" s="601"/>
      <c r="B8" s="601"/>
      <c r="C8" s="601"/>
      <c r="D8" s="601"/>
      <c r="E8" s="601"/>
      <c r="F8" s="601"/>
      <c r="G8" s="457"/>
      <c r="H8" s="457"/>
      <c r="I8" s="458"/>
      <c r="J8" s="459"/>
      <c r="K8" s="457"/>
      <c r="L8" s="457"/>
      <c r="M8" s="457"/>
      <c r="N8" s="457"/>
      <c r="O8" s="457"/>
      <c r="P8" s="457"/>
      <c r="Q8" s="457"/>
      <c r="R8" s="457"/>
    </row>
    <row r="9" spans="1:20" ht="18.75" customHeight="1" x14ac:dyDescent="0.3">
      <c r="A9" s="602" t="s">
        <v>5</v>
      </c>
      <c r="B9" s="603" t="s">
        <v>78</v>
      </c>
      <c r="C9" s="604" t="s">
        <v>79</v>
      </c>
      <c r="D9" s="604"/>
      <c r="E9" s="604"/>
      <c r="F9" s="604"/>
      <c r="G9" s="602" t="s">
        <v>1252</v>
      </c>
      <c r="H9" s="602"/>
      <c r="I9" s="602"/>
      <c r="J9" s="602"/>
      <c r="K9" s="602"/>
      <c r="L9" s="602"/>
      <c r="M9" s="602"/>
      <c r="N9" s="602"/>
      <c r="O9" s="602"/>
      <c r="P9" s="602"/>
      <c r="Q9" s="602"/>
      <c r="R9" s="602"/>
    </row>
    <row r="10" spans="1:20" ht="15.75" hidden="1" customHeight="1" x14ac:dyDescent="0.3">
      <c r="A10" s="602"/>
      <c r="B10" s="603"/>
      <c r="C10" s="604"/>
      <c r="D10" s="604"/>
      <c r="E10" s="604"/>
      <c r="F10" s="604"/>
      <c r="G10" s="464"/>
      <c r="H10" s="464"/>
      <c r="I10" s="465"/>
      <c r="J10" s="466"/>
      <c r="K10" s="464"/>
      <c r="L10" s="464"/>
      <c r="M10" s="464"/>
      <c r="N10" s="464"/>
      <c r="O10" s="464"/>
      <c r="P10" s="464"/>
      <c r="Q10" s="464"/>
      <c r="R10" s="464"/>
    </row>
    <row r="11" spans="1:20" s="2" customFormat="1" ht="15.75" hidden="1" customHeight="1" x14ac:dyDescent="0.3">
      <c r="A11" s="602"/>
      <c r="B11" s="603"/>
      <c r="C11" s="604"/>
      <c r="D11" s="604"/>
      <c r="E11" s="604"/>
      <c r="F11" s="604"/>
      <c r="G11" s="467"/>
      <c r="H11" s="468"/>
      <c r="I11" s="469"/>
      <c r="J11" s="470"/>
      <c r="K11" s="467"/>
      <c r="L11" s="467"/>
      <c r="M11" s="467"/>
      <c r="N11" s="467"/>
      <c r="O11" s="467"/>
      <c r="P11" s="467"/>
      <c r="Q11" s="467"/>
      <c r="R11" s="467"/>
    </row>
    <row r="12" spans="1:20" s="2" customFormat="1" ht="15.75" hidden="1" customHeight="1" x14ac:dyDescent="0.3">
      <c r="A12" s="602"/>
      <c r="B12" s="603"/>
      <c r="C12" s="604"/>
      <c r="D12" s="604"/>
      <c r="E12" s="604"/>
      <c r="F12" s="604"/>
      <c r="G12" s="467"/>
      <c r="H12" s="468"/>
      <c r="I12" s="469"/>
      <c r="J12" s="470"/>
      <c r="K12" s="467"/>
      <c r="L12" s="467"/>
      <c r="M12" s="467"/>
      <c r="N12" s="467"/>
      <c r="O12" s="467"/>
      <c r="P12" s="467"/>
      <c r="Q12" s="467"/>
      <c r="R12" s="467"/>
    </row>
    <row r="13" spans="1:20" s="2" customFormat="1" ht="18" customHeight="1" x14ac:dyDescent="0.3">
      <c r="A13" s="602"/>
      <c r="B13" s="603"/>
      <c r="C13" s="604"/>
      <c r="D13" s="604"/>
      <c r="E13" s="604"/>
      <c r="F13" s="604"/>
      <c r="G13" s="602" t="s">
        <v>80</v>
      </c>
      <c r="H13" s="602"/>
      <c r="I13" s="602"/>
      <c r="J13" s="602" t="s">
        <v>81</v>
      </c>
      <c r="K13" s="602"/>
      <c r="L13" s="602"/>
      <c r="M13" s="602" t="s">
        <v>69</v>
      </c>
      <c r="N13" s="602"/>
      <c r="O13" s="602"/>
      <c r="P13" s="602" t="s">
        <v>82</v>
      </c>
      <c r="Q13" s="602"/>
      <c r="R13" s="602"/>
    </row>
    <row r="14" spans="1:20" s="2" customFormat="1" ht="36" customHeight="1" x14ac:dyDescent="0.3">
      <c r="A14" s="602"/>
      <c r="B14" s="603"/>
      <c r="C14" s="471" t="s">
        <v>159</v>
      </c>
      <c r="D14" s="472" t="s">
        <v>83</v>
      </c>
      <c r="E14" s="472" t="s">
        <v>84</v>
      </c>
      <c r="F14" s="473" t="s">
        <v>85</v>
      </c>
      <c r="G14" s="466" t="s">
        <v>86</v>
      </c>
      <c r="H14" s="474" t="s">
        <v>87</v>
      </c>
      <c r="I14" s="475" t="s">
        <v>88</v>
      </c>
      <c r="J14" s="466" t="s">
        <v>86</v>
      </c>
      <c r="K14" s="476" t="s">
        <v>87</v>
      </c>
      <c r="L14" s="476" t="s">
        <v>88</v>
      </c>
      <c r="M14" s="466" t="s">
        <v>86</v>
      </c>
      <c r="N14" s="476" t="s">
        <v>87</v>
      </c>
      <c r="O14" s="466" t="s">
        <v>88</v>
      </c>
      <c r="P14" s="466" t="s">
        <v>86</v>
      </c>
      <c r="Q14" s="476" t="s">
        <v>87</v>
      </c>
      <c r="R14" s="466" t="s">
        <v>88</v>
      </c>
    </row>
    <row r="15" spans="1:20" s="70" customFormat="1" ht="18" x14ac:dyDescent="0.3">
      <c r="A15" s="304">
        <v>1</v>
      </c>
      <c r="B15" s="379" t="s">
        <v>751</v>
      </c>
      <c r="C15" s="331"/>
      <c r="D15" s="331"/>
      <c r="E15" s="380"/>
      <c r="F15" s="381">
        <f>+F16+F30+F44+F51+F61</f>
        <v>77708.099999999991</v>
      </c>
      <c r="G15" s="332"/>
      <c r="H15" s="333" t="s">
        <v>110</v>
      </c>
      <c r="I15" s="334"/>
      <c r="J15" s="417"/>
      <c r="K15" s="333" t="s">
        <v>110</v>
      </c>
      <c r="L15" s="336"/>
      <c r="M15" s="333"/>
      <c r="N15" s="333" t="s">
        <v>110</v>
      </c>
      <c r="O15" s="336"/>
      <c r="P15" s="337"/>
      <c r="Q15" s="333" t="s">
        <v>110</v>
      </c>
      <c r="R15" s="336"/>
      <c r="S15" s="70" t="s">
        <v>110</v>
      </c>
      <c r="T15" s="70" t="s">
        <v>110</v>
      </c>
    </row>
    <row r="16" spans="1:20" s="2" customFormat="1" ht="18" x14ac:dyDescent="0.3">
      <c r="A16" s="304" t="s">
        <v>173</v>
      </c>
      <c r="B16" s="314" t="s">
        <v>752</v>
      </c>
      <c r="C16" s="331"/>
      <c r="D16" s="331"/>
      <c r="E16" s="345"/>
      <c r="F16" s="346">
        <f>+F17+F24</f>
        <v>16918.48</v>
      </c>
      <c r="G16" s="338" t="s">
        <v>110</v>
      </c>
      <c r="H16" s="339" t="s">
        <v>110</v>
      </c>
      <c r="I16" s="340" t="s">
        <v>110</v>
      </c>
      <c r="J16" s="418" t="s">
        <v>110</v>
      </c>
      <c r="K16" s="339" t="s">
        <v>110</v>
      </c>
      <c r="L16" s="340" t="s">
        <v>110</v>
      </c>
      <c r="M16" s="339" t="s">
        <v>110</v>
      </c>
      <c r="N16" s="339" t="s">
        <v>110</v>
      </c>
      <c r="O16" s="340" t="s">
        <v>110</v>
      </c>
      <c r="P16" s="342" t="s">
        <v>110</v>
      </c>
      <c r="Q16" s="339" t="s">
        <v>110</v>
      </c>
      <c r="R16" s="340" t="s">
        <v>110</v>
      </c>
      <c r="T16" s="2" t="s">
        <v>110</v>
      </c>
    </row>
    <row r="17" spans="1:20" s="2" customFormat="1" x14ac:dyDescent="0.3">
      <c r="A17" s="304" t="s">
        <v>174</v>
      </c>
      <c r="B17" s="314" t="s">
        <v>1237</v>
      </c>
      <c r="C17" s="306"/>
      <c r="D17" s="306"/>
      <c r="E17" s="347"/>
      <c r="F17" s="348">
        <f>SUM(F18:F23)</f>
        <v>11209.46</v>
      </c>
      <c r="G17" s="308" t="s">
        <v>110</v>
      </c>
      <c r="H17" s="309" t="s">
        <v>110</v>
      </c>
      <c r="I17" s="323" t="s">
        <v>110</v>
      </c>
      <c r="J17" s="419" t="s">
        <v>110</v>
      </c>
      <c r="K17" s="309" t="s">
        <v>110</v>
      </c>
      <c r="L17" s="324" t="s">
        <v>110</v>
      </c>
      <c r="M17" s="309" t="s">
        <v>110</v>
      </c>
      <c r="N17" s="309" t="s">
        <v>110</v>
      </c>
      <c r="O17" s="324" t="s">
        <v>110</v>
      </c>
      <c r="P17" s="326" t="s">
        <v>110</v>
      </c>
      <c r="Q17" s="309" t="s">
        <v>110</v>
      </c>
      <c r="R17" s="324" t="s">
        <v>110</v>
      </c>
      <c r="S17" s="204" t="s">
        <v>110</v>
      </c>
      <c r="T17" s="204" t="s">
        <v>110</v>
      </c>
    </row>
    <row r="18" spans="1:20" s="2" customFormat="1" x14ac:dyDescent="0.3">
      <c r="A18" s="298" t="s">
        <v>312</v>
      </c>
      <c r="B18" s="299" t="s">
        <v>1206</v>
      </c>
      <c r="C18" s="302" t="s">
        <v>89</v>
      </c>
      <c r="D18" s="303">
        <v>1</v>
      </c>
      <c r="E18" s="356">
        <v>2350.85</v>
      </c>
      <c r="F18" s="356">
        <f>+ROUND((D18*E18),2)</f>
        <v>2350.85</v>
      </c>
      <c r="G18" s="278">
        <v>1</v>
      </c>
      <c r="H18" s="240">
        <f>G18*E18</f>
        <v>2350.85</v>
      </c>
      <c r="I18" s="241">
        <f t="shared" ref="I18:I204" si="0">+G18/D18</f>
        <v>1</v>
      </c>
      <c r="J18" s="419"/>
      <c r="K18" s="242">
        <f>J18*E18</f>
        <v>0</v>
      </c>
      <c r="L18" s="243">
        <f>+J18/D18</f>
        <v>0</v>
      </c>
      <c r="M18" s="240">
        <f>+G18+J18</f>
        <v>1</v>
      </c>
      <c r="N18" s="240">
        <f>M18*E18</f>
        <v>2350.85</v>
      </c>
      <c r="O18" s="244">
        <f>+M18/D18</f>
        <v>1</v>
      </c>
      <c r="P18" s="211">
        <f>+D18-M18</f>
        <v>0</v>
      </c>
      <c r="Q18" s="212">
        <f>P18*E18</f>
        <v>0</v>
      </c>
      <c r="R18" s="213">
        <f>+P18/D18</f>
        <v>0</v>
      </c>
      <c r="S18" s="204">
        <f>N18+Q18</f>
        <v>2350.85</v>
      </c>
      <c r="T18" s="204">
        <f>F18-S18</f>
        <v>0</v>
      </c>
    </row>
    <row r="19" spans="1:20" s="2" customFormat="1" x14ac:dyDescent="0.3">
      <c r="A19" s="298" t="s">
        <v>313</v>
      </c>
      <c r="B19" s="299" t="s">
        <v>1207</v>
      </c>
      <c r="C19" s="302" t="s">
        <v>94</v>
      </c>
      <c r="D19" s="303">
        <v>48.86</v>
      </c>
      <c r="E19" s="356">
        <v>27.65</v>
      </c>
      <c r="F19" s="356">
        <f t="shared" ref="F19:F29" si="1">+ROUND((D19*E19),2)</f>
        <v>1350.98</v>
      </c>
      <c r="G19" s="278">
        <v>48.86</v>
      </c>
      <c r="H19" s="240">
        <f>G19*E19</f>
        <v>1350.9789999999998</v>
      </c>
      <c r="I19" s="241">
        <f t="shared" si="0"/>
        <v>1</v>
      </c>
      <c r="J19" s="419"/>
      <c r="K19" s="242">
        <f>J19*E19</f>
        <v>0</v>
      </c>
      <c r="L19" s="243">
        <f>+J19/D19</f>
        <v>0</v>
      </c>
      <c r="M19" s="240">
        <f t="shared" ref="M19:M80" si="2">+G19+J19</f>
        <v>48.86</v>
      </c>
      <c r="N19" s="240">
        <f>M19*E19</f>
        <v>1350.9789999999998</v>
      </c>
      <c r="O19" s="244">
        <f>+M19/D19</f>
        <v>1</v>
      </c>
      <c r="P19" s="211">
        <f>+D19-M19</f>
        <v>0</v>
      </c>
      <c r="Q19" s="212">
        <f>P19*E19</f>
        <v>0</v>
      </c>
      <c r="R19" s="213">
        <f>+P19/D19</f>
        <v>0</v>
      </c>
      <c r="S19" s="204">
        <f>N19+Q19</f>
        <v>1350.9789999999998</v>
      </c>
      <c r="T19" s="204">
        <f>F19-S19</f>
        <v>1.0000000002037268E-3</v>
      </c>
    </row>
    <row r="20" spans="1:20" s="2" customFormat="1" x14ac:dyDescent="0.3">
      <c r="A20" s="298" t="s">
        <v>314</v>
      </c>
      <c r="B20" s="299" t="s">
        <v>1208</v>
      </c>
      <c r="C20" s="302" t="s">
        <v>94</v>
      </c>
      <c r="D20" s="303">
        <v>48.86</v>
      </c>
      <c r="E20" s="356">
        <v>42.57</v>
      </c>
      <c r="F20" s="356">
        <f t="shared" si="1"/>
        <v>2079.9699999999998</v>
      </c>
      <c r="G20" s="278">
        <v>48.86</v>
      </c>
      <c r="H20" s="240">
        <f>G20*E20</f>
        <v>2079.9702000000002</v>
      </c>
      <c r="I20" s="241">
        <f t="shared" si="0"/>
        <v>1</v>
      </c>
      <c r="J20" s="419"/>
      <c r="K20" s="242">
        <f>J20*E20</f>
        <v>0</v>
      </c>
      <c r="L20" s="243">
        <f>+J20/D20</f>
        <v>0</v>
      </c>
      <c r="M20" s="240">
        <f t="shared" si="2"/>
        <v>48.86</v>
      </c>
      <c r="N20" s="240">
        <f>M20*E20</f>
        <v>2079.9702000000002</v>
      </c>
      <c r="O20" s="244">
        <f>+M20/D20</f>
        <v>1</v>
      </c>
      <c r="P20" s="211">
        <f>+D20-M20</f>
        <v>0</v>
      </c>
      <c r="Q20" s="212">
        <f>P20*E20</f>
        <v>0</v>
      </c>
      <c r="R20" s="213">
        <f>+P20/D20</f>
        <v>0</v>
      </c>
      <c r="S20" s="204">
        <f>N20+Q20</f>
        <v>2079.9702000000002</v>
      </c>
      <c r="T20" s="204">
        <f>F20-S20</f>
        <v>-2.0000000040454324E-4</v>
      </c>
    </row>
    <row r="21" spans="1:20" s="2" customFormat="1" x14ac:dyDescent="0.3">
      <c r="A21" s="298" t="s">
        <v>315</v>
      </c>
      <c r="B21" s="299" t="s">
        <v>1209</v>
      </c>
      <c r="C21" s="302" t="s">
        <v>92</v>
      </c>
      <c r="D21" s="303">
        <v>26</v>
      </c>
      <c r="E21" s="356">
        <v>88.91</v>
      </c>
      <c r="F21" s="356">
        <f t="shared" si="1"/>
        <v>2311.66</v>
      </c>
      <c r="G21" s="278">
        <v>26</v>
      </c>
      <c r="H21" s="240">
        <f>G21*E21</f>
        <v>2311.66</v>
      </c>
      <c r="I21" s="241">
        <f t="shared" si="0"/>
        <v>1</v>
      </c>
      <c r="J21" s="419"/>
      <c r="K21" s="242">
        <f>J21*E21</f>
        <v>0</v>
      </c>
      <c r="L21" s="243">
        <f>+J21/D21</f>
        <v>0</v>
      </c>
      <c r="M21" s="240">
        <f t="shared" si="2"/>
        <v>26</v>
      </c>
      <c r="N21" s="240">
        <f>M21*E21</f>
        <v>2311.66</v>
      </c>
      <c r="O21" s="244">
        <f>+M21/D21</f>
        <v>1</v>
      </c>
      <c r="P21" s="211">
        <f>+D21-M21</f>
        <v>0</v>
      </c>
      <c r="Q21" s="212">
        <f>P21*E21</f>
        <v>0</v>
      </c>
      <c r="R21" s="213">
        <f>+P21/D21</f>
        <v>0</v>
      </c>
      <c r="S21" s="204">
        <f>N21+Q21</f>
        <v>2311.66</v>
      </c>
      <c r="T21" s="204">
        <f>F21-S21</f>
        <v>0</v>
      </c>
    </row>
    <row r="22" spans="1:20" s="70" customFormat="1" x14ac:dyDescent="0.3">
      <c r="A22" s="298" t="s">
        <v>316</v>
      </c>
      <c r="B22" s="299" t="s">
        <v>1210</v>
      </c>
      <c r="C22" s="302" t="s">
        <v>90</v>
      </c>
      <c r="D22" s="303">
        <v>1</v>
      </c>
      <c r="E22" s="356">
        <v>2280</v>
      </c>
      <c r="F22" s="356">
        <f t="shared" si="1"/>
        <v>2280</v>
      </c>
      <c r="G22" s="278">
        <v>1</v>
      </c>
      <c r="H22" s="240">
        <f>G22*E22</f>
        <v>2280</v>
      </c>
      <c r="I22" s="241">
        <f t="shared" ref="I22" si="3">+G22/D22</f>
        <v>1</v>
      </c>
      <c r="J22" s="419"/>
      <c r="K22" s="242">
        <f>J22*E22</f>
        <v>0</v>
      </c>
      <c r="L22" s="243">
        <f>+J22/D22</f>
        <v>0</v>
      </c>
      <c r="M22" s="240">
        <f t="shared" si="2"/>
        <v>1</v>
      </c>
      <c r="N22" s="240">
        <f>M22*E22</f>
        <v>2280</v>
      </c>
      <c r="O22" s="244">
        <f>+M22/D22</f>
        <v>1</v>
      </c>
      <c r="P22" s="211">
        <f>+D22-M22</f>
        <v>0</v>
      </c>
      <c r="Q22" s="212">
        <f>P22*E22</f>
        <v>0</v>
      </c>
      <c r="R22" s="213">
        <f>+P22/D22</f>
        <v>0</v>
      </c>
      <c r="S22" s="204">
        <f>N22+Q22</f>
        <v>2280</v>
      </c>
      <c r="T22" s="204">
        <f>F22-S22</f>
        <v>0</v>
      </c>
    </row>
    <row r="23" spans="1:20" s="2" customFormat="1" x14ac:dyDescent="0.3">
      <c r="A23" s="298" t="s">
        <v>317</v>
      </c>
      <c r="B23" s="299" t="s">
        <v>1211</v>
      </c>
      <c r="C23" s="302" t="s">
        <v>90</v>
      </c>
      <c r="D23" s="303">
        <v>1</v>
      </c>
      <c r="E23" s="356">
        <v>836</v>
      </c>
      <c r="F23" s="356">
        <f t="shared" si="1"/>
        <v>836</v>
      </c>
      <c r="G23" s="278">
        <v>1</v>
      </c>
      <c r="H23" s="240">
        <f t="shared" ref="H23:H28" si="4">G23*E23</f>
        <v>836</v>
      </c>
      <c r="I23" s="241">
        <f t="shared" si="0"/>
        <v>1</v>
      </c>
      <c r="J23" s="419"/>
      <c r="K23" s="242">
        <f t="shared" ref="K23:K28" si="5">J23*E23</f>
        <v>0</v>
      </c>
      <c r="L23" s="243">
        <f t="shared" ref="L23:L28" si="6">+J23/D23</f>
        <v>0</v>
      </c>
      <c r="M23" s="240">
        <f t="shared" si="2"/>
        <v>1</v>
      </c>
      <c r="N23" s="240">
        <f t="shared" ref="N23:N28" si="7">M23*E23</f>
        <v>836</v>
      </c>
      <c r="O23" s="244">
        <f t="shared" ref="O23:O28" si="8">+M23/D23</f>
        <v>1</v>
      </c>
      <c r="P23" s="211">
        <f t="shared" ref="P23:P28" si="9">+D23-M23</f>
        <v>0</v>
      </c>
      <c r="Q23" s="212">
        <f t="shared" ref="Q23:Q28" si="10">P23*E23</f>
        <v>0</v>
      </c>
      <c r="R23" s="213">
        <f t="shared" ref="R23:R28" si="11">+P23/D23</f>
        <v>0</v>
      </c>
      <c r="S23" s="204">
        <f t="shared" ref="S23:S28" si="12">N23+Q23</f>
        <v>836</v>
      </c>
      <c r="T23" s="204">
        <f t="shared" ref="T23:T28" si="13">F23-S23</f>
        <v>0</v>
      </c>
    </row>
    <row r="24" spans="1:20" s="2" customFormat="1" x14ac:dyDescent="0.3">
      <c r="A24" s="304" t="s">
        <v>175</v>
      </c>
      <c r="B24" s="305" t="s">
        <v>1212</v>
      </c>
      <c r="C24" s="306" t="s">
        <v>160</v>
      </c>
      <c r="D24" s="307"/>
      <c r="E24" s="347"/>
      <c r="F24" s="348">
        <f>SUM(F25:F29)</f>
        <v>5709.02</v>
      </c>
      <c r="G24" s="308"/>
      <c r="H24" s="309" t="s">
        <v>110</v>
      </c>
      <c r="I24" s="323" t="s">
        <v>110</v>
      </c>
      <c r="J24" s="419"/>
      <c r="K24" s="309" t="s">
        <v>110</v>
      </c>
      <c r="L24" s="324" t="s">
        <v>110</v>
      </c>
      <c r="M24" s="309"/>
      <c r="N24" s="309" t="s">
        <v>110</v>
      </c>
      <c r="O24" s="324" t="s">
        <v>110</v>
      </c>
      <c r="P24" s="326" t="s">
        <v>110</v>
      </c>
      <c r="Q24" s="309" t="s">
        <v>110</v>
      </c>
      <c r="R24" s="324" t="s">
        <v>110</v>
      </c>
      <c r="S24" s="204" t="s">
        <v>110</v>
      </c>
      <c r="T24" s="204" t="s">
        <v>110</v>
      </c>
    </row>
    <row r="25" spans="1:20" s="2" customFormat="1" x14ac:dyDescent="0.3">
      <c r="A25" s="298" t="s">
        <v>318</v>
      </c>
      <c r="B25" s="300" t="s">
        <v>1213</v>
      </c>
      <c r="C25" s="302" t="s">
        <v>91</v>
      </c>
      <c r="D25" s="303">
        <v>4</v>
      </c>
      <c r="E25" s="356">
        <v>570</v>
      </c>
      <c r="F25" s="356">
        <f t="shared" si="1"/>
        <v>2280</v>
      </c>
      <c r="G25" s="278">
        <v>2</v>
      </c>
      <c r="H25" s="240">
        <f t="shared" si="4"/>
        <v>1140</v>
      </c>
      <c r="I25" s="241">
        <f t="shared" si="0"/>
        <v>0.5</v>
      </c>
      <c r="J25" s="419">
        <v>1</v>
      </c>
      <c r="K25" s="242">
        <f t="shared" si="5"/>
        <v>570</v>
      </c>
      <c r="L25" s="243">
        <f t="shared" si="6"/>
        <v>0.25</v>
      </c>
      <c r="M25" s="240">
        <f t="shared" si="2"/>
        <v>3</v>
      </c>
      <c r="N25" s="240">
        <f t="shared" si="7"/>
        <v>1710</v>
      </c>
      <c r="O25" s="244">
        <f t="shared" si="8"/>
        <v>0.75</v>
      </c>
      <c r="P25" s="211">
        <f t="shared" si="9"/>
        <v>1</v>
      </c>
      <c r="Q25" s="212">
        <f t="shared" si="10"/>
        <v>570</v>
      </c>
      <c r="R25" s="213">
        <f t="shared" si="11"/>
        <v>0.25</v>
      </c>
      <c r="S25" s="204">
        <f t="shared" si="12"/>
        <v>2280</v>
      </c>
      <c r="T25" s="204">
        <f t="shared" si="13"/>
        <v>0</v>
      </c>
    </row>
    <row r="26" spans="1:20" s="2" customFormat="1" x14ac:dyDescent="0.3">
      <c r="A26" s="298" t="s">
        <v>319</v>
      </c>
      <c r="B26" s="300" t="s">
        <v>1214</v>
      </c>
      <c r="C26" s="302" t="s">
        <v>90</v>
      </c>
      <c r="D26" s="303">
        <v>1</v>
      </c>
      <c r="E26" s="356">
        <v>446.02</v>
      </c>
      <c r="F26" s="356">
        <f t="shared" si="1"/>
        <v>446.02</v>
      </c>
      <c r="G26" s="278">
        <v>1</v>
      </c>
      <c r="H26" s="240">
        <f t="shared" si="4"/>
        <v>446.02</v>
      </c>
      <c r="I26" s="241">
        <f t="shared" si="0"/>
        <v>1</v>
      </c>
      <c r="J26" s="419"/>
      <c r="K26" s="242">
        <f t="shared" si="5"/>
        <v>0</v>
      </c>
      <c r="L26" s="243">
        <f t="shared" si="6"/>
        <v>0</v>
      </c>
      <c r="M26" s="240">
        <f t="shared" si="2"/>
        <v>1</v>
      </c>
      <c r="N26" s="240">
        <f t="shared" si="7"/>
        <v>446.02</v>
      </c>
      <c r="O26" s="244">
        <f t="shared" si="8"/>
        <v>1</v>
      </c>
      <c r="P26" s="211">
        <f t="shared" si="9"/>
        <v>0</v>
      </c>
      <c r="Q26" s="212">
        <f t="shared" si="10"/>
        <v>0</v>
      </c>
      <c r="R26" s="213">
        <f t="shared" si="11"/>
        <v>0</v>
      </c>
      <c r="S26" s="204">
        <f t="shared" si="12"/>
        <v>446.02</v>
      </c>
      <c r="T26" s="204">
        <f t="shared" si="13"/>
        <v>0</v>
      </c>
    </row>
    <row r="27" spans="1:20" s="2" customFormat="1" x14ac:dyDescent="0.3">
      <c r="A27" s="298" t="s">
        <v>320</v>
      </c>
      <c r="B27" s="300" t="s">
        <v>1215</v>
      </c>
      <c r="C27" s="302" t="s">
        <v>90</v>
      </c>
      <c r="D27" s="303">
        <v>1</v>
      </c>
      <c r="E27" s="356">
        <v>380</v>
      </c>
      <c r="F27" s="356">
        <f t="shared" si="1"/>
        <v>380</v>
      </c>
      <c r="G27" s="278">
        <v>1</v>
      </c>
      <c r="H27" s="240">
        <f t="shared" si="4"/>
        <v>380</v>
      </c>
      <c r="I27" s="241">
        <f t="shared" si="0"/>
        <v>1</v>
      </c>
      <c r="J27" s="419"/>
      <c r="K27" s="242">
        <f t="shared" si="5"/>
        <v>0</v>
      </c>
      <c r="L27" s="243">
        <f t="shared" si="6"/>
        <v>0</v>
      </c>
      <c r="M27" s="240">
        <f t="shared" si="2"/>
        <v>1</v>
      </c>
      <c r="N27" s="240">
        <f t="shared" si="7"/>
        <v>380</v>
      </c>
      <c r="O27" s="244">
        <f t="shared" si="8"/>
        <v>1</v>
      </c>
      <c r="P27" s="211">
        <f t="shared" si="9"/>
        <v>0</v>
      </c>
      <c r="Q27" s="212">
        <f t="shared" si="10"/>
        <v>0</v>
      </c>
      <c r="R27" s="213">
        <f t="shared" si="11"/>
        <v>0</v>
      </c>
      <c r="S27" s="204">
        <f t="shared" si="12"/>
        <v>380</v>
      </c>
      <c r="T27" s="204">
        <f t="shared" si="13"/>
        <v>0</v>
      </c>
    </row>
    <row r="28" spans="1:20" s="2" customFormat="1" x14ac:dyDescent="0.3">
      <c r="A28" s="298" t="s">
        <v>321</v>
      </c>
      <c r="B28" s="300" t="s">
        <v>1216</v>
      </c>
      <c r="C28" s="302" t="s">
        <v>91</v>
      </c>
      <c r="D28" s="303">
        <v>4</v>
      </c>
      <c r="E28" s="356">
        <v>285</v>
      </c>
      <c r="F28" s="356">
        <f t="shared" si="1"/>
        <v>1140</v>
      </c>
      <c r="G28" s="278">
        <v>2</v>
      </c>
      <c r="H28" s="240">
        <f t="shared" si="4"/>
        <v>570</v>
      </c>
      <c r="I28" s="241">
        <f t="shared" si="0"/>
        <v>0.5</v>
      </c>
      <c r="J28" s="419">
        <v>1</v>
      </c>
      <c r="K28" s="242">
        <f t="shared" si="5"/>
        <v>285</v>
      </c>
      <c r="L28" s="243">
        <f t="shared" si="6"/>
        <v>0.25</v>
      </c>
      <c r="M28" s="240">
        <f t="shared" si="2"/>
        <v>3</v>
      </c>
      <c r="N28" s="240">
        <f t="shared" si="7"/>
        <v>855</v>
      </c>
      <c r="O28" s="244">
        <f t="shared" si="8"/>
        <v>0.75</v>
      </c>
      <c r="P28" s="211">
        <f t="shared" si="9"/>
        <v>1</v>
      </c>
      <c r="Q28" s="212">
        <f t="shared" si="10"/>
        <v>285</v>
      </c>
      <c r="R28" s="213">
        <f t="shared" si="11"/>
        <v>0.25</v>
      </c>
      <c r="S28" s="204">
        <f t="shared" si="12"/>
        <v>1140</v>
      </c>
      <c r="T28" s="204">
        <f t="shared" si="13"/>
        <v>0</v>
      </c>
    </row>
    <row r="29" spans="1:20" s="2" customFormat="1" x14ac:dyDescent="0.3">
      <c r="A29" s="298" t="s">
        <v>322</v>
      </c>
      <c r="B29" s="300" t="s">
        <v>1217</v>
      </c>
      <c r="C29" s="302" t="s">
        <v>91</v>
      </c>
      <c r="D29" s="303">
        <v>4</v>
      </c>
      <c r="E29" s="356">
        <v>365.75</v>
      </c>
      <c r="F29" s="356">
        <f t="shared" si="1"/>
        <v>1463</v>
      </c>
      <c r="G29" s="278">
        <v>2</v>
      </c>
      <c r="H29" s="240">
        <f t="shared" ref="H29" si="14">G29*E29</f>
        <v>731.5</v>
      </c>
      <c r="I29" s="241">
        <f t="shared" ref="I29" si="15">+G29/D29</f>
        <v>0.5</v>
      </c>
      <c r="J29" s="419">
        <v>1</v>
      </c>
      <c r="K29" s="242">
        <f t="shared" ref="K29" si="16">J29*E29</f>
        <v>365.75</v>
      </c>
      <c r="L29" s="243">
        <f t="shared" ref="L29" si="17">+J29/D29</f>
        <v>0.25</v>
      </c>
      <c r="M29" s="240">
        <f t="shared" si="2"/>
        <v>3</v>
      </c>
      <c r="N29" s="240">
        <f t="shared" ref="N29" si="18">M29*E29</f>
        <v>1097.25</v>
      </c>
      <c r="O29" s="244">
        <f t="shared" ref="O29" si="19">+M29/D29</f>
        <v>0.75</v>
      </c>
      <c r="P29" s="211">
        <f t="shared" ref="P29" si="20">+D29-M29</f>
        <v>1</v>
      </c>
      <c r="Q29" s="212">
        <f t="shared" ref="Q29" si="21">P29*E29</f>
        <v>365.75</v>
      </c>
      <c r="R29" s="213">
        <f t="shared" ref="R29" si="22">+P29/D29</f>
        <v>0.25</v>
      </c>
      <c r="S29" s="204">
        <f t="shared" ref="S29" si="23">N29+Q29</f>
        <v>1463</v>
      </c>
      <c r="T29" s="204">
        <f t="shared" ref="T29" si="24">F29-S29</f>
        <v>0</v>
      </c>
    </row>
    <row r="30" spans="1:20" s="70" customFormat="1" ht="15" customHeight="1" x14ac:dyDescent="0.3">
      <c r="A30" s="304" t="s">
        <v>176</v>
      </c>
      <c r="B30" s="305" t="s">
        <v>216</v>
      </c>
      <c r="C30" s="306" t="s">
        <v>160</v>
      </c>
      <c r="D30" s="307"/>
      <c r="E30" s="345"/>
      <c r="F30" s="346">
        <f>+F31+F34+F42</f>
        <v>4767.26</v>
      </c>
      <c r="G30" s="308"/>
      <c r="H30" s="309" t="s">
        <v>110</v>
      </c>
      <c r="I30" s="323" t="s">
        <v>110</v>
      </c>
      <c r="J30" s="419"/>
      <c r="K30" s="309" t="s">
        <v>110</v>
      </c>
      <c r="L30" s="324" t="s">
        <v>110</v>
      </c>
      <c r="M30" s="309"/>
      <c r="N30" s="309" t="s">
        <v>110</v>
      </c>
      <c r="O30" s="324" t="s">
        <v>110</v>
      </c>
      <c r="P30" s="326" t="s">
        <v>110</v>
      </c>
      <c r="Q30" s="309" t="s">
        <v>110</v>
      </c>
      <c r="R30" s="324" t="s">
        <v>110</v>
      </c>
      <c r="S30" s="204" t="s">
        <v>110</v>
      </c>
      <c r="T30" s="204" t="e">
        <f t="shared" ref="T30:T41" si="25">F30-S30</f>
        <v>#VALUE!</v>
      </c>
    </row>
    <row r="31" spans="1:20" s="70" customFormat="1" x14ac:dyDescent="0.3">
      <c r="A31" s="313" t="s">
        <v>177</v>
      </c>
      <c r="B31" s="312" t="s">
        <v>1218</v>
      </c>
      <c r="C31" s="306" t="s">
        <v>160</v>
      </c>
      <c r="D31" s="307"/>
      <c r="E31" s="347"/>
      <c r="F31" s="348">
        <f>SUM(F32:F33)</f>
        <v>1719.98</v>
      </c>
      <c r="G31" s="308"/>
      <c r="H31" s="309" t="s">
        <v>110</v>
      </c>
      <c r="I31" s="323" t="s">
        <v>110</v>
      </c>
      <c r="J31" s="419"/>
      <c r="K31" s="309" t="s">
        <v>110</v>
      </c>
      <c r="L31" s="324" t="s">
        <v>110</v>
      </c>
      <c r="M31" s="309"/>
      <c r="N31" s="309" t="s">
        <v>110</v>
      </c>
      <c r="O31" s="324" t="s">
        <v>110</v>
      </c>
      <c r="P31" s="326" t="s">
        <v>110</v>
      </c>
      <c r="Q31" s="309" t="s">
        <v>110</v>
      </c>
      <c r="R31" s="324" t="s">
        <v>110</v>
      </c>
      <c r="S31" s="204" t="s">
        <v>110</v>
      </c>
      <c r="T31" s="204" t="e">
        <f t="shared" si="25"/>
        <v>#VALUE!</v>
      </c>
    </row>
    <row r="32" spans="1:20" s="70" customFormat="1" x14ac:dyDescent="0.3">
      <c r="A32" s="298" t="s">
        <v>323</v>
      </c>
      <c r="B32" s="300" t="s">
        <v>1219</v>
      </c>
      <c r="C32" s="302" t="s">
        <v>92</v>
      </c>
      <c r="D32" s="303">
        <v>163</v>
      </c>
      <c r="E32" s="356">
        <v>5.13</v>
      </c>
      <c r="F32" s="356">
        <f t="shared" ref="F32:F63" si="26">+ROUND((D32*E32),2)</f>
        <v>836.19</v>
      </c>
      <c r="G32" s="278">
        <v>163</v>
      </c>
      <c r="H32" s="240">
        <f t="shared" ref="H32:H33" si="27">G32*E32</f>
        <v>836.18999999999994</v>
      </c>
      <c r="I32" s="241">
        <f t="shared" ref="I32:I33" si="28">+G32/D32</f>
        <v>1</v>
      </c>
      <c r="J32" s="419"/>
      <c r="K32" s="242">
        <f t="shared" ref="K32:K33" si="29">J32*E32</f>
        <v>0</v>
      </c>
      <c r="L32" s="243">
        <f t="shared" ref="L32:L33" si="30">+J32/D32</f>
        <v>0</v>
      </c>
      <c r="M32" s="240">
        <f t="shared" si="2"/>
        <v>163</v>
      </c>
      <c r="N32" s="240">
        <f t="shared" ref="N32:N33" si="31">M32*E32</f>
        <v>836.18999999999994</v>
      </c>
      <c r="O32" s="244">
        <f t="shared" ref="O32:O33" si="32">+M32/D32</f>
        <v>1</v>
      </c>
      <c r="P32" s="211">
        <f t="shared" ref="P32:P33" si="33">+D32-M32</f>
        <v>0</v>
      </c>
      <c r="Q32" s="212">
        <f t="shared" ref="Q32:Q33" si="34">P32*E32</f>
        <v>0</v>
      </c>
      <c r="R32" s="213">
        <f t="shared" ref="R32:R33" si="35">+P32/D32</f>
        <v>0</v>
      </c>
      <c r="S32" s="204">
        <f t="shared" ref="S32:S33" si="36">N32+Q32</f>
        <v>836.18999999999994</v>
      </c>
      <c r="T32" s="204">
        <f t="shared" si="25"/>
        <v>0</v>
      </c>
    </row>
    <row r="33" spans="1:20" s="2" customFormat="1" x14ac:dyDescent="0.3">
      <c r="A33" s="298" t="s">
        <v>324</v>
      </c>
      <c r="B33" s="300" t="s">
        <v>1220</v>
      </c>
      <c r="C33" s="302" t="s">
        <v>93</v>
      </c>
      <c r="D33" s="303">
        <v>28.2</v>
      </c>
      <c r="E33" s="356">
        <v>31.34</v>
      </c>
      <c r="F33" s="356">
        <f t="shared" si="26"/>
        <v>883.79</v>
      </c>
      <c r="G33" s="278">
        <v>28.2</v>
      </c>
      <c r="H33" s="240">
        <f t="shared" si="27"/>
        <v>883.78800000000001</v>
      </c>
      <c r="I33" s="241">
        <f t="shared" si="28"/>
        <v>1</v>
      </c>
      <c r="J33" s="419"/>
      <c r="K33" s="242">
        <f t="shared" si="29"/>
        <v>0</v>
      </c>
      <c r="L33" s="243">
        <f t="shared" si="30"/>
        <v>0</v>
      </c>
      <c r="M33" s="240">
        <f t="shared" si="2"/>
        <v>28.2</v>
      </c>
      <c r="N33" s="240">
        <f t="shared" si="31"/>
        <v>883.78800000000001</v>
      </c>
      <c r="O33" s="244">
        <f t="shared" si="32"/>
        <v>1</v>
      </c>
      <c r="P33" s="211">
        <f t="shared" si="33"/>
        <v>0</v>
      </c>
      <c r="Q33" s="212">
        <f t="shared" si="34"/>
        <v>0</v>
      </c>
      <c r="R33" s="213">
        <f t="shared" si="35"/>
        <v>0</v>
      </c>
      <c r="S33" s="204">
        <f t="shared" si="36"/>
        <v>883.78800000000001</v>
      </c>
      <c r="T33" s="204">
        <f t="shared" si="25"/>
        <v>1.9999999999527063E-3</v>
      </c>
    </row>
    <row r="34" spans="1:20" s="2" customFormat="1" x14ac:dyDescent="0.3">
      <c r="A34" s="313" t="s">
        <v>178</v>
      </c>
      <c r="B34" s="312" t="s">
        <v>1221</v>
      </c>
      <c r="C34" s="306" t="s">
        <v>160</v>
      </c>
      <c r="D34" s="307"/>
      <c r="E34" s="347"/>
      <c r="F34" s="348">
        <f>SUM(F35:F41)</f>
        <v>2081.7599999999998</v>
      </c>
      <c r="G34" s="308"/>
      <c r="H34" s="309" t="s">
        <v>110</v>
      </c>
      <c r="I34" s="323" t="s">
        <v>110</v>
      </c>
      <c r="J34" s="419"/>
      <c r="K34" s="309" t="s">
        <v>110</v>
      </c>
      <c r="L34" s="324" t="s">
        <v>110</v>
      </c>
      <c r="M34" s="309"/>
      <c r="N34" s="309" t="s">
        <v>110</v>
      </c>
      <c r="O34" s="324" t="s">
        <v>110</v>
      </c>
      <c r="P34" s="326" t="s">
        <v>110</v>
      </c>
      <c r="Q34" s="309" t="s">
        <v>110</v>
      </c>
      <c r="R34" s="324" t="s">
        <v>110</v>
      </c>
      <c r="S34" s="204" t="e">
        <f t="shared" ref="S34:S41" si="37">N34+Q34</f>
        <v>#VALUE!</v>
      </c>
      <c r="T34" s="204" t="e">
        <f t="shared" si="25"/>
        <v>#VALUE!</v>
      </c>
    </row>
    <row r="35" spans="1:20" s="2" customFormat="1" x14ac:dyDescent="0.3">
      <c r="A35" s="298" t="s">
        <v>325</v>
      </c>
      <c r="B35" s="300" t="s">
        <v>1222</v>
      </c>
      <c r="C35" s="302" t="s">
        <v>92</v>
      </c>
      <c r="D35" s="303">
        <v>30.39</v>
      </c>
      <c r="E35" s="356">
        <v>22.14</v>
      </c>
      <c r="F35" s="356">
        <f t="shared" si="26"/>
        <v>672.83</v>
      </c>
      <c r="G35" s="278">
        <v>30.39</v>
      </c>
      <c r="H35" s="240">
        <f t="shared" ref="H35:H41" si="38">G35*E35</f>
        <v>672.83460000000002</v>
      </c>
      <c r="I35" s="241">
        <f t="shared" ref="I35:I41" si="39">+G35/D35</f>
        <v>1</v>
      </c>
      <c r="J35" s="419"/>
      <c r="K35" s="242">
        <f t="shared" ref="K35:K41" si="40">J35*E35</f>
        <v>0</v>
      </c>
      <c r="L35" s="243">
        <f t="shared" ref="L35:L41" si="41">+J35/D35</f>
        <v>0</v>
      </c>
      <c r="M35" s="240">
        <f t="shared" si="2"/>
        <v>30.39</v>
      </c>
      <c r="N35" s="240">
        <f t="shared" ref="N35:N41" si="42">M35*E35</f>
        <v>672.83460000000002</v>
      </c>
      <c r="O35" s="244">
        <f t="shared" ref="O35:O41" si="43">+M35/D35</f>
        <v>1</v>
      </c>
      <c r="P35" s="211">
        <f t="shared" ref="P35:P41" si="44">+D35-M35</f>
        <v>0</v>
      </c>
      <c r="Q35" s="212">
        <f t="shared" ref="Q35:Q41" si="45">P35*E35</f>
        <v>0</v>
      </c>
      <c r="R35" s="213">
        <f t="shared" ref="R35:R41" si="46">+P35/D35</f>
        <v>0</v>
      </c>
      <c r="S35" s="204">
        <f t="shared" si="37"/>
        <v>672.83460000000002</v>
      </c>
      <c r="T35" s="204">
        <f t="shared" si="25"/>
        <v>-4.5999999999821739E-3</v>
      </c>
    </row>
    <row r="36" spans="1:20" s="2" customFormat="1" x14ac:dyDescent="0.3">
      <c r="A36" s="298" t="s">
        <v>326</v>
      </c>
      <c r="B36" s="300" t="s">
        <v>1223</v>
      </c>
      <c r="C36" s="302" t="s">
        <v>90</v>
      </c>
      <c r="D36" s="303">
        <v>1</v>
      </c>
      <c r="E36" s="357">
        <v>31.49</v>
      </c>
      <c r="F36" s="357">
        <f t="shared" si="26"/>
        <v>31.49</v>
      </c>
      <c r="G36" s="278">
        <v>1</v>
      </c>
      <c r="H36" s="240">
        <f t="shared" si="38"/>
        <v>31.49</v>
      </c>
      <c r="I36" s="241">
        <f t="shared" si="39"/>
        <v>1</v>
      </c>
      <c r="J36" s="419"/>
      <c r="K36" s="242">
        <f t="shared" si="40"/>
        <v>0</v>
      </c>
      <c r="L36" s="243">
        <f t="shared" si="41"/>
        <v>0</v>
      </c>
      <c r="M36" s="240">
        <f t="shared" si="2"/>
        <v>1</v>
      </c>
      <c r="N36" s="240">
        <f t="shared" si="42"/>
        <v>31.49</v>
      </c>
      <c r="O36" s="244">
        <f t="shared" si="43"/>
        <v>1</v>
      </c>
      <c r="P36" s="211">
        <f t="shared" si="44"/>
        <v>0</v>
      </c>
      <c r="Q36" s="212">
        <f t="shared" si="45"/>
        <v>0</v>
      </c>
      <c r="R36" s="213">
        <f t="shared" si="46"/>
        <v>0</v>
      </c>
      <c r="S36" s="204">
        <f t="shared" si="37"/>
        <v>31.49</v>
      </c>
      <c r="T36" s="204">
        <f t="shared" si="25"/>
        <v>0</v>
      </c>
    </row>
    <row r="37" spans="1:20" s="2" customFormat="1" x14ac:dyDescent="0.3">
      <c r="A37" s="298" t="s">
        <v>327</v>
      </c>
      <c r="B37" s="300" t="s">
        <v>1224</v>
      </c>
      <c r="C37" s="302" t="s">
        <v>92</v>
      </c>
      <c r="D37" s="303">
        <v>54.65</v>
      </c>
      <c r="E37" s="356">
        <v>15.11</v>
      </c>
      <c r="F37" s="356">
        <f t="shared" si="26"/>
        <v>825.76</v>
      </c>
      <c r="G37" s="278">
        <v>54.65</v>
      </c>
      <c r="H37" s="240">
        <f t="shared" si="38"/>
        <v>825.76149999999996</v>
      </c>
      <c r="I37" s="241">
        <f t="shared" si="39"/>
        <v>1</v>
      </c>
      <c r="J37" s="419"/>
      <c r="K37" s="242">
        <f t="shared" si="40"/>
        <v>0</v>
      </c>
      <c r="L37" s="243">
        <f t="shared" si="41"/>
        <v>0</v>
      </c>
      <c r="M37" s="240">
        <f t="shared" si="2"/>
        <v>54.65</v>
      </c>
      <c r="N37" s="240">
        <f t="shared" si="42"/>
        <v>825.76149999999996</v>
      </c>
      <c r="O37" s="244">
        <f t="shared" si="43"/>
        <v>1</v>
      </c>
      <c r="P37" s="211">
        <f t="shared" si="44"/>
        <v>0</v>
      </c>
      <c r="Q37" s="212">
        <f t="shared" si="45"/>
        <v>0</v>
      </c>
      <c r="R37" s="213">
        <f t="shared" si="46"/>
        <v>0</v>
      </c>
      <c r="S37" s="204">
        <f t="shared" si="37"/>
        <v>825.76149999999996</v>
      </c>
      <c r="T37" s="204">
        <f t="shared" si="25"/>
        <v>-1.4999999999645297E-3</v>
      </c>
    </row>
    <row r="38" spans="1:20" s="2" customFormat="1" x14ac:dyDescent="0.3">
      <c r="A38" s="298" t="s">
        <v>328</v>
      </c>
      <c r="B38" s="300" t="s">
        <v>1225</v>
      </c>
      <c r="C38" s="302" t="s">
        <v>92</v>
      </c>
      <c r="D38" s="303">
        <v>3.46</v>
      </c>
      <c r="E38" s="358">
        <v>26.75</v>
      </c>
      <c r="F38" s="358">
        <f t="shared" si="26"/>
        <v>92.56</v>
      </c>
      <c r="G38" s="278">
        <v>3.46</v>
      </c>
      <c r="H38" s="240">
        <f t="shared" si="38"/>
        <v>92.554999999999993</v>
      </c>
      <c r="I38" s="241">
        <f t="shared" si="39"/>
        <v>1</v>
      </c>
      <c r="J38" s="419"/>
      <c r="K38" s="242">
        <f t="shared" si="40"/>
        <v>0</v>
      </c>
      <c r="L38" s="243">
        <f t="shared" si="41"/>
        <v>0</v>
      </c>
      <c r="M38" s="240">
        <f t="shared" si="2"/>
        <v>3.46</v>
      </c>
      <c r="N38" s="240">
        <f t="shared" si="42"/>
        <v>92.554999999999993</v>
      </c>
      <c r="O38" s="244">
        <f t="shared" si="43"/>
        <v>1</v>
      </c>
      <c r="P38" s="211">
        <f t="shared" si="44"/>
        <v>0</v>
      </c>
      <c r="Q38" s="212">
        <f t="shared" si="45"/>
        <v>0</v>
      </c>
      <c r="R38" s="213">
        <f t="shared" si="46"/>
        <v>0</v>
      </c>
      <c r="S38" s="204">
        <f t="shared" si="37"/>
        <v>92.554999999999993</v>
      </c>
      <c r="T38" s="204">
        <f t="shared" si="25"/>
        <v>5.0000000000096634E-3</v>
      </c>
    </row>
    <row r="39" spans="1:20" s="2" customFormat="1" x14ac:dyDescent="0.3">
      <c r="A39" s="298" t="s">
        <v>329</v>
      </c>
      <c r="B39" s="300" t="s">
        <v>1226</v>
      </c>
      <c r="C39" s="302" t="s">
        <v>90</v>
      </c>
      <c r="D39" s="303">
        <v>1</v>
      </c>
      <c r="E39" s="358">
        <v>31.49</v>
      </c>
      <c r="F39" s="358">
        <f t="shared" si="26"/>
        <v>31.49</v>
      </c>
      <c r="G39" s="278">
        <v>1</v>
      </c>
      <c r="H39" s="240">
        <f t="shared" si="38"/>
        <v>31.49</v>
      </c>
      <c r="I39" s="241">
        <f t="shared" si="39"/>
        <v>1</v>
      </c>
      <c r="J39" s="419"/>
      <c r="K39" s="242">
        <f t="shared" si="40"/>
        <v>0</v>
      </c>
      <c r="L39" s="243">
        <f t="shared" si="41"/>
        <v>0</v>
      </c>
      <c r="M39" s="240">
        <f t="shared" si="2"/>
        <v>1</v>
      </c>
      <c r="N39" s="240">
        <f t="shared" si="42"/>
        <v>31.49</v>
      </c>
      <c r="O39" s="244">
        <f t="shared" si="43"/>
        <v>1</v>
      </c>
      <c r="P39" s="211">
        <f t="shared" si="44"/>
        <v>0</v>
      </c>
      <c r="Q39" s="212">
        <f t="shared" si="45"/>
        <v>0</v>
      </c>
      <c r="R39" s="213">
        <f t="shared" si="46"/>
        <v>0</v>
      </c>
      <c r="S39" s="204">
        <f t="shared" si="37"/>
        <v>31.49</v>
      </c>
      <c r="T39" s="204">
        <f t="shared" si="25"/>
        <v>0</v>
      </c>
    </row>
    <row r="40" spans="1:20" s="2" customFormat="1" x14ac:dyDescent="0.3">
      <c r="A40" s="298" t="s">
        <v>330</v>
      </c>
      <c r="B40" s="300" t="s">
        <v>1227</v>
      </c>
      <c r="C40" s="302" t="s">
        <v>90</v>
      </c>
      <c r="D40" s="303">
        <v>1</v>
      </c>
      <c r="E40" s="356">
        <v>31.49</v>
      </c>
      <c r="F40" s="356">
        <f t="shared" si="26"/>
        <v>31.49</v>
      </c>
      <c r="G40" s="278">
        <v>1</v>
      </c>
      <c r="H40" s="240">
        <f t="shared" si="38"/>
        <v>31.49</v>
      </c>
      <c r="I40" s="241">
        <f t="shared" si="39"/>
        <v>1</v>
      </c>
      <c r="J40" s="419"/>
      <c r="K40" s="242">
        <f t="shared" si="40"/>
        <v>0</v>
      </c>
      <c r="L40" s="243">
        <f t="shared" si="41"/>
        <v>0</v>
      </c>
      <c r="M40" s="240">
        <f t="shared" si="2"/>
        <v>1</v>
      </c>
      <c r="N40" s="240">
        <f t="shared" si="42"/>
        <v>31.49</v>
      </c>
      <c r="O40" s="244">
        <f t="shared" si="43"/>
        <v>1</v>
      </c>
      <c r="P40" s="211">
        <f t="shared" si="44"/>
        <v>0</v>
      </c>
      <c r="Q40" s="212">
        <f t="shared" si="45"/>
        <v>0</v>
      </c>
      <c r="R40" s="213">
        <f t="shared" si="46"/>
        <v>0</v>
      </c>
      <c r="S40" s="204">
        <f t="shared" si="37"/>
        <v>31.49</v>
      </c>
      <c r="T40" s="204">
        <f t="shared" si="25"/>
        <v>0</v>
      </c>
    </row>
    <row r="41" spans="1:20" s="2" customFormat="1" x14ac:dyDescent="0.3">
      <c r="A41" s="298" t="s">
        <v>331</v>
      </c>
      <c r="B41" s="300" t="s">
        <v>1228</v>
      </c>
      <c r="C41" s="302" t="s">
        <v>93</v>
      </c>
      <c r="D41" s="303">
        <v>12.64</v>
      </c>
      <c r="E41" s="356">
        <v>31.34</v>
      </c>
      <c r="F41" s="356">
        <f t="shared" si="26"/>
        <v>396.14</v>
      </c>
      <c r="G41" s="278">
        <v>12.64</v>
      </c>
      <c r="H41" s="240">
        <f t="shared" si="38"/>
        <v>396.13760000000002</v>
      </c>
      <c r="I41" s="241">
        <f t="shared" si="39"/>
        <v>1</v>
      </c>
      <c r="J41" s="419"/>
      <c r="K41" s="242">
        <f t="shared" si="40"/>
        <v>0</v>
      </c>
      <c r="L41" s="243">
        <f t="shared" si="41"/>
        <v>0</v>
      </c>
      <c r="M41" s="240">
        <f t="shared" si="2"/>
        <v>12.64</v>
      </c>
      <c r="N41" s="240">
        <f t="shared" si="42"/>
        <v>396.13760000000002</v>
      </c>
      <c r="O41" s="244">
        <f t="shared" si="43"/>
        <v>1</v>
      </c>
      <c r="P41" s="211">
        <f t="shared" si="44"/>
        <v>0</v>
      </c>
      <c r="Q41" s="212">
        <f t="shared" si="45"/>
        <v>0</v>
      </c>
      <c r="R41" s="213">
        <f t="shared" si="46"/>
        <v>0</v>
      </c>
      <c r="S41" s="204">
        <f t="shared" si="37"/>
        <v>396.13760000000002</v>
      </c>
      <c r="T41" s="204">
        <f t="shared" si="25"/>
        <v>2.3999999999659849E-3</v>
      </c>
    </row>
    <row r="42" spans="1:20" s="2" customFormat="1" x14ac:dyDescent="0.3">
      <c r="A42" s="311" t="s">
        <v>179</v>
      </c>
      <c r="B42" s="312" t="s">
        <v>1229</v>
      </c>
      <c r="C42" s="306" t="s">
        <v>160</v>
      </c>
      <c r="D42" s="307"/>
      <c r="E42" s="347"/>
      <c r="F42" s="348">
        <f>+F43</f>
        <v>965.52</v>
      </c>
      <c r="G42" s="308"/>
      <c r="H42" s="309" t="s">
        <v>110</v>
      </c>
      <c r="I42" s="323" t="s">
        <v>110</v>
      </c>
      <c r="J42" s="419"/>
      <c r="K42" s="309" t="s">
        <v>110</v>
      </c>
      <c r="L42" s="324" t="s">
        <v>110</v>
      </c>
      <c r="M42" s="309"/>
      <c r="N42" s="309" t="s">
        <v>110</v>
      </c>
      <c r="O42" s="324" t="s">
        <v>110</v>
      </c>
      <c r="P42" s="326" t="s">
        <v>110</v>
      </c>
      <c r="Q42" s="309" t="s">
        <v>110</v>
      </c>
      <c r="R42" s="324" t="s">
        <v>110</v>
      </c>
      <c r="S42" s="204" t="s">
        <v>110</v>
      </c>
      <c r="T42" s="204" t="s">
        <v>110</v>
      </c>
    </row>
    <row r="43" spans="1:20" s="2" customFormat="1" ht="18.899999999999999" customHeight="1" x14ac:dyDescent="0.3">
      <c r="A43" s="298" t="s">
        <v>332</v>
      </c>
      <c r="B43" s="300" t="s">
        <v>1219</v>
      </c>
      <c r="C43" s="302" t="s">
        <v>92</v>
      </c>
      <c r="D43" s="303">
        <v>188.21</v>
      </c>
      <c r="E43" s="356">
        <v>5.13</v>
      </c>
      <c r="F43" s="356">
        <f t="shared" si="26"/>
        <v>965.52</v>
      </c>
      <c r="G43" s="278">
        <v>188.21</v>
      </c>
      <c r="H43" s="240">
        <f t="shared" ref="H43" si="47">G43*E43</f>
        <v>965.51729999999998</v>
      </c>
      <c r="I43" s="241">
        <f t="shared" ref="I43" si="48">+G43/D43</f>
        <v>1</v>
      </c>
      <c r="J43" s="419"/>
      <c r="K43" s="242">
        <f t="shared" ref="K43" si="49">J43*E43</f>
        <v>0</v>
      </c>
      <c r="L43" s="243">
        <f t="shared" ref="L43" si="50">+J43/D43</f>
        <v>0</v>
      </c>
      <c r="M43" s="240">
        <f t="shared" si="2"/>
        <v>188.21</v>
      </c>
      <c r="N43" s="240">
        <f t="shared" ref="N43" si="51">M43*E43</f>
        <v>965.51729999999998</v>
      </c>
      <c r="O43" s="244">
        <f t="shared" ref="O43" si="52">+M43/D43</f>
        <v>1</v>
      </c>
      <c r="P43" s="211">
        <f t="shared" ref="P43" si="53">+D43-M43</f>
        <v>0</v>
      </c>
      <c r="Q43" s="212">
        <f t="shared" ref="Q43" si="54">P43*E43</f>
        <v>0</v>
      </c>
      <c r="R43" s="213">
        <f t="shared" ref="R43" si="55">+P43/D43</f>
        <v>0</v>
      </c>
      <c r="S43" s="204">
        <f t="shared" ref="S43" si="56">N43+Q43</f>
        <v>965.51729999999998</v>
      </c>
      <c r="T43" s="204">
        <f t="shared" ref="T43" si="57">F43-S43</f>
        <v>2.7000000000043656E-3</v>
      </c>
    </row>
    <row r="44" spans="1:20" s="2" customFormat="1" x14ac:dyDescent="0.3">
      <c r="A44" s="315">
        <v>1.03</v>
      </c>
      <c r="B44" s="305" t="s">
        <v>1230</v>
      </c>
      <c r="C44" s="306" t="s">
        <v>160</v>
      </c>
      <c r="D44" s="307"/>
      <c r="E44" s="345"/>
      <c r="F44" s="346">
        <f>SUM(F45:F50)</f>
        <v>22523.25</v>
      </c>
      <c r="G44" s="308"/>
      <c r="H44" s="309" t="s">
        <v>110</v>
      </c>
      <c r="I44" s="323" t="s">
        <v>110</v>
      </c>
      <c r="J44" s="419"/>
      <c r="K44" s="309" t="s">
        <v>110</v>
      </c>
      <c r="L44" s="324" t="s">
        <v>110</v>
      </c>
      <c r="M44" s="309"/>
      <c r="N44" s="309" t="s">
        <v>110</v>
      </c>
      <c r="O44" s="324" t="s">
        <v>110</v>
      </c>
      <c r="P44" s="326" t="s">
        <v>110</v>
      </c>
      <c r="Q44" s="309" t="s">
        <v>110</v>
      </c>
      <c r="R44" s="324" t="s">
        <v>110</v>
      </c>
      <c r="S44" s="204" t="s">
        <v>110</v>
      </c>
      <c r="T44" s="204" t="s">
        <v>110</v>
      </c>
    </row>
    <row r="45" spans="1:20" s="2" customFormat="1" ht="27.75" customHeight="1" x14ac:dyDescent="0.3">
      <c r="A45" s="298" t="s">
        <v>180</v>
      </c>
      <c r="B45" s="301" t="s">
        <v>1231</v>
      </c>
      <c r="C45" s="302" t="s">
        <v>90</v>
      </c>
      <c r="D45" s="303">
        <v>1</v>
      </c>
      <c r="E45" s="358">
        <v>120.76</v>
      </c>
      <c r="F45" s="358">
        <f t="shared" si="26"/>
        <v>120.76</v>
      </c>
      <c r="G45" s="278">
        <v>1</v>
      </c>
      <c r="H45" s="240">
        <f t="shared" ref="H45:H50" si="58">G45*E45</f>
        <v>120.76</v>
      </c>
      <c r="I45" s="241">
        <f t="shared" ref="I45:I50" si="59">+G45/D45</f>
        <v>1</v>
      </c>
      <c r="J45" s="419"/>
      <c r="K45" s="242">
        <f t="shared" ref="K45:K50" si="60">J45*E45</f>
        <v>0</v>
      </c>
      <c r="L45" s="243">
        <f t="shared" ref="L45:L50" si="61">+J45/D45</f>
        <v>0</v>
      </c>
      <c r="M45" s="240">
        <f t="shared" si="2"/>
        <v>1</v>
      </c>
      <c r="N45" s="240">
        <f t="shared" ref="N45:N50" si="62">M45*E45</f>
        <v>120.76</v>
      </c>
      <c r="O45" s="244">
        <f t="shared" ref="O45:O50" si="63">+M45/D45</f>
        <v>1</v>
      </c>
      <c r="P45" s="211">
        <f t="shared" ref="P45:P50" si="64">+D45-M45</f>
        <v>0</v>
      </c>
      <c r="Q45" s="212">
        <f t="shared" ref="Q45:Q50" si="65">P45*E45</f>
        <v>0</v>
      </c>
      <c r="R45" s="213">
        <f t="shared" ref="R45:R50" si="66">+P45/D45</f>
        <v>0</v>
      </c>
      <c r="S45" s="204">
        <f t="shared" ref="S45:S50" si="67">N45+Q45</f>
        <v>120.76</v>
      </c>
      <c r="T45" s="204">
        <f t="shared" ref="T45:T50" si="68">F45-S45</f>
        <v>0</v>
      </c>
    </row>
    <row r="46" spans="1:20" s="2" customFormat="1" x14ac:dyDescent="0.3">
      <c r="A46" s="298" t="s">
        <v>181</v>
      </c>
      <c r="B46" s="300" t="s">
        <v>276</v>
      </c>
      <c r="C46" s="302" t="s">
        <v>90</v>
      </c>
      <c r="D46" s="303">
        <v>1</v>
      </c>
      <c r="E46" s="356">
        <v>10384.450000000001</v>
      </c>
      <c r="F46" s="356">
        <f t="shared" si="26"/>
        <v>10384.450000000001</v>
      </c>
      <c r="G46" s="278">
        <v>0.5</v>
      </c>
      <c r="H46" s="240">
        <f t="shared" si="58"/>
        <v>5192.2250000000004</v>
      </c>
      <c r="I46" s="241">
        <f t="shared" si="59"/>
        <v>0.5</v>
      </c>
      <c r="J46" s="419">
        <v>0.25</v>
      </c>
      <c r="K46" s="242">
        <f t="shared" si="60"/>
        <v>2596.1125000000002</v>
      </c>
      <c r="L46" s="243">
        <f t="shared" si="61"/>
        <v>0.25</v>
      </c>
      <c r="M46" s="240">
        <f t="shared" si="2"/>
        <v>0.75</v>
      </c>
      <c r="N46" s="240">
        <f t="shared" si="62"/>
        <v>7788.3375000000005</v>
      </c>
      <c r="O46" s="244">
        <f t="shared" si="63"/>
        <v>0.75</v>
      </c>
      <c r="P46" s="211">
        <f t="shared" si="64"/>
        <v>0.25</v>
      </c>
      <c r="Q46" s="212">
        <f t="shared" si="65"/>
        <v>2596.1125000000002</v>
      </c>
      <c r="R46" s="213">
        <f t="shared" si="66"/>
        <v>0.25</v>
      </c>
      <c r="S46" s="204">
        <f t="shared" si="67"/>
        <v>10384.450000000001</v>
      </c>
      <c r="T46" s="204">
        <f t="shared" si="68"/>
        <v>0</v>
      </c>
    </row>
    <row r="47" spans="1:20" s="2" customFormat="1" x14ac:dyDescent="0.3">
      <c r="A47" s="298" t="s">
        <v>182</v>
      </c>
      <c r="B47" s="300" t="s">
        <v>277</v>
      </c>
      <c r="C47" s="302" t="s">
        <v>90</v>
      </c>
      <c r="D47" s="303">
        <v>1</v>
      </c>
      <c r="E47" s="356">
        <v>2375</v>
      </c>
      <c r="F47" s="356">
        <f t="shared" si="26"/>
        <v>2375</v>
      </c>
      <c r="G47" s="278">
        <v>0.5</v>
      </c>
      <c r="H47" s="240">
        <f t="shared" si="58"/>
        <v>1187.5</v>
      </c>
      <c r="I47" s="241">
        <f t="shared" si="59"/>
        <v>0.5</v>
      </c>
      <c r="J47" s="419">
        <v>0.25</v>
      </c>
      <c r="K47" s="242">
        <f t="shared" si="60"/>
        <v>593.75</v>
      </c>
      <c r="L47" s="243">
        <f t="shared" si="61"/>
        <v>0.25</v>
      </c>
      <c r="M47" s="240">
        <f t="shared" si="2"/>
        <v>0.75</v>
      </c>
      <c r="N47" s="240">
        <f t="shared" si="62"/>
        <v>1781.25</v>
      </c>
      <c r="O47" s="244">
        <f t="shared" si="63"/>
        <v>0.75</v>
      </c>
      <c r="P47" s="211">
        <f t="shared" si="64"/>
        <v>0.25</v>
      </c>
      <c r="Q47" s="212">
        <f t="shared" si="65"/>
        <v>593.75</v>
      </c>
      <c r="R47" s="213">
        <f t="shared" si="66"/>
        <v>0.25</v>
      </c>
      <c r="S47" s="204">
        <f t="shared" si="67"/>
        <v>2375</v>
      </c>
      <c r="T47" s="204">
        <f t="shared" si="68"/>
        <v>0</v>
      </c>
    </row>
    <row r="48" spans="1:20" s="2" customFormat="1" x14ac:dyDescent="0.3">
      <c r="A48" s="298" t="s">
        <v>183</v>
      </c>
      <c r="B48" s="300" t="s">
        <v>1232</v>
      </c>
      <c r="C48" s="302" t="s">
        <v>90</v>
      </c>
      <c r="D48" s="303">
        <v>1</v>
      </c>
      <c r="E48" s="356">
        <v>3349.7</v>
      </c>
      <c r="F48" s="356">
        <f t="shared" si="26"/>
        <v>3349.7</v>
      </c>
      <c r="G48" s="278">
        <v>0.5</v>
      </c>
      <c r="H48" s="240">
        <f t="shared" si="58"/>
        <v>1674.85</v>
      </c>
      <c r="I48" s="241">
        <f t="shared" si="59"/>
        <v>0.5</v>
      </c>
      <c r="J48" s="419">
        <v>0.25</v>
      </c>
      <c r="K48" s="242">
        <f t="shared" si="60"/>
        <v>837.42499999999995</v>
      </c>
      <c r="L48" s="243">
        <f t="shared" si="61"/>
        <v>0.25</v>
      </c>
      <c r="M48" s="240">
        <f t="shared" si="2"/>
        <v>0.75</v>
      </c>
      <c r="N48" s="240">
        <f t="shared" si="62"/>
        <v>2512.2749999999996</v>
      </c>
      <c r="O48" s="244">
        <f t="shared" si="63"/>
        <v>0.75</v>
      </c>
      <c r="P48" s="211">
        <f t="shared" si="64"/>
        <v>0.25</v>
      </c>
      <c r="Q48" s="212">
        <f t="shared" si="65"/>
        <v>837.42499999999995</v>
      </c>
      <c r="R48" s="213">
        <f t="shared" si="66"/>
        <v>0.25</v>
      </c>
      <c r="S48" s="204">
        <f t="shared" si="67"/>
        <v>3349.7</v>
      </c>
      <c r="T48" s="204">
        <f t="shared" si="68"/>
        <v>0</v>
      </c>
    </row>
    <row r="49" spans="1:20" s="2" customFormat="1" x14ac:dyDescent="0.3">
      <c r="A49" s="298" t="s">
        <v>184</v>
      </c>
      <c r="B49" s="300" t="s">
        <v>278</v>
      </c>
      <c r="C49" s="302" t="s">
        <v>90</v>
      </c>
      <c r="D49" s="303">
        <v>1</v>
      </c>
      <c r="E49" s="356">
        <v>3800</v>
      </c>
      <c r="F49" s="356">
        <f t="shared" si="26"/>
        <v>3800</v>
      </c>
      <c r="G49" s="278">
        <v>0.5</v>
      </c>
      <c r="H49" s="240">
        <f t="shared" si="58"/>
        <v>1900</v>
      </c>
      <c r="I49" s="241">
        <f t="shared" si="59"/>
        <v>0.5</v>
      </c>
      <c r="J49" s="419">
        <v>0.25</v>
      </c>
      <c r="K49" s="242">
        <f t="shared" si="60"/>
        <v>950</v>
      </c>
      <c r="L49" s="243">
        <f t="shared" si="61"/>
        <v>0.25</v>
      </c>
      <c r="M49" s="240">
        <f t="shared" si="2"/>
        <v>0.75</v>
      </c>
      <c r="N49" s="240">
        <f t="shared" si="62"/>
        <v>2850</v>
      </c>
      <c r="O49" s="244">
        <f t="shared" si="63"/>
        <v>0.75</v>
      </c>
      <c r="P49" s="211">
        <f t="shared" si="64"/>
        <v>0.25</v>
      </c>
      <c r="Q49" s="212">
        <f t="shared" si="65"/>
        <v>950</v>
      </c>
      <c r="R49" s="213">
        <f t="shared" si="66"/>
        <v>0.25</v>
      </c>
      <c r="S49" s="204">
        <f t="shared" si="67"/>
        <v>3800</v>
      </c>
      <c r="T49" s="204">
        <f t="shared" si="68"/>
        <v>0</v>
      </c>
    </row>
    <row r="50" spans="1:20" s="2" customFormat="1" x14ac:dyDescent="0.3">
      <c r="A50" s="298" t="s">
        <v>185</v>
      </c>
      <c r="B50" s="300" t="s">
        <v>1233</v>
      </c>
      <c r="C50" s="302" t="s">
        <v>90</v>
      </c>
      <c r="D50" s="303">
        <v>1</v>
      </c>
      <c r="E50" s="356">
        <v>2493.34</v>
      </c>
      <c r="F50" s="356">
        <f t="shared" si="26"/>
        <v>2493.34</v>
      </c>
      <c r="G50" s="278">
        <v>0.5</v>
      </c>
      <c r="H50" s="240">
        <f t="shared" si="58"/>
        <v>1246.67</v>
      </c>
      <c r="I50" s="241">
        <f t="shared" si="59"/>
        <v>0.5</v>
      </c>
      <c r="J50" s="419">
        <v>0.25</v>
      </c>
      <c r="K50" s="242">
        <f t="shared" si="60"/>
        <v>623.33500000000004</v>
      </c>
      <c r="L50" s="243">
        <f t="shared" si="61"/>
        <v>0.25</v>
      </c>
      <c r="M50" s="240">
        <f t="shared" si="2"/>
        <v>0.75</v>
      </c>
      <c r="N50" s="240">
        <f t="shared" si="62"/>
        <v>1870.0050000000001</v>
      </c>
      <c r="O50" s="244">
        <f t="shared" si="63"/>
        <v>0.75</v>
      </c>
      <c r="P50" s="211">
        <f t="shared" si="64"/>
        <v>0.25</v>
      </c>
      <c r="Q50" s="212">
        <f t="shared" si="65"/>
        <v>623.33500000000004</v>
      </c>
      <c r="R50" s="213">
        <f t="shared" si="66"/>
        <v>0.25</v>
      </c>
      <c r="S50" s="204">
        <f t="shared" si="67"/>
        <v>2493.34</v>
      </c>
      <c r="T50" s="204">
        <f t="shared" si="68"/>
        <v>0</v>
      </c>
    </row>
    <row r="51" spans="1:20" s="2" customFormat="1" x14ac:dyDescent="0.3">
      <c r="A51" s="304" t="s">
        <v>186</v>
      </c>
      <c r="B51" s="305" t="s">
        <v>1234</v>
      </c>
      <c r="C51" s="306" t="s">
        <v>160</v>
      </c>
      <c r="D51" s="307"/>
      <c r="E51" s="345"/>
      <c r="F51" s="346">
        <f>SUM(F52:F60)</f>
        <v>32065.019999999997</v>
      </c>
      <c r="G51" s="308"/>
      <c r="H51" s="309" t="s">
        <v>110</v>
      </c>
      <c r="I51" s="323" t="s">
        <v>110</v>
      </c>
      <c r="J51" s="419"/>
      <c r="K51" s="309" t="s">
        <v>110</v>
      </c>
      <c r="L51" s="324" t="s">
        <v>110</v>
      </c>
      <c r="M51" s="309"/>
      <c r="N51" s="309" t="s">
        <v>110</v>
      </c>
      <c r="O51" s="324" t="s">
        <v>110</v>
      </c>
      <c r="P51" s="326" t="s">
        <v>110</v>
      </c>
      <c r="Q51" s="309" t="s">
        <v>110</v>
      </c>
      <c r="R51" s="324" t="s">
        <v>110</v>
      </c>
      <c r="S51" s="204" t="s">
        <v>110</v>
      </c>
      <c r="T51" s="204" t="s">
        <v>110</v>
      </c>
    </row>
    <row r="52" spans="1:20" s="2" customFormat="1" x14ac:dyDescent="0.3">
      <c r="A52" s="298" t="s">
        <v>187</v>
      </c>
      <c r="B52" s="300" t="s">
        <v>1235</v>
      </c>
      <c r="C52" s="302" t="s">
        <v>90</v>
      </c>
      <c r="D52" s="303">
        <v>1</v>
      </c>
      <c r="E52" s="356">
        <v>8050.85</v>
      </c>
      <c r="F52" s="356">
        <f t="shared" si="26"/>
        <v>8050.85</v>
      </c>
      <c r="G52" s="278">
        <v>1</v>
      </c>
      <c r="H52" s="240">
        <f t="shared" ref="H52:H60" si="69">G52*E52</f>
        <v>8050.85</v>
      </c>
      <c r="I52" s="241">
        <f t="shared" ref="I52:I60" si="70">+G52/D52</f>
        <v>1</v>
      </c>
      <c r="J52" s="419"/>
      <c r="K52" s="242">
        <f t="shared" ref="K52:K60" si="71">J52*E52</f>
        <v>0</v>
      </c>
      <c r="L52" s="243">
        <f t="shared" ref="L52:L60" si="72">+J52/D52</f>
        <v>0</v>
      </c>
      <c r="M52" s="240">
        <f t="shared" si="2"/>
        <v>1</v>
      </c>
      <c r="N52" s="240">
        <f t="shared" ref="N52:N60" si="73">M52*E52</f>
        <v>8050.85</v>
      </c>
      <c r="O52" s="244">
        <f t="shared" ref="O52:O60" si="74">+M52/D52</f>
        <v>1</v>
      </c>
      <c r="P52" s="211">
        <f t="shared" ref="P52:P60" si="75">+D52-M52</f>
        <v>0</v>
      </c>
      <c r="Q52" s="212">
        <f t="shared" ref="Q52:Q60" si="76">P52*E52</f>
        <v>0</v>
      </c>
      <c r="R52" s="213">
        <f t="shared" ref="R52:R60" si="77">+P52/D52</f>
        <v>0</v>
      </c>
      <c r="S52" s="204">
        <f t="shared" ref="S52:S60" si="78">N52+Q52</f>
        <v>8050.85</v>
      </c>
      <c r="T52" s="204">
        <f t="shared" ref="T52:T60" si="79">F52-S52</f>
        <v>0</v>
      </c>
    </row>
    <row r="53" spans="1:20" s="2" customFormat="1" x14ac:dyDescent="0.3">
      <c r="A53" s="298" t="s">
        <v>217</v>
      </c>
      <c r="B53" s="300" t="s">
        <v>756</v>
      </c>
      <c r="C53" s="302" t="s">
        <v>90</v>
      </c>
      <c r="D53" s="303">
        <v>1</v>
      </c>
      <c r="E53" s="356">
        <v>8050.85</v>
      </c>
      <c r="F53" s="356">
        <f t="shared" si="26"/>
        <v>8050.85</v>
      </c>
      <c r="G53" s="278">
        <v>0</v>
      </c>
      <c r="H53" s="240">
        <f t="shared" si="69"/>
        <v>0</v>
      </c>
      <c r="I53" s="241">
        <f t="shared" si="70"/>
        <v>0</v>
      </c>
      <c r="J53" s="419">
        <v>1</v>
      </c>
      <c r="K53" s="242">
        <f t="shared" si="71"/>
        <v>8050.85</v>
      </c>
      <c r="L53" s="243">
        <f t="shared" si="72"/>
        <v>1</v>
      </c>
      <c r="M53" s="240">
        <f t="shared" si="2"/>
        <v>1</v>
      </c>
      <c r="N53" s="240">
        <f t="shared" si="73"/>
        <v>8050.85</v>
      </c>
      <c r="O53" s="244">
        <f t="shared" si="74"/>
        <v>1</v>
      </c>
      <c r="P53" s="211">
        <f t="shared" si="75"/>
        <v>0</v>
      </c>
      <c r="Q53" s="212">
        <f t="shared" si="76"/>
        <v>0</v>
      </c>
      <c r="R53" s="213">
        <f t="shared" si="77"/>
        <v>0</v>
      </c>
      <c r="S53" s="204">
        <f t="shared" si="78"/>
        <v>8050.85</v>
      </c>
      <c r="T53" s="204">
        <f t="shared" si="79"/>
        <v>0</v>
      </c>
    </row>
    <row r="54" spans="1:20" s="2" customFormat="1" x14ac:dyDescent="0.3">
      <c r="A54" s="298" t="s">
        <v>333</v>
      </c>
      <c r="B54" s="300" t="s">
        <v>757</v>
      </c>
      <c r="C54" s="302" t="s">
        <v>90</v>
      </c>
      <c r="D54" s="303">
        <v>1</v>
      </c>
      <c r="E54" s="356">
        <v>4025.43</v>
      </c>
      <c r="F54" s="356">
        <f t="shared" si="26"/>
        <v>4025.43</v>
      </c>
      <c r="G54" s="278">
        <v>0</v>
      </c>
      <c r="H54" s="240">
        <f t="shared" si="69"/>
        <v>0</v>
      </c>
      <c r="I54" s="241">
        <f t="shared" si="70"/>
        <v>0</v>
      </c>
      <c r="J54" s="419">
        <v>1</v>
      </c>
      <c r="K54" s="242">
        <f t="shared" si="71"/>
        <v>4025.43</v>
      </c>
      <c r="L54" s="243">
        <f t="shared" si="72"/>
        <v>1</v>
      </c>
      <c r="M54" s="240">
        <f t="shared" si="2"/>
        <v>1</v>
      </c>
      <c r="N54" s="240">
        <f t="shared" si="73"/>
        <v>4025.43</v>
      </c>
      <c r="O54" s="244">
        <f t="shared" si="74"/>
        <v>1</v>
      </c>
      <c r="P54" s="211">
        <f t="shared" si="75"/>
        <v>0</v>
      </c>
      <c r="Q54" s="212">
        <f t="shared" si="76"/>
        <v>0</v>
      </c>
      <c r="R54" s="213">
        <f t="shared" si="77"/>
        <v>0</v>
      </c>
      <c r="S54" s="204">
        <f t="shared" si="78"/>
        <v>4025.43</v>
      </c>
      <c r="T54" s="204">
        <f t="shared" si="79"/>
        <v>0</v>
      </c>
    </row>
    <row r="55" spans="1:20" s="2" customFormat="1" x14ac:dyDescent="0.3">
      <c r="A55" s="298" t="s">
        <v>334</v>
      </c>
      <c r="B55" s="300" t="s">
        <v>758</v>
      </c>
      <c r="C55" s="302" t="s">
        <v>90</v>
      </c>
      <c r="D55" s="303">
        <v>1</v>
      </c>
      <c r="E55" s="356">
        <v>4023.37</v>
      </c>
      <c r="F55" s="356">
        <f t="shared" si="26"/>
        <v>4023.37</v>
      </c>
      <c r="G55" s="278">
        <v>0.5</v>
      </c>
      <c r="H55" s="240">
        <f t="shared" si="69"/>
        <v>2011.6849999999999</v>
      </c>
      <c r="I55" s="241">
        <f t="shared" si="70"/>
        <v>0.5</v>
      </c>
      <c r="J55" s="419">
        <v>0.5</v>
      </c>
      <c r="K55" s="242">
        <f t="shared" si="71"/>
        <v>2011.6849999999999</v>
      </c>
      <c r="L55" s="243">
        <f t="shared" si="72"/>
        <v>0.5</v>
      </c>
      <c r="M55" s="240">
        <f t="shared" si="2"/>
        <v>1</v>
      </c>
      <c r="N55" s="240">
        <f t="shared" si="73"/>
        <v>4023.37</v>
      </c>
      <c r="O55" s="244">
        <f t="shared" si="74"/>
        <v>1</v>
      </c>
      <c r="P55" s="211">
        <f t="shared" si="75"/>
        <v>0</v>
      </c>
      <c r="Q55" s="212">
        <f t="shared" si="76"/>
        <v>0</v>
      </c>
      <c r="R55" s="213">
        <f t="shared" si="77"/>
        <v>0</v>
      </c>
      <c r="S55" s="204">
        <f t="shared" si="78"/>
        <v>4023.37</v>
      </c>
      <c r="T55" s="204">
        <f t="shared" si="79"/>
        <v>0</v>
      </c>
    </row>
    <row r="56" spans="1:20" s="2" customFormat="1" x14ac:dyDescent="0.3">
      <c r="A56" s="298" t="s">
        <v>335</v>
      </c>
      <c r="B56" s="300" t="s">
        <v>759</v>
      </c>
      <c r="C56" s="302" t="s">
        <v>90</v>
      </c>
      <c r="D56" s="303">
        <v>1</v>
      </c>
      <c r="E56" s="358">
        <v>1127.6400000000001</v>
      </c>
      <c r="F56" s="358">
        <f t="shared" si="26"/>
        <v>1127.6400000000001</v>
      </c>
      <c r="G56" s="278">
        <v>0.5</v>
      </c>
      <c r="H56" s="240">
        <f t="shared" si="69"/>
        <v>563.82000000000005</v>
      </c>
      <c r="I56" s="241">
        <f t="shared" si="70"/>
        <v>0.5</v>
      </c>
      <c r="J56" s="419">
        <v>0.5</v>
      </c>
      <c r="K56" s="242">
        <f t="shared" si="71"/>
        <v>563.82000000000005</v>
      </c>
      <c r="L56" s="243">
        <f t="shared" si="72"/>
        <v>0.5</v>
      </c>
      <c r="M56" s="240">
        <f t="shared" si="2"/>
        <v>1</v>
      </c>
      <c r="N56" s="240">
        <f t="shared" si="73"/>
        <v>1127.6400000000001</v>
      </c>
      <c r="O56" s="244">
        <f t="shared" si="74"/>
        <v>1</v>
      </c>
      <c r="P56" s="211">
        <f t="shared" si="75"/>
        <v>0</v>
      </c>
      <c r="Q56" s="212">
        <f t="shared" si="76"/>
        <v>0</v>
      </c>
      <c r="R56" s="213">
        <f t="shared" si="77"/>
        <v>0</v>
      </c>
      <c r="S56" s="204">
        <f t="shared" si="78"/>
        <v>1127.6400000000001</v>
      </c>
      <c r="T56" s="204">
        <f t="shared" si="79"/>
        <v>0</v>
      </c>
    </row>
    <row r="57" spans="1:20" s="2" customFormat="1" x14ac:dyDescent="0.3">
      <c r="A57" s="298" t="s">
        <v>336</v>
      </c>
      <c r="B57" s="300" t="s">
        <v>760</v>
      </c>
      <c r="C57" s="302" t="s">
        <v>90</v>
      </c>
      <c r="D57" s="303">
        <v>1</v>
      </c>
      <c r="E57" s="356">
        <v>1610.17</v>
      </c>
      <c r="F57" s="356">
        <f t="shared" si="26"/>
        <v>1610.17</v>
      </c>
      <c r="G57" s="278">
        <v>0.5</v>
      </c>
      <c r="H57" s="240">
        <f t="shared" si="69"/>
        <v>805.08500000000004</v>
      </c>
      <c r="I57" s="241">
        <f t="shared" si="70"/>
        <v>0.5</v>
      </c>
      <c r="J57" s="419">
        <v>0.5</v>
      </c>
      <c r="K57" s="242">
        <f t="shared" si="71"/>
        <v>805.08500000000004</v>
      </c>
      <c r="L57" s="243">
        <f t="shared" si="72"/>
        <v>0.5</v>
      </c>
      <c r="M57" s="240">
        <f t="shared" si="2"/>
        <v>1</v>
      </c>
      <c r="N57" s="240">
        <f t="shared" si="73"/>
        <v>1610.17</v>
      </c>
      <c r="O57" s="244">
        <f t="shared" si="74"/>
        <v>1</v>
      </c>
      <c r="P57" s="211">
        <f t="shared" si="75"/>
        <v>0</v>
      </c>
      <c r="Q57" s="212">
        <f t="shared" si="76"/>
        <v>0</v>
      </c>
      <c r="R57" s="213">
        <f t="shared" si="77"/>
        <v>0</v>
      </c>
      <c r="S57" s="204">
        <f t="shared" si="78"/>
        <v>1610.17</v>
      </c>
      <c r="T57" s="204">
        <f t="shared" si="79"/>
        <v>0</v>
      </c>
    </row>
    <row r="58" spans="1:20" s="2" customFormat="1" x14ac:dyDescent="0.3">
      <c r="A58" s="298" t="s">
        <v>337</v>
      </c>
      <c r="B58" s="300" t="s">
        <v>761</v>
      </c>
      <c r="C58" s="302" t="s">
        <v>90</v>
      </c>
      <c r="D58" s="303">
        <v>1</v>
      </c>
      <c r="E58" s="356">
        <v>805.09</v>
      </c>
      <c r="F58" s="356">
        <f t="shared" si="26"/>
        <v>805.09</v>
      </c>
      <c r="G58" s="278">
        <v>0.5</v>
      </c>
      <c r="H58" s="240">
        <f t="shared" si="69"/>
        <v>402.54500000000002</v>
      </c>
      <c r="I58" s="241">
        <f t="shared" si="70"/>
        <v>0.5</v>
      </c>
      <c r="J58" s="419">
        <v>0.5</v>
      </c>
      <c r="K58" s="242">
        <f t="shared" si="71"/>
        <v>402.54500000000002</v>
      </c>
      <c r="L58" s="243">
        <f t="shared" si="72"/>
        <v>0.5</v>
      </c>
      <c r="M58" s="240">
        <f t="shared" si="2"/>
        <v>1</v>
      </c>
      <c r="N58" s="240">
        <f t="shared" si="73"/>
        <v>805.09</v>
      </c>
      <c r="O58" s="244">
        <f t="shared" si="74"/>
        <v>1</v>
      </c>
      <c r="P58" s="211">
        <f t="shared" si="75"/>
        <v>0</v>
      </c>
      <c r="Q58" s="212">
        <f t="shared" si="76"/>
        <v>0</v>
      </c>
      <c r="R58" s="213">
        <f t="shared" si="77"/>
        <v>0</v>
      </c>
      <c r="S58" s="204">
        <f t="shared" si="78"/>
        <v>805.09</v>
      </c>
      <c r="T58" s="204">
        <f t="shared" si="79"/>
        <v>0</v>
      </c>
    </row>
    <row r="59" spans="1:20" s="2" customFormat="1" x14ac:dyDescent="0.3">
      <c r="A59" s="298" t="s">
        <v>338</v>
      </c>
      <c r="B59" s="300" t="s">
        <v>762</v>
      </c>
      <c r="C59" s="302" t="s">
        <v>90</v>
      </c>
      <c r="D59" s="303">
        <v>1</v>
      </c>
      <c r="E59" s="358">
        <v>346.19</v>
      </c>
      <c r="F59" s="358">
        <f t="shared" si="26"/>
        <v>346.19</v>
      </c>
      <c r="G59" s="278">
        <v>0</v>
      </c>
      <c r="H59" s="240">
        <f t="shared" si="69"/>
        <v>0</v>
      </c>
      <c r="I59" s="241">
        <f t="shared" si="70"/>
        <v>0</v>
      </c>
      <c r="J59" s="419">
        <v>1</v>
      </c>
      <c r="K59" s="242">
        <f t="shared" si="71"/>
        <v>346.19</v>
      </c>
      <c r="L59" s="243">
        <f t="shared" si="72"/>
        <v>1</v>
      </c>
      <c r="M59" s="240">
        <f t="shared" si="2"/>
        <v>1</v>
      </c>
      <c r="N59" s="240">
        <f t="shared" si="73"/>
        <v>346.19</v>
      </c>
      <c r="O59" s="244">
        <f t="shared" si="74"/>
        <v>1</v>
      </c>
      <c r="P59" s="211">
        <f t="shared" si="75"/>
        <v>0</v>
      </c>
      <c r="Q59" s="212">
        <f t="shared" si="76"/>
        <v>0</v>
      </c>
      <c r="R59" s="213">
        <f t="shared" si="77"/>
        <v>0</v>
      </c>
      <c r="S59" s="204">
        <f t="shared" si="78"/>
        <v>346.19</v>
      </c>
      <c r="T59" s="204">
        <f t="shared" si="79"/>
        <v>0</v>
      </c>
    </row>
    <row r="60" spans="1:20" s="2" customFormat="1" x14ac:dyDescent="0.3">
      <c r="A60" s="298" t="s">
        <v>339</v>
      </c>
      <c r="B60" s="300" t="s">
        <v>763</v>
      </c>
      <c r="C60" s="302" t="s">
        <v>90</v>
      </c>
      <c r="D60" s="303">
        <v>1</v>
      </c>
      <c r="E60" s="356">
        <v>4025.43</v>
      </c>
      <c r="F60" s="356">
        <f t="shared" si="26"/>
        <v>4025.43</v>
      </c>
      <c r="G60" s="278">
        <v>0</v>
      </c>
      <c r="H60" s="240">
        <f t="shared" si="69"/>
        <v>0</v>
      </c>
      <c r="I60" s="241">
        <f t="shared" si="70"/>
        <v>0</v>
      </c>
      <c r="J60" s="419"/>
      <c r="K60" s="242">
        <f t="shared" si="71"/>
        <v>0</v>
      </c>
      <c r="L60" s="243">
        <f t="shared" si="72"/>
        <v>0</v>
      </c>
      <c r="M60" s="240">
        <f t="shared" si="2"/>
        <v>0</v>
      </c>
      <c r="N60" s="240">
        <f t="shared" si="73"/>
        <v>0</v>
      </c>
      <c r="O60" s="244">
        <f t="shared" si="74"/>
        <v>0</v>
      </c>
      <c r="P60" s="211">
        <f t="shared" si="75"/>
        <v>1</v>
      </c>
      <c r="Q60" s="212">
        <f t="shared" si="76"/>
        <v>4025.43</v>
      </c>
      <c r="R60" s="213">
        <f t="shared" si="77"/>
        <v>1</v>
      </c>
      <c r="S60" s="204">
        <f t="shared" si="78"/>
        <v>4025.43</v>
      </c>
      <c r="T60" s="204">
        <f t="shared" si="79"/>
        <v>0</v>
      </c>
    </row>
    <row r="61" spans="1:20" s="2" customFormat="1" x14ac:dyDescent="0.3">
      <c r="A61" s="304" t="s">
        <v>188</v>
      </c>
      <c r="B61" s="305" t="s">
        <v>764</v>
      </c>
      <c r="C61" s="306" t="s">
        <v>160</v>
      </c>
      <c r="D61" s="307"/>
      <c r="E61" s="345"/>
      <c r="F61" s="346">
        <f>SUM(F62:F63)</f>
        <v>1434.0900000000001</v>
      </c>
      <c r="G61" s="308"/>
      <c r="H61" s="309" t="s">
        <v>110</v>
      </c>
      <c r="I61" s="323" t="s">
        <v>110</v>
      </c>
      <c r="J61" s="419"/>
      <c r="K61" s="309" t="s">
        <v>110</v>
      </c>
      <c r="L61" s="324" t="s">
        <v>110</v>
      </c>
      <c r="M61" s="309"/>
      <c r="N61" s="309" t="s">
        <v>110</v>
      </c>
      <c r="O61" s="324" t="s">
        <v>110</v>
      </c>
      <c r="P61" s="326" t="s">
        <v>110</v>
      </c>
      <c r="Q61" s="309" t="s">
        <v>110</v>
      </c>
      <c r="R61" s="324" t="s">
        <v>110</v>
      </c>
      <c r="S61" s="204" t="s">
        <v>110</v>
      </c>
      <c r="T61" s="204" t="s">
        <v>110</v>
      </c>
    </row>
    <row r="62" spans="1:20" s="2" customFormat="1" x14ac:dyDescent="0.3">
      <c r="A62" s="298" t="s">
        <v>189</v>
      </c>
      <c r="B62" s="300" t="s">
        <v>1238</v>
      </c>
      <c r="C62" s="302" t="s">
        <v>92</v>
      </c>
      <c r="D62" s="303">
        <v>405.11</v>
      </c>
      <c r="E62" s="356">
        <v>1.81</v>
      </c>
      <c r="F62" s="356">
        <f t="shared" si="26"/>
        <v>733.25</v>
      </c>
      <c r="G62" s="278">
        <v>405.11</v>
      </c>
      <c r="H62" s="240">
        <f t="shared" ref="H62:H63" si="80">G62*E62</f>
        <v>733.2491</v>
      </c>
      <c r="I62" s="241">
        <f t="shared" ref="I62:I63" si="81">+G62/D62</f>
        <v>1</v>
      </c>
      <c r="J62" s="419"/>
      <c r="K62" s="242">
        <f t="shared" ref="K62:K63" si="82">J62*E62</f>
        <v>0</v>
      </c>
      <c r="L62" s="243">
        <f t="shared" ref="L62:L63" si="83">+J62/D62</f>
        <v>0</v>
      </c>
      <c r="M62" s="240">
        <f t="shared" si="2"/>
        <v>405.11</v>
      </c>
      <c r="N62" s="240">
        <f t="shared" ref="N62:N63" si="84">M62*E62</f>
        <v>733.2491</v>
      </c>
      <c r="O62" s="244">
        <f t="shared" ref="O62:O63" si="85">+M62/D62</f>
        <v>1</v>
      </c>
      <c r="P62" s="211">
        <f t="shared" ref="P62:P63" si="86">+D62-M62</f>
        <v>0</v>
      </c>
      <c r="Q62" s="212">
        <f t="shared" ref="Q62:Q63" si="87">P62*E62</f>
        <v>0</v>
      </c>
      <c r="R62" s="213">
        <f t="shared" ref="R62:R63" si="88">+P62/D62</f>
        <v>0</v>
      </c>
      <c r="S62" s="204">
        <f t="shared" ref="S62:S63" si="89">N62+Q62</f>
        <v>733.2491</v>
      </c>
      <c r="T62" s="204">
        <f t="shared" ref="T62:T63" si="90">F62-S62</f>
        <v>9.0000000000145519E-4</v>
      </c>
    </row>
    <row r="63" spans="1:20" s="2" customFormat="1" x14ac:dyDescent="0.3">
      <c r="A63" s="298" t="s">
        <v>190</v>
      </c>
      <c r="B63" s="300" t="s">
        <v>765</v>
      </c>
      <c r="C63" s="302" t="s">
        <v>92</v>
      </c>
      <c r="D63" s="303">
        <v>405.11</v>
      </c>
      <c r="E63" s="356">
        <v>1.73</v>
      </c>
      <c r="F63" s="356">
        <f t="shared" si="26"/>
        <v>700.84</v>
      </c>
      <c r="G63" s="278">
        <v>202.5575</v>
      </c>
      <c r="H63" s="240">
        <f t="shared" si="80"/>
        <v>350.42447500000003</v>
      </c>
      <c r="I63" s="241">
        <f t="shared" si="81"/>
        <v>0.50000617116338775</v>
      </c>
      <c r="J63" s="419">
        <f>+D63/4</f>
        <v>101.2775</v>
      </c>
      <c r="K63" s="242">
        <f t="shared" si="82"/>
        <v>175.21007500000002</v>
      </c>
      <c r="L63" s="243">
        <f t="shared" si="83"/>
        <v>0.25</v>
      </c>
      <c r="M63" s="240">
        <f t="shared" si="2"/>
        <v>303.83500000000004</v>
      </c>
      <c r="N63" s="240">
        <f t="shared" si="84"/>
        <v>525.6345500000001</v>
      </c>
      <c r="O63" s="244">
        <f t="shared" si="85"/>
        <v>0.75000617116338775</v>
      </c>
      <c r="P63" s="211">
        <f t="shared" si="86"/>
        <v>101.27499999999998</v>
      </c>
      <c r="Q63" s="212">
        <f t="shared" si="87"/>
        <v>175.20574999999997</v>
      </c>
      <c r="R63" s="213">
        <f t="shared" si="88"/>
        <v>0.24999382883661223</v>
      </c>
      <c r="S63" s="204">
        <f t="shared" si="89"/>
        <v>700.84030000000007</v>
      </c>
      <c r="T63" s="204">
        <f t="shared" si="90"/>
        <v>-3.0000000003838068E-4</v>
      </c>
    </row>
    <row r="64" spans="1:20" s="2" customFormat="1" x14ac:dyDescent="0.3">
      <c r="A64" s="304">
        <v>2</v>
      </c>
      <c r="B64" s="305" t="s">
        <v>215</v>
      </c>
      <c r="C64" s="318" t="s">
        <v>160</v>
      </c>
      <c r="D64" s="319"/>
      <c r="E64" s="343"/>
      <c r="F64" s="344">
        <f>+F65+F129+F152+F176</f>
        <v>753983.13</v>
      </c>
      <c r="G64" s="308"/>
      <c r="H64" s="309" t="s">
        <v>110</v>
      </c>
      <c r="I64" s="323" t="s">
        <v>110</v>
      </c>
      <c r="J64" s="419" t="s">
        <v>110</v>
      </c>
      <c r="K64" s="309" t="s">
        <v>110</v>
      </c>
      <c r="L64" s="324" t="s">
        <v>110</v>
      </c>
      <c r="M64" s="309"/>
      <c r="N64" s="309" t="s">
        <v>110</v>
      </c>
      <c r="O64" s="324" t="s">
        <v>110</v>
      </c>
      <c r="P64" s="326" t="s">
        <v>110</v>
      </c>
      <c r="Q64" s="309" t="s">
        <v>110</v>
      </c>
      <c r="R64" s="324" t="s">
        <v>110</v>
      </c>
      <c r="S64" s="204" t="s">
        <v>110</v>
      </c>
      <c r="T64" s="204" t="s">
        <v>110</v>
      </c>
    </row>
    <row r="65" spans="1:20" s="2" customFormat="1" x14ac:dyDescent="0.3">
      <c r="A65" s="304" t="s">
        <v>191</v>
      </c>
      <c r="B65" s="312" t="s">
        <v>766</v>
      </c>
      <c r="C65" s="320" t="s">
        <v>160</v>
      </c>
      <c r="D65" s="321"/>
      <c r="E65" s="345"/>
      <c r="F65" s="346">
        <f>+F66+F75+F81+F127</f>
        <v>187644.34</v>
      </c>
      <c r="G65" s="308"/>
      <c r="H65" s="309" t="s">
        <v>110</v>
      </c>
      <c r="I65" s="323" t="s">
        <v>110</v>
      </c>
      <c r="J65" s="419" t="s">
        <v>110</v>
      </c>
      <c r="K65" s="309" t="s">
        <v>110</v>
      </c>
      <c r="L65" s="324" t="s">
        <v>110</v>
      </c>
      <c r="M65" s="309"/>
      <c r="N65" s="309" t="s">
        <v>110</v>
      </c>
      <c r="O65" s="324" t="s">
        <v>110</v>
      </c>
      <c r="P65" s="326" t="s">
        <v>110</v>
      </c>
      <c r="Q65" s="309" t="s">
        <v>110</v>
      </c>
      <c r="R65" s="324" t="s">
        <v>110</v>
      </c>
      <c r="S65" s="204" t="s">
        <v>110</v>
      </c>
      <c r="T65" s="204" t="s">
        <v>110</v>
      </c>
    </row>
    <row r="66" spans="1:20" s="2" customFormat="1" x14ac:dyDescent="0.3">
      <c r="A66" s="322" t="s">
        <v>192</v>
      </c>
      <c r="B66" s="305" t="s">
        <v>767</v>
      </c>
      <c r="C66" s="306" t="s">
        <v>160</v>
      </c>
      <c r="D66" s="307"/>
      <c r="E66" s="347"/>
      <c r="F66" s="348">
        <f>SUM(F67:F74)</f>
        <v>18164.22</v>
      </c>
      <c r="G66" s="308"/>
      <c r="H66" s="309" t="s">
        <v>110</v>
      </c>
      <c r="I66" s="323" t="s">
        <v>110</v>
      </c>
      <c r="J66" s="419" t="s">
        <v>110</v>
      </c>
      <c r="K66" s="309" t="s">
        <v>110</v>
      </c>
      <c r="L66" s="324" t="s">
        <v>110</v>
      </c>
      <c r="M66" s="309"/>
      <c r="N66" s="309" t="s">
        <v>110</v>
      </c>
      <c r="O66" s="324" t="s">
        <v>110</v>
      </c>
      <c r="P66" s="326" t="s">
        <v>110</v>
      </c>
      <c r="Q66" s="309" t="s">
        <v>110</v>
      </c>
      <c r="R66" s="324" t="s">
        <v>110</v>
      </c>
      <c r="S66" s="204" t="e">
        <f>N66+Q66</f>
        <v>#VALUE!</v>
      </c>
      <c r="T66" s="204" t="e">
        <f>F66-S66</f>
        <v>#VALUE!</v>
      </c>
    </row>
    <row r="67" spans="1:20" s="2" customFormat="1" x14ac:dyDescent="0.3">
      <c r="A67" s="298" t="s">
        <v>340</v>
      </c>
      <c r="B67" s="300" t="s">
        <v>768</v>
      </c>
      <c r="C67" s="302" t="s">
        <v>93</v>
      </c>
      <c r="D67" s="303">
        <v>11.53</v>
      </c>
      <c r="E67" s="356">
        <v>18.72</v>
      </c>
      <c r="F67" s="356">
        <f t="shared" ref="F67:F80" si="91">+ROUND((D67*E67),2)</f>
        <v>215.84</v>
      </c>
      <c r="G67" s="278">
        <v>11.53</v>
      </c>
      <c r="H67" s="240">
        <f t="shared" ref="H67:H74" si="92">G67*E67</f>
        <v>215.84159999999997</v>
      </c>
      <c r="I67" s="241">
        <f t="shared" ref="I67:I74" si="93">+G67/D67</f>
        <v>1</v>
      </c>
      <c r="J67" s="419"/>
      <c r="K67" s="242">
        <f t="shared" ref="K67:K74" si="94">J67*E67</f>
        <v>0</v>
      </c>
      <c r="L67" s="243">
        <f t="shared" ref="L67:L74" si="95">+J67/D67</f>
        <v>0</v>
      </c>
      <c r="M67" s="240">
        <f t="shared" si="2"/>
        <v>11.53</v>
      </c>
      <c r="N67" s="240">
        <f t="shared" ref="N67:N74" si="96">M67*E67</f>
        <v>215.84159999999997</v>
      </c>
      <c r="O67" s="244">
        <f t="shared" ref="O67:O74" si="97">+M67/D67</f>
        <v>1</v>
      </c>
      <c r="P67" s="211">
        <f t="shared" ref="P67:P74" si="98">+D67-M67</f>
        <v>0</v>
      </c>
      <c r="Q67" s="212">
        <f t="shared" ref="Q67:Q74" si="99">P67*E67</f>
        <v>0</v>
      </c>
      <c r="R67" s="213">
        <f t="shared" ref="R67:R74" si="100">+P67/D67</f>
        <v>0</v>
      </c>
      <c r="S67" s="204">
        <f t="shared" ref="S67:S74" si="101">N67+Q67</f>
        <v>215.84159999999997</v>
      </c>
      <c r="T67" s="204">
        <f t="shared" ref="T67:T74" si="102">F67-S67</f>
        <v>-1.5999999999678494E-3</v>
      </c>
    </row>
    <row r="68" spans="1:20" s="2" customFormat="1" x14ac:dyDescent="0.3">
      <c r="A68" s="298" t="s">
        <v>341</v>
      </c>
      <c r="B68" s="300" t="s">
        <v>769</v>
      </c>
      <c r="C68" s="302" t="s">
        <v>92</v>
      </c>
      <c r="D68" s="303">
        <v>28.82</v>
      </c>
      <c r="E68" s="356">
        <v>6.28</v>
      </c>
      <c r="F68" s="356">
        <f t="shared" si="91"/>
        <v>180.99</v>
      </c>
      <c r="G68" s="278">
        <v>28.82</v>
      </c>
      <c r="H68" s="240">
        <f t="shared" si="92"/>
        <v>180.9896</v>
      </c>
      <c r="I68" s="241">
        <f t="shared" si="93"/>
        <v>1</v>
      </c>
      <c r="J68" s="419"/>
      <c r="K68" s="242">
        <f t="shared" si="94"/>
        <v>0</v>
      </c>
      <c r="L68" s="243">
        <f t="shared" si="95"/>
        <v>0</v>
      </c>
      <c r="M68" s="240">
        <f t="shared" si="2"/>
        <v>28.82</v>
      </c>
      <c r="N68" s="240">
        <f t="shared" si="96"/>
        <v>180.9896</v>
      </c>
      <c r="O68" s="244">
        <f t="shared" si="97"/>
        <v>1</v>
      </c>
      <c r="P68" s="211">
        <f t="shared" si="98"/>
        <v>0</v>
      </c>
      <c r="Q68" s="212">
        <f t="shared" si="99"/>
        <v>0</v>
      </c>
      <c r="R68" s="213">
        <f t="shared" si="100"/>
        <v>0</v>
      </c>
      <c r="S68" s="204">
        <f t="shared" si="101"/>
        <v>180.9896</v>
      </c>
      <c r="T68" s="204">
        <f t="shared" si="102"/>
        <v>4.0000000001327862E-4</v>
      </c>
    </row>
    <row r="69" spans="1:20" s="2" customFormat="1" ht="21.6" x14ac:dyDescent="0.3">
      <c r="A69" s="298" t="s">
        <v>342</v>
      </c>
      <c r="B69" s="301" t="s">
        <v>770</v>
      </c>
      <c r="C69" s="302" t="s">
        <v>93</v>
      </c>
      <c r="D69" s="303">
        <v>122.48</v>
      </c>
      <c r="E69" s="358">
        <v>10.4</v>
      </c>
      <c r="F69" s="358">
        <f t="shared" si="91"/>
        <v>1273.79</v>
      </c>
      <c r="G69" s="278">
        <v>122.48</v>
      </c>
      <c r="H69" s="240">
        <f t="shared" si="92"/>
        <v>1273.7920000000001</v>
      </c>
      <c r="I69" s="241">
        <f t="shared" si="93"/>
        <v>1</v>
      </c>
      <c r="J69" s="419"/>
      <c r="K69" s="242">
        <f t="shared" si="94"/>
        <v>0</v>
      </c>
      <c r="L69" s="243">
        <f t="shared" si="95"/>
        <v>0</v>
      </c>
      <c r="M69" s="240">
        <f t="shared" si="2"/>
        <v>122.48</v>
      </c>
      <c r="N69" s="240">
        <f t="shared" si="96"/>
        <v>1273.7920000000001</v>
      </c>
      <c r="O69" s="244">
        <f t="shared" si="97"/>
        <v>1</v>
      </c>
      <c r="P69" s="211">
        <f t="shared" si="98"/>
        <v>0</v>
      </c>
      <c r="Q69" s="212">
        <f t="shared" si="99"/>
        <v>0</v>
      </c>
      <c r="R69" s="213">
        <f t="shared" si="100"/>
        <v>0</v>
      </c>
      <c r="S69" s="204">
        <f t="shared" si="101"/>
        <v>1273.7920000000001</v>
      </c>
      <c r="T69" s="204">
        <f t="shared" si="102"/>
        <v>-2.00000000018008E-3</v>
      </c>
    </row>
    <row r="70" spans="1:20" s="2" customFormat="1" x14ac:dyDescent="0.3">
      <c r="A70" s="298" t="s">
        <v>343</v>
      </c>
      <c r="B70" s="300" t="s">
        <v>771</v>
      </c>
      <c r="C70" s="302" t="s">
        <v>93</v>
      </c>
      <c r="D70" s="303">
        <v>146.97</v>
      </c>
      <c r="E70" s="356">
        <v>31.34</v>
      </c>
      <c r="F70" s="356">
        <f t="shared" si="91"/>
        <v>4606.04</v>
      </c>
      <c r="G70" s="278">
        <v>146.97</v>
      </c>
      <c r="H70" s="240">
        <f t="shared" si="92"/>
        <v>4606.0397999999996</v>
      </c>
      <c r="I70" s="241">
        <f t="shared" si="93"/>
        <v>1</v>
      </c>
      <c r="J70" s="419"/>
      <c r="K70" s="242">
        <f t="shared" si="94"/>
        <v>0</v>
      </c>
      <c r="L70" s="243">
        <f t="shared" si="95"/>
        <v>0</v>
      </c>
      <c r="M70" s="240">
        <f t="shared" si="2"/>
        <v>146.97</v>
      </c>
      <c r="N70" s="240">
        <f t="shared" si="96"/>
        <v>4606.0397999999996</v>
      </c>
      <c r="O70" s="244">
        <f t="shared" si="97"/>
        <v>1</v>
      </c>
      <c r="P70" s="211">
        <f t="shared" si="98"/>
        <v>0</v>
      </c>
      <c r="Q70" s="212">
        <f t="shared" si="99"/>
        <v>0</v>
      </c>
      <c r="R70" s="213">
        <f t="shared" si="100"/>
        <v>0</v>
      </c>
      <c r="S70" s="204">
        <f t="shared" si="101"/>
        <v>4606.0397999999996</v>
      </c>
      <c r="T70" s="204">
        <f t="shared" si="102"/>
        <v>2.0000000040454324E-4</v>
      </c>
    </row>
    <row r="71" spans="1:20" s="2" customFormat="1" x14ac:dyDescent="0.3">
      <c r="A71" s="298" t="s">
        <v>344</v>
      </c>
      <c r="B71" s="300" t="s">
        <v>772</v>
      </c>
      <c r="C71" s="302" t="s">
        <v>93</v>
      </c>
      <c r="D71" s="303">
        <v>55.8</v>
      </c>
      <c r="E71" s="356">
        <v>11.24</v>
      </c>
      <c r="F71" s="356">
        <f t="shared" si="91"/>
        <v>627.19000000000005</v>
      </c>
      <c r="G71" s="278">
        <v>55.800000000000004</v>
      </c>
      <c r="H71" s="240">
        <f t="shared" si="92"/>
        <v>627.19200000000001</v>
      </c>
      <c r="I71" s="241">
        <f t="shared" si="93"/>
        <v>1.0000000000000002</v>
      </c>
      <c r="J71" s="419"/>
      <c r="K71" s="242">
        <f t="shared" si="94"/>
        <v>0</v>
      </c>
      <c r="L71" s="243">
        <f t="shared" si="95"/>
        <v>0</v>
      </c>
      <c r="M71" s="240">
        <f t="shared" si="2"/>
        <v>55.800000000000004</v>
      </c>
      <c r="N71" s="240">
        <f t="shared" si="96"/>
        <v>627.19200000000001</v>
      </c>
      <c r="O71" s="244">
        <f t="shared" si="97"/>
        <v>1.0000000000000002</v>
      </c>
      <c r="P71" s="211">
        <f t="shared" si="98"/>
        <v>0</v>
      </c>
      <c r="Q71" s="212">
        <f t="shared" si="99"/>
        <v>0</v>
      </c>
      <c r="R71" s="213">
        <f t="shared" si="100"/>
        <v>0</v>
      </c>
      <c r="S71" s="204">
        <f t="shared" si="101"/>
        <v>627.19200000000001</v>
      </c>
      <c r="T71" s="204">
        <f t="shared" si="102"/>
        <v>-1.9999999999527063E-3</v>
      </c>
    </row>
    <row r="72" spans="1:20" s="2" customFormat="1" x14ac:dyDescent="0.3">
      <c r="A72" s="298" t="s">
        <v>345</v>
      </c>
      <c r="B72" s="300" t="s">
        <v>769</v>
      </c>
      <c r="C72" s="302" t="s">
        <v>92</v>
      </c>
      <c r="D72" s="303">
        <v>139.5</v>
      </c>
      <c r="E72" s="356">
        <v>6.28</v>
      </c>
      <c r="F72" s="356">
        <f t="shared" si="91"/>
        <v>876.06</v>
      </c>
      <c r="G72" s="278">
        <v>139.5</v>
      </c>
      <c r="H72" s="240">
        <f t="shared" si="92"/>
        <v>876.06000000000006</v>
      </c>
      <c r="I72" s="241">
        <f t="shared" si="93"/>
        <v>1</v>
      </c>
      <c r="J72" s="419"/>
      <c r="K72" s="242">
        <f t="shared" si="94"/>
        <v>0</v>
      </c>
      <c r="L72" s="243">
        <f t="shared" si="95"/>
        <v>0</v>
      </c>
      <c r="M72" s="240">
        <f t="shared" si="2"/>
        <v>139.5</v>
      </c>
      <c r="N72" s="240">
        <f t="shared" si="96"/>
        <v>876.06000000000006</v>
      </c>
      <c r="O72" s="244">
        <f t="shared" si="97"/>
        <v>1</v>
      </c>
      <c r="P72" s="211">
        <f t="shared" si="98"/>
        <v>0</v>
      </c>
      <c r="Q72" s="212">
        <f t="shared" si="99"/>
        <v>0</v>
      </c>
      <c r="R72" s="213">
        <f t="shared" si="100"/>
        <v>0</v>
      </c>
      <c r="S72" s="204">
        <f t="shared" si="101"/>
        <v>876.06000000000006</v>
      </c>
      <c r="T72" s="204">
        <f t="shared" si="102"/>
        <v>0</v>
      </c>
    </row>
    <row r="73" spans="1:20" s="2" customFormat="1" x14ac:dyDescent="0.3">
      <c r="A73" s="298" t="s">
        <v>346</v>
      </c>
      <c r="B73" s="300" t="s">
        <v>773</v>
      </c>
      <c r="C73" s="302" t="s">
        <v>93</v>
      </c>
      <c r="D73" s="303">
        <v>55.15</v>
      </c>
      <c r="E73" s="356">
        <v>44.95</v>
      </c>
      <c r="F73" s="356">
        <f t="shared" si="91"/>
        <v>2478.9899999999998</v>
      </c>
      <c r="G73" s="278">
        <v>55.15</v>
      </c>
      <c r="H73" s="240">
        <f t="shared" si="92"/>
        <v>2478.9925000000003</v>
      </c>
      <c r="I73" s="241">
        <f t="shared" si="93"/>
        <v>1</v>
      </c>
      <c r="J73" s="419"/>
      <c r="K73" s="242">
        <f t="shared" si="94"/>
        <v>0</v>
      </c>
      <c r="L73" s="243">
        <f t="shared" si="95"/>
        <v>0</v>
      </c>
      <c r="M73" s="240">
        <f t="shared" si="2"/>
        <v>55.15</v>
      </c>
      <c r="N73" s="240">
        <f t="shared" si="96"/>
        <v>2478.9925000000003</v>
      </c>
      <c r="O73" s="244">
        <f t="shared" si="97"/>
        <v>1</v>
      </c>
      <c r="P73" s="211">
        <f t="shared" si="98"/>
        <v>0</v>
      </c>
      <c r="Q73" s="212">
        <f t="shared" si="99"/>
        <v>0</v>
      </c>
      <c r="R73" s="213">
        <f t="shared" si="100"/>
        <v>0</v>
      </c>
      <c r="S73" s="204">
        <f t="shared" si="101"/>
        <v>2478.9925000000003</v>
      </c>
      <c r="T73" s="204">
        <f t="shared" si="102"/>
        <v>-2.500000000509317E-3</v>
      </c>
    </row>
    <row r="74" spans="1:20" s="2" customFormat="1" x14ac:dyDescent="0.3">
      <c r="A74" s="298" t="s">
        <v>347</v>
      </c>
      <c r="B74" s="300" t="s">
        <v>774</v>
      </c>
      <c r="C74" s="302" t="s">
        <v>93</v>
      </c>
      <c r="D74" s="303">
        <v>76.900000000000006</v>
      </c>
      <c r="E74" s="356">
        <v>102.8</v>
      </c>
      <c r="F74" s="356">
        <f t="shared" si="91"/>
        <v>7905.32</v>
      </c>
      <c r="G74" s="278">
        <v>76.900000000000006</v>
      </c>
      <c r="H74" s="240">
        <f t="shared" si="92"/>
        <v>7905.3200000000006</v>
      </c>
      <c r="I74" s="241">
        <f t="shared" si="93"/>
        <v>1</v>
      </c>
      <c r="J74" s="419"/>
      <c r="K74" s="242">
        <f t="shared" si="94"/>
        <v>0</v>
      </c>
      <c r="L74" s="243">
        <f t="shared" si="95"/>
        <v>0</v>
      </c>
      <c r="M74" s="240">
        <f t="shared" si="2"/>
        <v>76.900000000000006</v>
      </c>
      <c r="N74" s="240">
        <f t="shared" si="96"/>
        <v>7905.3200000000006</v>
      </c>
      <c r="O74" s="244">
        <f t="shared" si="97"/>
        <v>1</v>
      </c>
      <c r="P74" s="211">
        <f t="shared" si="98"/>
        <v>0</v>
      </c>
      <c r="Q74" s="212">
        <f t="shared" si="99"/>
        <v>0</v>
      </c>
      <c r="R74" s="213">
        <f t="shared" si="100"/>
        <v>0</v>
      </c>
      <c r="S74" s="204">
        <f t="shared" si="101"/>
        <v>7905.3200000000006</v>
      </c>
      <c r="T74" s="204">
        <f t="shared" si="102"/>
        <v>0</v>
      </c>
    </row>
    <row r="75" spans="1:20" s="2" customFormat="1" x14ac:dyDescent="0.3">
      <c r="A75" s="304" t="s">
        <v>218</v>
      </c>
      <c r="B75" s="305" t="s">
        <v>775</v>
      </c>
      <c r="C75" s="306" t="s">
        <v>160</v>
      </c>
      <c r="D75" s="307"/>
      <c r="E75" s="347"/>
      <c r="F75" s="348">
        <f>SUM(F76:F80)</f>
        <v>23281.699999999997</v>
      </c>
      <c r="G75" s="308"/>
      <c r="H75" s="309" t="s">
        <v>110</v>
      </c>
      <c r="I75" s="323" t="s">
        <v>110</v>
      </c>
      <c r="J75" s="419"/>
      <c r="K75" s="309" t="s">
        <v>110</v>
      </c>
      <c r="L75" s="324" t="s">
        <v>110</v>
      </c>
      <c r="M75" s="309"/>
      <c r="N75" s="309" t="s">
        <v>110</v>
      </c>
      <c r="O75" s="324" t="s">
        <v>110</v>
      </c>
      <c r="P75" s="326" t="s">
        <v>110</v>
      </c>
      <c r="Q75" s="309" t="s">
        <v>110</v>
      </c>
      <c r="R75" s="324" t="s">
        <v>110</v>
      </c>
      <c r="S75" s="204" t="e">
        <f>N75+Q75</f>
        <v>#VALUE!</v>
      </c>
      <c r="T75" s="204" t="e">
        <f>F75-S75</f>
        <v>#VALUE!</v>
      </c>
    </row>
    <row r="76" spans="1:20" s="2" customFormat="1" x14ac:dyDescent="0.3">
      <c r="A76" s="298" t="s">
        <v>348</v>
      </c>
      <c r="B76" s="300" t="s">
        <v>776</v>
      </c>
      <c r="C76" s="302" t="s">
        <v>92</v>
      </c>
      <c r="D76" s="303">
        <v>29.4</v>
      </c>
      <c r="E76" s="356">
        <v>31.27</v>
      </c>
      <c r="F76" s="356">
        <f t="shared" si="91"/>
        <v>919.34</v>
      </c>
      <c r="G76" s="278">
        <v>29.400000000000002</v>
      </c>
      <c r="H76" s="240">
        <f t="shared" ref="H76:H80" si="103">G76*E76</f>
        <v>919.33800000000008</v>
      </c>
      <c r="I76" s="241">
        <f t="shared" ref="I76:I80" si="104">+G76/D76</f>
        <v>1.0000000000000002</v>
      </c>
      <c r="J76" s="419"/>
      <c r="K76" s="242">
        <f t="shared" ref="K76:K80" si="105">J76*E76</f>
        <v>0</v>
      </c>
      <c r="L76" s="243">
        <f t="shared" ref="L76:L80" si="106">+J76/D76</f>
        <v>0</v>
      </c>
      <c r="M76" s="240">
        <f t="shared" si="2"/>
        <v>29.400000000000002</v>
      </c>
      <c r="N76" s="240">
        <f t="shared" ref="N76:N80" si="107">M76*E76</f>
        <v>919.33800000000008</v>
      </c>
      <c r="O76" s="244">
        <f t="shared" ref="O76:O80" si="108">+M76/D76</f>
        <v>1.0000000000000002</v>
      </c>
      <c r="P76" s="211">
        <f t="shared" ref="P76:P80" si="109">+D76-M76</f>
        <v>0</v>
      </c>
      <c r="Q76" s="212">
        <f t="shared" ref="Q76:Q80" si="110">P76*E76</f>
        <v>0</v>
      </c>
      <c r="R76" s="213">
        <f t="shared" ref="R76:R80" si="111">+P76/D76</f>
        <v>0</v>
      </c>
      <c r="S76" s="204">
        <f t="shared" ref="S76:S80" si="112">N76+Q76</f>
        <v>919.33800000000008</v>
      </c>
      <c r="T76" s="204">
        <f t="shared" ref="T76:T80" si="113">F76-S76</f>
        <v>1.9999999999527063E-3</v>
      </c>
    </row>
    <row r="77" spans="1:20" s="2" customFormat="1" x14ac:dyDescent="0.3">
      <c r="A77" s="298" t="s">
        <v>349</v>
      </c>
      <c r="B77" s="300" t="s">
        <v>777</v>
      </c>
      <c r="C77" s="302" t="s">
        <v>93</v>
      </c>
      <c r="D77" s="303">
        <v>17.53</v>
      </c>
      <c r="E77" s="356">
        <v>301.67</v>
      </c>
      <c r="F77" s="356">
        <f t="shared" si="91"/>
        <v>5288.28</v>
      </c>
      <c r="G77" s="278">
        <v>17.53</v>
      </c>
      <c r="H77" s="240">
        <f t="shared" si="103"/>
        <v>5288.2751000000007</v>
      </c>
      <c r="I77" s="241">
        <f t="shared" si="104"/>
        <v>1</v>
      </c>
      <c r="J77" s="419"/>
      <c r="K77" s="242">
        <f t="shared" si="105"/>
        <v>0</v>
      </c>
      <c r="L77" s="243">
        <f t="shared" si="106"/>
        <v>0</v>
      </c>
      <c r="M77" s="240">
        <f t="shared" si="2"/>
        <v>17.53</v>
      </c>
      <c r="N77" s="240">
        <f t="shared" si="107"/>
        <v>5288.2751000000007</v>
      </c>
      <c r="O77" s="244">
        <f t="shared" si="108"/>
        <v>1</v>
      </c>
      <c r="P77" s="211">
        <f t="shared" si="109"/>
        <v>0</v>
      </c>
      <c r="Q77" s="212">
        <f t="shared" si="110"/>
        <v>0</v>
      </c>
      <c r="R77" s="213">
        <f t="shared" si="111"/>
        <v>0</v>
      </c>
      <c r="S77" s="204">
        <f t="shared" si="112"/>
        <v>5288.2751000000007</v>
      </c>
      <c r="T77" s="204">
        <f t="shared" si="113"/>
        <v>4.899999998997373E-3</v>
      </c>
    </row>
    <row r="78" spans="1:20" s="2" customFormat="1" x14ac:dyDescent="0.3">
      <c r="A78" s="480" t="s">
        <v>350</v>
      </c>
      <c r="B78" s="452" t="s">
        <v>778</v>
      </c>
      <c r="C78" s="302" t="s">
        <v>93</v>
      </c>
      <c r="D78" s="303">
        <v>9.98</v>
      </c>
      <c r="E78" s="356">
        <v>345.25</v>
      </c>
      <c r="F78" s="356">
        <f t="shared" si="91"/>
        <v>3445.6</v>
      </c>
      <c r="G78" s="278">
        <v>9.98</v>
      </c>
      <c r="H78" s="240">
        <f t="shared" si="103"/>
        <v>3445.5950000000003</v>
      </c>
      <c r="I78" s="241">
        <f t="shared" si="104"/>
        <v>1</v>
      </c>
      <c r="J78" s="419"/>
      <c r="K78" s="242">
        <f t="shared" si="105"/>
        <v>0</v>
      </c>
      <c r="L78" s="243">
        <f t="shared" si="106"/>
        <v>0</v>
      </c>
      <c r="M78" s="240">
        <f t="shared" si="2"/>
        <v>9.98</v>
      </c>
      <c r="N78" s="240">
        <f t="shared" si="107"/>
        <v>3445.5950000000003</v>
      </c>
      <c r="O78" s="244">
        <f t="shared" si="108"/>
        <v>1</v>
      </c>
      <c r="P78" s="211">
        <f t="shared" si="109"/>
        <v>0</v>
      </c>
      <c r="Q78" s="212">
        <f t="shared" si="110"/>
        <v>0</v>
      </c>
      <c r="R78" s="213">
        <f t="shared" si="111"/>
        <v>0</v>
      </c>
      <c r="S78" s="204">
        <f t="shared" si="112"/>
        <v>3445.5950000000003</v>
      </c>
      <c r="T78" s="204">
        <f t="shared" si="113"/>
        <v>4.999999999654392E-3</v>
      </c>
    </row>
    <row r="79" spans="1:20" s="2" customFormat="1" x14ac:dyDescent="0.3">
      <c r="A79" s="480" t="s">
        <v>351</v>
      </c>
      <c r="B79" s="452" t="s">
        <v>779</v>
      </c>
      <c r="C79" s="302" t="s">
        <v>92</v>
      </c>
      <c r="D79" s="303">
        <v>133.08000000000001</v>
      </c>
      <c r="E79" s="356">
        <v>67.209999999999994</v>
      </c>
      <c r="F79" s="356">
        <f t="shared" si="91"/>
        <v>8944.31</v>
      </c>
      <c r="G79" s="278">
        <v>133.08000000000001</v>
      </c>
      <c r="H79" s="240">
        <f t="shared" si="103"/>
        <v>8944.3068000000003</v>
      </c>
      <c r="I79" s="241">
        <f t="shared" si="104"/>
        <v>1</v>
      </c>
      <c r="J79" s="419"/>
      <c r="K79" s="242">
        <f t="shared" si="105"/>
        <v>0</v>
      </c>
      <c r="L79" s="243">
        <f t="shared" si="106"/>
        <v>0</v>
      </c>
      <c r="M79" s="240">
        <f t="shared" si="2"/>
        <v>133.08000000000001</v>
      </c>
      <c r="N79" s="240">
        <f t="shared" si="107"/>
        <v>8944.3068000000003</v>
      </c>
      <c r="O79" s="244">
        <f t="shared" si="108"/>
        <v>1</v>
      </c>
      <c r="P79" s="211">
        <f t="shared" si="109"/>
        <v>0</v>
      </c>
      <c r="Q79" s="212">
        <f t="shared" si="110"/>
        <v>0</v>
      </c>
      <c r="R79" s="213">
        <f t="shared" si="111"/>
        <v>0</v>
      </c>
      <c r="S79" s="204">
        <f t="shared" si="112"/>
        <v>8944.3068000000003</v>
      </c>
      <c r="T79" s="204">
        <f t="shared" si="113"/>
        <v>3.1999999991967343E-3</v>
      </c>
    </row>
    <row r="80" spans="1:20" s="2" customFormat="1" x14ac:dyDescent="0.3">
      <c r="A80" s="480" t="s">
        <v>352</v>
      </c>
      <c r="B80" s="452" t="s">
        <v>780</v>
      </c>
      <c r="C80" s="302" t="s">
        <v>92</v>
      </c>
      <c r="D80" s="303">
        <v>121.73</v>
      </c>
      <c r="E80" s="356">
        <v>38.479999999999997</v>
      </c>
      <c r="F80" s="356">
        <f t="shared" si="91"/>
        <v>4684.17</v>
      </c>
      <c r="G80" s="278">
        <v>0</v>
      </c>
      <c r="H80" s="240">
        <f t="shared" si="103"/>
        <v>0</v>
      </c>
      <c r="I80" s="241">
        <f t="shared" si="104"/>
        <v>0</v>
      </c>
      <c r="J80" s="419">
        <f>+D80</f>
        <v>121.73</v>
      </c>
      <c r="K80" s="242">
        <f t="shared" si="105"/>
        <v>4684.1704</v>
      </c>
      <c r="L80" s="243">
        <f t="shared" si="106"/>
        <v>1</v>
      </c>
      <c r="M80" s="240">
        <f t="shared" si="2"/>
        <v>121.73</v>
      </c>
      <c r="N80" s="240">
        <f t="shared" si="107"/>
        <v>4684.1704</v>
      </c>
      <c r="O80" s="244">
        <f t="shared" si="108"/>
        <v>1</v>
      </c>
      <c r="P80" s="211">
        <f t="shared" si="109"/>
        <v>0</v>
      </c>
      <c r="Q80" s="212">
        <f t="shared" si="110"/>
        <v>0</v>
      </c>
      <c r="R80" s="213">
        <f t="shared" si="111"/>
        <v>0</v>
      </c>
      <c r="S80" s="204">
        <f t="shared" si="112"/>
        <v>4684.1704</v>
      </c>
      <c r="T80" s="204">
        <f t="shared" si="113"/>
        <v>-3.9999999989959178E-4</v>
      </c>
    </row>
    <row r="81" spans="1:20" s="2" customFormat="1" x14ac:dyDescent="0.3">
      <c r="A81" s="304" t="s">
        <v>353</v>
      </c>
      <c r="B81" s="305" t="s">
        <v>781</v>
      </c>
      <c r="C81" s="320" t="s">
        <v>160</v>
      </c>
      <c r="D81" s="307"/>
      <c r="E81" s="347"/>
      <c r="F81" s="348">
        <f>+F82+F86+F91+F96+F101+F106+F112+F117+F122</f>
        <v>145644.01999999999</v>
      </c>
      <c r="G81" s="308"/>
      <c r="H81" s="309" t="s">
        <v>110</v>
      </c>
      <c r="I81" s="323" t="s">
        <v>110</v>
      </c>
      <c r="J81" s="419"/>
      <c r="K81" s="309" t="s">
        <v>110</v>
      </c>
      <c r="L81" s="324" t="s">
        <v>110</v>
      </c>
      <c r="M81" s="309"/>
      <c r="N81" s="309" t="s">
        <v>110</v>
      </c>
      <c r="O81" s="324" t="s">
        <v>110</v>
      </c>
      <c r="P81" s="326" t="s">
        <v>110</v>
      </c>
      <c r="Q81" s="309" t="s">
        <v>110</v>
      </c>
      <c r="R81" s="324" t="s">
        <v>110</v>
      </c>
      <c r="S81" s="204" t="e">
        <f>N81+Q81</f>
        <v>#VALUE!</v>
      </c>
      <c r="T81" s="204" t="e">
        <f>F81-S81</f>
        <v>#VALUE!</v>
      </c>
    </row>
    <row r="82" spans="1:20" s="2" customFormat="1" x14ac:dyDescent="0.3">
      <c r="A82" s="304" t="s">
        <v>354</v>
      </c>
      <c r="B82" s="305" t="s">
        <v>782</v>
      </c>
      <c r="C82" s="320" t="s">
        <v>160</v>
      </c>
      <c r="D82" s="307"/>
      <c r="E82" s="349"/>
      <c r="F82" s="350">
        <f>SUM(F83:F85)</f>
        <v>18790.43</v>
      </c>
      <c r="G82" s="308"/>
      <c r="H82" s="309" t="s">
        <v>110</v>
      </c>
      <c r="I82" s="323" t="s">
        <v>110</v>
      </c>
      <c r="J82" s="419"/>
      <c r="K82" s="309" t="s">
        <v>110</v>
      </c>
      <c r="L82" s="324" t="s">
        <v>110</v>
      </c>
      <c r="M82" s="309"/>
      <c r="N82" s="309" t="s">
        <v>110</v>
      </c>
      <c r="O82" s="324" t="s">
        <v>110</v>
      </c>
      <c r="P82" s="326" t="s">
        <v>110</v>
      </c>
      <c r="Q82" s="309" t="s">
        <v>110</v>
      </c>
      <c r="R82" s="324" t="s">
        <v>110</v>
      </c>
      <c r="S82" s="204" t="e">
        <f>N82+Q82</f>
        <v>#VALUE!</v>
      </c>
      <c r="T82" s="204" t="e">
        <f>F82-S82</f>
        <v>#VALUE!</v>
      </c>
    </row>
    <row r="83" spans="1:20" s="2" customFormat="1" x14ac:dyDescent="0.3">
      <c r="A83" s="298" t="s">
        <v>355</v>
      </c>
      <c r="B83" s="300" t="s">
        <v>783</v>
      </c>
      <c r="C83" s="302" t="s">
        <v>93</v>
      </c>
      <c r="D83" s="303">
        <v>17.329999999999998</v>
      </c>
      <c r="E83" s="356">
        <v>388.22</v>
      </c>
      <c r="F83" s="356">
        <f t="shared" ref="F83:F128" si="114">+ROUND((D83*E83),2)</f>
        <v>6727.85</v>
      </c>
      <c r="G83" s="278">
        <v>17.329999999999998</v>
      </c>
      <c r="H83" s="240">
        <f t="shared" ref="H83:H85" si="115">G83*E83</f>
        <v>6727.8526000000002</v>
      </c>
      <c r="I83" s="241">
        <f t="shared" ref="I83:I85" si="116">+G83/D83</f>
        <v>1</v>
      </c>
      <c r="J83" s="419"/>
      <c r="K83" s="242">
        <f t="shared" ref="K83:K85" si="117">J83*E83</f>
        <v>0</v>
      </c>
      <c r="L83" s="243">
        <f t="shared" ref="L83:L85" si="118">+J83/D83</f>
        <v>0</v>
      </c>
      <c r="M83" s="240">
        <f t="shared" ref="M83:M146" si="119">+G83+J83</f>
        <v>17.329999999999998</v>
      </c>
      <c r="N83" s="240">
        <f t="shared" ref="N83:N85" si="120">M83*E83</f>
        <v>6727.8526000000002</v>
      </c>
      <c r="O83" s="244">
        <f t="shared" ref="O83:O85" si="121">+M83/D83</f>
        <v>1</v>
      </c>
      <c r="P83" s="211">
        <f t="shared" ref="P83:P85" si="122">+D83-M83</f>
        <v>0</v>
      </c>
      <c r="Q83" s="212">
        <f t="shared" ref="Q83:Q85" si="123">P83*E83</f>
        <v>0</v>
      </c>
      <c r="R83" s="213">
        <f t="shared" ref="R83:R85" si="124">+P83/D83</f>
        <v>0</v>
      </c>
      <c r="S83" s="204">
        <f t="shared" ref="S83:S85" si="125">N83+Q83</f>
        <v>6727.8526000000002</v>
      </c>
      <c r="T83" s="204">
        <f t="shared" ref="T83:T85" si="126">F83-S83</f>
        <v>-2.599999999802094E-3</v>
      </c>
    </row>
    <row r="84" spans="1:20" s="2" customFormat="1" x14ac:dyDescent="0.3">
      <c r="A84" s="298" t="s">
        <v>356</v>
      </c>
      <c r="B84" s="300" t="s">
        <v>784</v>
      </c>
      <c r="C84" s="302" t="s">
        <v>274</v>
      </c>
      <c r="D84" s="303">
        <v>1529.4</v>
      </c>
      <c r="E84" s="356">
        <v>7.82</v>
      </c>
      <c r="F84" s="356">
        <f t="shared" si="114"/>
        <v>11959.91</v>
      </c>
      <c r="G84" s="278">
        <v>1529.4</v>
      </c>
      <c r="H84" s="240">
        <f t="shared" si="115"/>
        <v>11959.908000000001</v>
      </c>
      <c r="I84" s="241">
        <f t="shared" si="116"/>
        <v>1</v>
      </c>
      <c r="J84" s="419"/>
      <c r="K84" s="242">
        <f t="shared" si="117"/>
        <v>0</v>
      </c>
      <c r="L84" s="243">
        <f t="shared" si="118"/>
        <v>0</v>
      </c>
      <c r="M84" s="240">
        <f t="shared" si="119"/>
        <v>1529.4</v>
      </c>
      <c r="N84" s="240">
        <f t="shared" si="120"/>
        <v>11959.908000000001</v>
      </c>
      <c r="O84" s="244">
        <f t="shared" si="121"/>
        <v>1</v>
      </c>
      <c r="P84" s="211">
        <f t="shared" si="122"/>
        <v>0</v>
      </c>
      <c r="Q84" s="212">
        <f t="shared" si="123"/>
        <v>0</v>
      </c>
      <c r="R84" s="213">
        <f t="shared" si="124"/>
        <v>0</v>
      </c>
      <c r="S84" s="204">
        <f t="shared" si="125"/>
        <v>11959.908000000001</v>
      </c>
      <c r="T84" s="204">
        <f t="shared" si="126"/>
        <v>1.9999999985884642E-3</v>
      </c>
    </row>
    <row r="85" spans="1:20" s="2" customFormat="1" x14ac:dyDescent="0.3">
      <c r="A85" s="298" t="s">
        <v>357</v>
      </c>
      <c r="B85" s="300" t="s">
        <v>785</v>
      </c>
      <c r="C85" s="302" t="s">
        <v>92</v>
      </c>
      <c r="D85" s="303">
        <v>48.89</v>
      </c>
      <c r="E85" s="356">
        <v>2.1</v>
      </c>
      <c r="F85" s="356">
        <f t="shared" si="114"/>
        <v>102.67</v>
      </c>
      <c r="G85" s="278">
        <v>48.89</v>
      </c>
      <c r="H85" s="240">
        <f t="shared" si="115"/>
        <v>102.66900000000001</v>
      </c>
      <c r="I85" s="241">
        <f t="shared" si="116"/>
        <v>1</v>
      </c>
      <c r="J85" s="419"/>
      <c r="K85" s="242">
        <f t="shared" si="117"/>
        <v>0</v>
      </c>
      <c r="L85" s="243">
        <f t="shared" si="118"/>
        <v>0</v>
      </c>
      <c r="M85" s="240">
        <f t="shared" si="119"/>
        <v>48.89</v>
      </c>
      <c r="N85" s="240">
        <f t="shared" si="120"/>
        <v>102.66900000000001</v>
      </c>
      <c r="O85" s="244">
        <f t="shared" si="121"/>
        <v>1</v>
      </c>
      <c r="P85" s="211">
        <f t="shared" si="122"/>
        <v>0</v>
      </c>
      <c r="Q85" s="212">
        <f t="shared" si="123"/>
        <v>0</v>
      </c>
      <c r="R85" s="213">
        <f t="shared" si="124"/>
        <v>0</v>
      </c>
      <c r="S85" s="204">
        <f t="shared" si="125"/>
        <v>102.66900000000001</v>
      </c>
      <c r="T85" s="204">
        <f t="shared" si="126"/>
        <v>9.9999999999056399E-4</v>
      </c>
    </row>
    <row r="86" spans="1:20" s="2" customFormat="1" x14ac:dyDescent="0.3">
      <c r="A86" s="304" t="s">
        <v>358</v>
      </c>
      <c r="B86" s="305" t="s">
        <v>786</v>
      </c>
      <c r="C86" s="320" t="s">
        <v>160</v>
      </c>
      <c r="D86" s="321"/>
      <c r="E86" s="349"/>
      <c r="F86" s="350">
        <f>SUM(F87:F90)</f>
        <v>32651.489999999998</v>
      </c>
      <c r="G86" s="308"/>
      <c r="H86" s="309" t="s">
        <v>110</v>
      </c>
      <c r="I86" s="323" t="s">
        <v>110</v>
      </c>
      <c r="J86" s="419"/>
      <c r="K86" s="309" t="s">
        <v>110</v>
      </c>
      <c r="L86" s="324" t="s">
        <v>110</v>
      </c>
      <c r="M86" s="309"/>
      <c r="N86" s="309" t="s">
        <v>110</v>
      </c>
      <c r="O86" s="324" t="s">
        <v>110</v>
      </c>
      <c r="P86" s="326" t="s">
        <v>110</v>
      </c>
      <c r="Q86" s="309" t="s">
        <v>110</v>
      </c>
      <c r="R86" s="324" t="s">
        <v>110</v>
      </c>
      <c r="S86" s="204" t="e">
        <f>N86+Q86</f>
        <v>#VALUE!</v>
      </c>
      <c r="T86" s="204" t="e">
        <f>F86-S86</f>
        <v>#VALUE!</v>
      </c>
    </row>
    <row r="87" spans="1:20" s="2" customFormat="1" x14ac:dyDescent="0.3">
      <c r="A87" s="298" t="s">
        <v>359</v>
      </c>
      <c r="B87" s="300" t="s">
        <v>787</v>
      </c>
      <c r="C87" s="302" t="s">
        <v>93</v>
      </c>
      <c r="D87" s="303">
        <v>11.05</v>
      </c>
      <c r="E87" s="356">
        <v>578.63</v>
      </c>
      <c r="F87" s="356">
        <f t="shared" si="114"/>
        <v>6393.86</v>
      </c>
      <c r="G87" s="278">
        <v>11.05</v>
      </c>
      <c r="H87" s="240">
        <f t="shared" ref="H87:H90" si="127">G87*E87</f>
        <v>6393.8615</v>
      </c>
      <c r="I87" s="241">
        <f t="shared" ref="I87:I90" si="128">+G87/D87</f>
        <v>1</v>
      </c>
      <c r="J87" s="419"/>
      <c r="K87" s="242">
        <f t="shared" ref="K87:K90" si="129">J87*E87</f>
        <v>0</v>
      </c>
      <c r="L87" s="243">
        <f t="shared" ref="L87:L90" si="130">+J87/D87</f>
        <v>0</v>
      </c>
      <c r="M87" s="240">
        <f t="shared" si="119"/>
        <v>11.05</v>
      </c>
      <c r="N87" s="240">
        <f t="shared" ref="N87:N90" si="131">M87*E87</f>
        <v>6393.8615</v>
      </c>
      <c r="O87" s="244">
        <f t="shared" ref="O87:O90" si="132">+M87/D87</f>
        <v>1</v>
      </c>
      <c r="P87" s="211">
        <f t="shared" ref="P87:P90" si="133">+D87-M87</f>
        <v>0</v>
      </c>
      <c r="Q87" s="212">
        <f t="shared" ref="Q87:Q90" si="134">P87*E87</f>
        <v>0</v>
      </c>
      <c r="R87" s="213">
        <f t="shared" ref="R87:R90" si="135">+P87/D87</f>
        <v>0</v>
      </c>
      <c r="S87" s="204">
        <f t="shared" ref="S87:S90" si="136">N87+Q87</f>
        <v>6393.8615</v>
      </c>
      <c r="T87" s="204">
        <f t="shared" ref="T87:T90" si="137">F87-S87</f>
        <v>-1.5000000003055902E-3</v>
      </c>
    </row>
    <row r="88" spans="1:20" s="2" customFormat="1" x14ac:dyDescent="0.3">
      <c r="A88" s="298" t="s">
        <v>360</v>
      </c>
      <c r="B88" s="300" t="s">
        <v>788</v>
      </c>
      <c r="C88" s="302" t="s">
        <v>92</v>
      </c>
      <c r="D88" s="303">
        <v>142.26</v>
      </c>
      <c r="E88" s="356">
        <v>78.77</v>
      </c>
      <c r="F88" s="356">
        <f t="shared" si="114"/>
        <v>11205.82</v>
      </c>
      <c r="G88" s="278">
        <v>142.26</v>
      </c>
      <c r="H88" s="240">
        <f t="shared" si="127"/>
        <v>11205.820199999998</v>
      </c>
      <c r="I88" s="241">
        <f t="shared" si="128"/>
        <v>1</v>
      </c>
      <c r="J88" s="419"/>
      <c r="K88" s="242">
        <f t="shared" si="129"/>
        <v>0</v>
      </c>
      <c r="L88" s="243">
        <f t="shared" si="130"/>
        <v>0</v>
      </c>
      <c r="M88" s="240">
        <f t="shared" si="119"/>
        <v>142.26</v>
      </c>
      <c r="N88" s="240">
        <f t="shared" si="131"/>
        <v>11205.820199999998</v>
      </c>
      <c r="O88" s="244">
        <f t="shared" si="132"/>
        <v>1</v>
      </c>
      <c r="P88" s="211">
        <f t="shared" si="133"/>
        <v>0</v>
      </c>
      <c r="Q88" s="212">
        <f t="shared" si="134"/>
        <v>0</v>
      </c>
      <c r="R88" s="213">
        <f t="shared" si="135"/>
        <v>0</v>
      </c>
      <c r="S88" s="204">
        <f t="shared" si="136"/>
        <v>11205.820199999998</v>
      </c>
      <c r="T88" s="204">
        <f t="shared" si="137"/>
        <v>-1.9999999858555384E-4</v>
      </c>
    </row>
    <row r="89" spans="1:20" s="2" customFormat="1" x14ac:dyDescent="0.3">
      <c r="A89" s="298" t="s">
        <v>361</v>
      </c>
      <c r="B89" s="300" t="s">
        <v>784</v>
      </c>
      <c r="C89" s="302" t="s">
        <v>274</v>
      </c>
      <c r="D89" s="303">
        <v>1886.58</v>
      </c>
      <c r="E89" s="356">
        <v>7.82</v>
      </c>
      <c r="F89" s="356">
        <f t="shared" si="114"/>
        <v>14753.06</v>
      </c>
      <c r="G89" s="278">
        <v>1886.58</v>
      </c>
      <c r="H89" s="240">
        <f t="shared" si="127"/>
        <v>14753.0556</v>
      </c>
      <c r="I89" s="241">
        <f t="shared" si="128"/>
        <v>1</v>
      </c>
      <c r="J89" s="419"/>
      <c r="K89" s="242">
        <f t="shared" si="129"/>
        <v>0</v>
      </c>
      <c r="L89" s="243">
        <f t="shared" si="130"/>
        <v>0</v>
      </c>
      <c r="M89" s="240">
        <f t="shared" si="119"/>
        <v>1886.58</v>
      </c>
      <c r="N89" s="240">
        <f t="shared" si="131"/>
        <v>14753.0556</v>
      </c>
      <c r="O89" s="244">
        <f t="shared" si="132"/>
        <v>1</v>
      </c>
      <c r="P89" s="211">
        <f t="shared" si="133"/>
        <v>0</v>
      </c>
      <c r="Q89" s="212">
        <f t="shared" si="134"/>
        <v>0</v>
      </c>
      <c r="R89" s="213">
        <f t="shared" si="135"/>
        <v>0</v>
      </c>
      <c r="S89" s="204">
        <f t="shared" si="136"/>
        <v>14753.0556</v>
      </c>
      <c r="T89" s="204">
        <f t="shared" si="137"/>
        <v>4.3999999998050043E-3</v>
      </c>
    </row>
    <row r="90" spans="1:20" s="2" customFormat="1" x14ac:dyDescent="0.3">
      <c r="A90" s="298" t="s">
        <v>362</v>
      </c>
      <c r="B90" s="300" t="s">
        <v>785</v>
      </c>
      <c r="C90" s="302" t="s">
        <v>92</v>
      </c>
      <c r="D90" s="303">
        <v>142.26</v>
      </c>
      <c r="E90" s="356">
        <v>2.1</v>
      </c>
      <c r="F90" s="356">
        <f t="shared" si="114"/>
        <v>298.75</v>
      </c>
      <c r="G90" s="278">
        <v>142.26</v>
      </c>
      <c r="H90" s="240">
        <f t="shared" si="127"/>
        <v>298.74599999999998</v>
      </c>
      <c r="I90" s="241">
        <f t="shared" si="128"/>
        <v>1</v>
      </c>
      <c r="J90" s="419"/>
      <c r="K90" s="242">
        <f t="shared" si="129"/>
        <v>0</v>
      </c>
      <c r="L90" s="243">
        <f t="shared" si="130"/>
        <v>0</v>
      </c>
      <c r="M90" s="240">
        <f t="shared" si="119"/>
        <v>142.26</v>
      </c>
      <c r="N90" s="240">
        <f t="shared" si="131"/>
        <v>298.74599999999998</v>
      </c>
      <c r="O90" s="244">
        <f t="shared" si="132"/>
        <v>1</v>
      </c>
      <c r="P90" s="211">
        <f t="shared" si="133"/>
        <v>0</v>
      </c>
      <c r="Q90" s="212">
        <f t="shared" si="134"/>
        <v>0</v>
      </c>
      <c r="R90" s="213">
        <f t="shared" si="135"/>
        <v>0</v>
      </c>
      <c r="S90" s="204">
        <f t="shared" si="136"/>
        <v>298.74599999999998</v>
      </c>
      <c r="T90" s="204">
        <f t="shared" si="137"/>
        <v>4.0000000000190994E-3</v>
      </c>
    </row>
    <row r="91" spans="1:20" s="2" customFormat="1" x14ac:dyDescent="0.3">
      <c r="A91" s="304" t="s">
        <v>363</v>
      </c>
      <c r="B91" s="305" t="s">
        <v>789</v>
      </c>
      <c r="C91" s="320" t="s">
        <v>160</v>
      </c>
      <c r="D91" s="321"/>
      <c r="E91" s="349"/>
      <c r="F91" s="350">
        <f>SUM(F92:F95)</f>
        <v>2622.48</v>
      </c>
      <c r="G91" s="308"/>
      <c r="H91" s="309" t="s">
        <v>110</v>
      </c>
      <c r="I91" s="323" t="s">
        <v>110</v>
      </c>
      <c r="J91" s="419"/>
      <c r="K91" s="309" t="s">
        <v>110</v>
      </c>
      <c r="L91" s="324" t="s">
        <v>110</v>
      </c>
      <c r="M91" s="309"/>
      <c r="N91" s="309" t="s">
        <v>110</v>
      </c>
      <c r="O91" s="324" t="s">
        <v>110</v>
      </c>
      <c r="P91" s="326" t="s">
        <v>110</v>
      </c>
      <c r="Q91" s="309" t="s">
        <v>110</v>
      </c>
      <c r="R91" s="324" t="s">
        <v>110</v>
      </c>
      <c r="S91" s="204" t="e">
        <f>N91+Q91</f>
        <v>#VALUE!</v>
      </c>
      <c r="T91" s="204" t="e">
        <f>F91-S91</f>
        <v>#VALUE!</v>
      </c>
    </row>
    <row r="92" spans="1:20" s="2" customFormat="1" x14ac:dyDescent="0.3">
      <c r="A92" s="480" t="s">
        <v>364</v>
      </c>
      <c r="B92" s="452" t="s">
        <v>790</v>
      </c>
      <c r="C92" s="302" t="s">
        <v>93</v>
      </c>
      <c r="D92" s="303">
        <v>1.07</v>
      </c>
      <c r="E92" s="356">
        <v>375.62</v>
      </c>
      <c r="F92" s="356">
        <f t="shared" si="114"/>
        <v>401.91</v>
      </c>
      <c r="G92" s="278">
        <v>1.07</v>
      </c>
      <c r="H92" s="240">
        <f t="shared" ref="H92:H95" si="138">G92*E92</f>
        <v>401.91340000000002</v>
      </c>
      <c r="I92" s="241">
        <f t="shared" ref="I92:I95" si="139">+G92/D92</f>
        <v>1</v>
      </c>
      <c r="J92" s="419"/>
      <c r="K92" s="242">
        <f t="shared" ref="K92:K95" si="140">J92*E92</f>
        <v>0</v>
      </c>
      <c r="L92" s="243">
        <f t="shared" ref="L92:L95" si="141">+J92/D92</f>
        <v>0</v>
      </c>
      <c r="M92" s="240">
        <f t="shared" si="119"/>
        <v>1.07</v>
      </c>
      <c r="N92" s="240">
        <f t="shared" ref="N92:N95" si="142">M92*E92</f>
        <v>401.91340000000002</v>
      </c>
      <c r="O92" s="244">
        <f t="shared" ref="O92:O95" si="143">+M92/D92</f>
        <v>1</v>
      </c>
      <c r="P92" s="211">
        <f t="shared" ref="P92:P95" si="144">+D92-M92</f>
        <v>0</v>
      </c>
      <c r="Q92" s="212">
        <f t="shared" ref="Q92:Q95" si="145">P92*E92</f>
        <v>0</v>
      </c>
      <c r="R92" s="213">
        <f t="shared" ref="R92:R95" si="146">+P92/D92</f>
        <v>0</v>
      </c>
      <c r="S92" s="204">
        <f t="shared" ref="S92:S95" si="147">N92+Q92</f>
        <v>401.91340000000002</v>
      </c>
      <c r="T92" s="204">
        <f t="shared" ref="T92:T95" si="148">F92-S92</f>
        <v>-3.3999999999991815E-3</v>
      </c>
    </row>
    <row r="93" spans="1:20" s="2" customFormat="1" x14ac:dyDescent="0.3">
      <c r="A93" s="480" t="s">
        <v>365</v>
      </c>
      <c r="B93" s="452" t="s">
        <v>791</v>
      </c>
      <c r="C93" s="302" t="s">
        <v>92</v>
      </c>
      <c r="D93" s="303">
        <v>22.8</v>
      </c>
      <c r="E93" s="356">
        <v>59.87</v>
      </c>
      <c r="F93" s="356">
        <f t="shared" si="114"/>
        <v>1365.04</v>
      </c>
      <c r="G93" s="278">
        <v>22.8</v>
      </c>
      <c r="H93" s="240">
        <f t="shared" si="138"/>
        <v>1365.0360000000001</v>
      </c>
      <c r="I93" s="241">
        <f t="shared" si="139"/>
        <v>1</v>
      </c>
      <c r="J93" s="419"/>
      <c r="K93" s="242">
        <f t="shared" si="140"/>
        <v>0</v>
      </c>
      <c r="L93" s="243">
        <f t="shared" si="141"/>
        <v>0</v>
      </c>
      <c r="M93" s="240">
        <f t="shared" si="119"/>
        <v>22.8</v>
      </c>
      <c r="N93" s="240">
        <f t="shared" si="142"/>
        <v>1365.0360000000001</v>
      </c>
      <c r="O93" s="244">
        <f t="shared" si="143"/>
        <v>1</v>
      </c>
      <c r="P93" s="211">
        <f t="shared" si="144"/>
        <v>0</v>
      </c>
      <c r="Q93" s="212">
        <f t="shared" si="145"/>
        <v>0</v>
      </c>
      <c r="R93" s="213">
        <f t="shared" si="146"/>
        <v>0</v>
      </c>
      <c r="S93" s="204">
        <f t="shared" si="147"/>
        <v>1365.0360000000001</v>
      </c>
      <c r="T93" s="204">
        <f t="shared" si="148"/>
        <v>3.9999999999054126E-3</v>
      </c>
    </row>
    <row r="94" spans="1:20" s="2" customFormat="1" x14ac:dyDescent="0.3">
      <c r="A94" s="480" t="s">
        <v>366</v>
      </c>
      <c r="B94" s="452" t="s">
        <v>784</v>
      </c>
      <c r="C94" s="302" t="s">
        <v>274</v>
      </c>
      <c r="D94" s="303">
        <v>103.28</v>
      </c>
      <c r="E94" s="356">
        <v>7.82</v>
      </c>
      <c r="F94" s="356">
        <f t="shared" si="114"/>
        <v>807.65</v>
      </c>
      <c r="G94" s="278">
        <v>103.28</v>
      </c>
      <c r="H94" s="240">
        <f t="shared" si="138"/>
        <v>807.64960000000008</v>
      </c>
      <c r="I94" s="241">
        <f t="shared" si="139"/>
        <v>1</v>
      </c>
      <c r="J94" s="419"/>
      <c r="K94" s="242">
        <f t="shared" si="140"/>
        <v>0</v>
      </c>
      <c r="L94" s="243">
        <f t="shared" si="141"/>
        <v>0</v>
      </c>
      <c r="M94" s="240">
        <f t="shared" si="119"/>
        <v>103.28</v>
      </c>
      <c r="N94" s="240">
        <f t="shared" si="142"/>
        <v>807.64960000000008</v>
      </c>
      <c r="O94" s="244">
        <f t="shared" si="143"/>
        <v>1</v>
      </c>
      <c r="P94" s="211">
        <f t="shared" si="144"/>
        <v>0</v>
      </c>
      <c r="Q94" s="212">
        <f t="shared" si="145"/>
        <v>0</v>
      </c>
      <c r="R94" s="213">
        <f t="shared" si="146"/>
        <v>0</v>
      </c>
      <c r="S94" s="204">
        <f t="shared" si="147"/>
        <v>807.64960000000008</v>
      </c>
      <c r="T94" s="204">
        <f t="shared" si="148"/>
        <v>3.9999999989959178E-4</v>
      </c>
    </row>
    <row r="95" spans="1:20" s="2" customFormat="1" x14ac:dyDescent="0.3">
      <c r="A95" s="480" t="s">
        <v>367</v>
      </c>
      <c r="B95" s="452" t="s">
        <v>785</v>
      </c>
      <c r="C95" s="302" t="s">
        <v>92</v>
      </c>
      <c r="D95" s="303">
        <v>22.8</v>
      </c>
      <c r="E95" s="356">
        <v>2.1</v>
      </c>
      <c r="F95" s="356">
        <f t="shared" si="114"/>
        <v>47.88</v>
      </c>
      <c r="G95" s="278">
        <v>22.8</v>
      </c>
      <c r="H95" s="240">
        <f t="shared" si="138"/>
        <v>47.88</v>
      </c>
      <c r="I95" s="241">
        <f t="shared" si="139"/>
        <v>1</v>
      </c>
      <c r="J95" s="419"/>
      <c r="K95" s="242">
        <f t="shared" si="140"/>
        <v>0</v>
      </c>
      <c r="L95" s="243">
        <f t="shared" si="141"/>
        <v>0</v>
      </c>
      <c r="M95" s="240">
        <f t="shared" si="119"/>
        <v>22.8</v>
      </c>
      <c r="N95" s="240">
        <f t="shared" si="142"/>
        <v>47.88</v>
      </c>
      <c r="O95" s="244">
        <f t="shared" si="143"/>
        <v>1</v>
      </c>
      <c r="P95" s="211">
        <f t="shared" si="144"/>
        <v>0</v>
      </c>
      <c r="Q95" s="212">
        <f t="shared" si="145"/>
        <v>0</v>
      </c>
      <c r="R95" s="213">
        <f t="shared" si="146"/>
        <v>0</v>
      </c>
      <c r="S95" s="204">
        <f t="shared" si="147"/>
        <v>47.88</v>
      </c>
      <c r="T95" s="204">
        <f t="shared" si="148"/>
        <v>0</v>
      </c>
    </row>
    <row r="96" spans="1:20" s="2" customFormat="1" x14ac:dyDescent="0.3">
      <c r="A96" s="304" t="s">
        <v>368</v>
      </c>
      <c r="B96" s="305" t="s">
        <v>792</v>
      </c>
      <c r="C96" s="320" t="s">
        <v>160</v>
      </c>
      <c r="D96" s="321"/>
      <c r="E96" s="349"/>
      <c r="F96" s="350">
        <f>SUM(F97:F100)</f>
        <v>17028.899999999998</v>
      </c>
      <c r="G96" s="308"/>
      <c r="H96" s="309" t="s">
        <v>110</v>
      </c>
      <c r="I96" s="323" t="s">
        <v>110</v>
      </c>
      <c r="J96" s="419"/>
      <c r="K96" s="309" t="s">
        <v>110</v>
      </c>
      <c r="L96" s="324" t="s">
        <v>110</v>
      </c>
      <c r="M96" s="309"/>
      <c r="N96" s="309" t="s">
        <v>110</v>
      </c>
      <c r="O96" s="324" t="s">
        <v>110</v>
      </c>
      <c r="P96" s="326" t="s">
        <v>110</v>
      </c>
      <c r="Q96" s="309" t="s">
        <v>110</v>
      </c>
      <c r="R96" s="324" t="s">
        <v>110</v>
      </c>
      <c r="S96" s="204" t="s">
        <v>110</v>
      </c>
      <c r="T96" s="204" t="s">
        <v>110</v>
      </c>
    </row>
    <row r="97" spans="1:20" s="2" customFormat="1" x14ac:dyDescent="0.3">
      <c r="A97" s="298" t="s">
        <v>369</v>
      </c>
      <c r="B97" s="300" t="s">
        <v>793</v>
      </c>
      <c r="C97" s="302" t="s">
        <v>93</v>
      </c>
      <c r="D97" s="303">
        <v>8.25</v>
      </c>
      <c r="E97" s="356">
        <v>438.14</v>
      </c>
      <c r="F97" s="356">
        <f t="shared" si="114"/>
        <v>3614.66</v>
      </c>
      <c r="G97" s="278">
        <v>8.25</v>
      </c>
      <c r="H97" s="240">
        <f t="shared" ref="H97:H100" si="149">G97*E97</f>
        <v>3614.6549999999997</v>
      </c>
      <c r="I97" s="241">
        <f t="shared" ref="I97:I100" si="150">+G97/D97</f>
        <v>1</v>
      </c>
      <c r="J97" s="419"/>
      <c r="K97" s="242">
        <f t="shared" ref="K97:K100" si="151">J97*E97</f>
        <v>0</v>
      </c>
      <c r="L97" s="243">
        <f t="shared" ref="L97:L100" si="152">+J97/D97</f>
        <v>0</v>
      </c>
      <c r="M97" s="240">
        <f t="shared" si="119"/>
        <v>8.25</v>
      </c>
      <c r="N97" s="240">
        <f t="shared" ref="N97:N100" si="153">M97*E97</f>
        <v>3614.6549999999997</v>
      </c>
      <c r="O97" s="244">
        <f t="shared" ref="O97:O100" si="154">+M97/D97</f>
        <v>1</v>
      </c>
      <c r="P97" s="211">
        <f t="shared" ref="P97:P100" si="155">+D97-M97</f>
        <v>0</v>
      </c>
      <c r="Q97" s="212">
        <f t="shared" ref="Q97:Q100" si="156">P97*E97</f>
        <v>0</v>
      </c>
      <c r="R97" s="213">
        <f t="shared" ref="R97:R100" si="157">+P97/D97</f>
        <v>0</v>
      </c>
      <c r="S97" s="204">
        <f t="shared" ref="S97:S100" si="158">N97+Q97</f>
        <v>3614.6549999999997</v>
      </c>
      <c r="T97" s="204">
        <f t="shared" ref="T97:T100" si="159">F97-S97</f>
        <v>5.0000000001091394E-3</v>
      </c>
    </row>
    <row r="98" spans="1:20" s="2" customFormat="1" x14ac:dyDescent="0.3">
      <c r="A98" s="298" t="s">
        <v>370</v>
      </c>
      <c r="B98" s="300" t="s">
        <v>794</v>
      </c>
      <c r="C98" s="302" t="s">
        <v>92</v>
      </c>
      <c r="D98" s="303">
        <v>50.1</v>
      </c>
      <c r="E98" s="356">
        <v>85.51</v>
      </c>
      <c r="F98" s="356">
        <f t="shared" si="114"/>
        <v>4284.05</v>
      </c>
      <c r="G98" s="278">
        <v>50.1</v>
      </c>
      <c r="H98" s="240">
        <f t="shared" si="149"/>
        <v>4284.0510000000004</v>
      </c>
      <c r="I98" s="241">
        <f t="shared" si="150"/>
        <v>1</v>
      </c>
      <c r="J98" s="419"/>
      <c r="K98" s="242">
        <f t="shared" si="151"/>
        <v>0</v>
      </c>
      <c r="L98" s="243">
        <f t="shared" si="152"/>
        <v>0</v>
      </c>
      <c r="M98" s="240">
        <f t="shared" si="119"/>
        <v>50.1</v>
      </c>
      <c r="N98" s="240">
        <f t="shared" si="153"/>
        <v>4284.0510000000004</v>
      </c>
      <c r="O98" s="244">
        <f t="shared" si="154"/>
        <v>1</v>
      </c>
      <c r="P98" s="211">
        <f t="shared" si="155"/>
        <v>0</v>
      </c>
      <c r="Q98" s="212">
        <f t="shared" si="156"/>
        <v>0</v>
      </c>
      <c r="R98" s="213">
        <f t="shared" si="157"/>
        <v>0</v>
      </c>
      <c r="S98" s="204">
        <f t="shared" si="158"/>
        <v>4284.0510000000004</v>
      </c>
      <c r="T98" s="204">
        <f t="shared" si="159"/>
        <v>-1.0000000002037268E-3</v>
      </c>
    </row>
    <row r="99" spans="1:20" s="2" customFormat="1" x14ac:dyDescent="0.3">
      <c r="A99" s="298" t="s">
        <v>371</v>
      </c>
      <c r="B99" s="300" t="s">
        <v>784</v>
      </c>
      <c r="C99" s="302" t="s">
        <v>274</v>
      </c>
      <c r="D99" s="303">
        <v>1154.0899999999999</v>
      </c>
      <c r="E99" s="356">
        <v>7.82</v>
      </c>
      <c r="F99" s="356">
        <f t="shared" si="114"/>
        <v>9024.98</v>
      </c>
      <c r="G99" s="278">
        <v>1154.0899999999999</v>
      </c>
      <c r="H99" s="240">
        <f t="shared" si="149"/>
        <v>9024.9838</v>
      </c>
      <c r="I99" s="241">
        <f t="shared" si="150"/>
        <v>1</v>
      </c>
      <c r="J99" s="419"/>
      <c r="K99" s="242">
        <f t="shared" si="151"/>
        <v>0</v>
      </c>
      <c r="L99" s="243">
        <f t="shared" si="152"/>
        <v>0</v>
      </c>
      <c r="M99" s="240">
        <f t="shared" si="119"/>
        <v>1154.0899999999999</v>
      </c>
      <c r="N99" s="240">
        <f t="shared" si="153"/>
        <v>9024.9838</v>
      </c>
      <c r="O99" s="244">
        <f t="shared" si="154"/>
        <v>1</v>
      </c>
      <c r="P99" s="211">
        <f t="shared" si="155"/>
        <v>0</v>
      </c>
      <c r="Q99" s="212">
        <f t="shared" si="156"/>
        <v>0</v>
      </c>
      <c r="R99" s="213">
        <f t="shared" si="157"/>
        <v>0</v>
      </c>
      <c r="S99" s="204">
        <f t="shared" si="158"/>
        <v>9024.9838</v>
      </c>
      <c r="T99" s="204">
        <f t="shared" si="159"/>
        <v>-3.800000000410364E-3</v>
      </c>
    </row>
    <row r="100" spans="1:20" s="2" customFormat="1" x14ac:dyDescent="0.3">
      <c r="A100" s="298" t="s">
        <v>372</v>
      </c>
      <c r="B100" s="300" t="s">
        <v>785</v>
      </c>
      <c r="C100" s="302" t="s">
        <v>92</v>
      </c>
      <c r="D100" s="303">
        <v>50.1</v>
      </c>
      <c r="E100" s="356">
        <v>2.1</v>
      </c>
      <c r="F100" s="356">
        <f t="shared" si="114"/>
        <v>105.21</v>
      </c>
      <c r="G100" s="278">
        <v>50.1</v>
      </c>
      <c r="H100" s="240">
        <f t="shared" si="149"/>
        <v>105.21000000000001</v>
      </c>
      <c r="I100" s="241">
        <f t="shared" si="150"/>
        <v>1</v>
      </c>
      <c r="J100" s="419"/>
      <c r="K100" s="242">
        <f t="shared" si="151"/>
        <v>0</v>
      </c>
      <c r="L100" s="243">
        <f t="shared" si="152"/>
        <v>0</v>
      </c>
      <c r="M100" s="240">
        <f t="shared" si="119"/>
        <v>50.1</v>
      </c>
      <c r="N100" s="240">
        <f t="shared" si="153"/>
        <v>105.21000000000001</v>
      </c>
      <c r="O100" s="244">
        <f t="shared" si="154"/>
        <v>1</v>
      </c>
      <c r="P100" s="211">
        <f t="shared" si="155"/>
        <v>0</v>
      </c>
      <c r="Q100" s="212">
        <f t="shared" si="156"/>
        <v>0</v>
      </c>
      <c r="R100" s="213">
        <f t="shared" si="157"/>
        <v>0</v>
      </c>
      <c r="S100" s="204">
        <f t="shared" si="158"/>
        <v>105.21000000000001</v>
      </c>
      <c r="T100" s="204">
        <f t="shared" si="159"/>
        <v>0</v>
      </c>
    </row>
    <row r="101" spans="1:20" s="2" customFormat="1" x14ac:dyDescent="0.3">
      <c r="A101" s="304" t="s">
        <v>373</v>
      </c>
      <c r="B101" s="305" t="s">
        <v>795</v>
      </c>
      <c r="C101" s="306" t="s">
        <v>160</v>
      </c>
      <c r="D101" s="307"/>
      <c r="E101" s="349"/>
      <c r="F101" s="350">
        <f>SUM(F102:F105)</f>
        <v>9759.33</v>
      </c>
      <c r="G101" s="308"/>
      <c r="H101" s="309" t="s">
        <v>110</v>
      </c>
      <c r="I101" s="323" t="s">
        <v>110</v>
      </c>
      <c r="J101" s="419"/>
      <c r="K101" s="309" t="s">
        <v>110</v>
      </c>
      <c r="L101" s="324" t="s">
        <v>110</v>
      </c>
      <c r="M101" s="309"/>
      <c r="N101" s="309" t="s">
        <v>110</v>
      </c>
      <c r="O101" s="324" t="s">
        <v>110</v>
      </c>
      <c r="P101" s="326" t="s">
        <v>110</v>
      </c>
      <c r="Q101" s="309" t="s">
        <v>110</v>
      </c>
      <c r="R101" s="324" t="s">
        <v>110</v>
      </c>
      <c r="S101" s="204" t="e">
        <f>N101+Q101</f>
        <v>#VALUE!</v>
      </c>
      <c r="T101" s="204" t="e">
        <f>F101-S101</f>
        <v>#VALUE!</v>
      </c>
    </row>
    <row r="102" spans="1:20" s="2" customFormat="1" x14ac:dyDescent="0.3">
      <c r="A102" s="480" t="s">
        <v>374</v>
      </c>
      <c r="B102" s="452" t="s">
        <v>796</v>
      </c>
      <c r="C102" s="302" t="s">
        <v>93</v>
      </c>
      <c r="D102" s="303">
        <v>4.59</v>
      </c>
      <c r="E102" s="356">
        <v>409.25</v>
      </c>
      <c r="F102" s="356">
        <f t="shared" si="114"/>
        <v>1878.46</v>
      </c>
      <c r="G102" s="278">
        <v>4.59</v>
      </c>
      <c r="H102" s="240">
        <f t="shared" ref="H102:H105" si="160">G102*E102</f>
        <v>1878.4575</v>
      </c>
      <c r="I102" s="241">
        <f t="shared" ref="I102:I105" si="161">+G102/D102</f>
        <v>1</v>
      </c>
      <c r="J102" s="419"/>
      <c r="K102" s="242">
        <f t="shared" ref="K102:K105" si="162">J102*E102</f>
        <v>0</v>
      </c>
      <c r="L102" s="243">
        <f t="shared" ref="L102:L105" si="163">+J102/D102</f>
        <v>0</v>
      </c>
      <c r="M102" s="240">
        <f t="shared" si="119"/>
        <v>4.59</v>
      </c>
      <c r="N102" s="240">
        <f t="shared" ref="N102:N105" si="164">M102*E102</f>
        <v>1878.4575</v>
      </c>
      <c r="O102" s="244">
        <f t="shared" ref="O102:O105" si="165">+M102/D102</f>
        <v>1</v>
      </c>
      <c r="P102" s="211">
        <f t="shared" ref="P102:P105" si="166">+D102-M102</f>
        <v>0</v>
      </c>
      <c r="Q102" s="212">
        <f t="shared" ref="Q102:Q105" si="167">P102*E102</f>
        <v>0</v>
      </c>
      <c r="R102" s="213">
        <f t="shared" ref="R102:R105" si="168">+P102/D102</f>
        <v>0</v>
      </c>
      <c r="S102" s="204">
        <f t="shared" ref="S102:S105" si="169">N102+Q102</f>
        <v>1878.4575</v>
      </c>
      <c r="T102" s="204">
        <f t="shared" ref="T102:T105" si="170">F102-S102</f>
        <v>2.5000000000545697E-3</v>
      </c>
    </row>
    <row r="103" spans="1:20" s="2" customFormat="1" x14ac:dyDescent="0.3">
      <c r="A103" s="480" t="s">
        <v>375</v>
      </c>
      <c r="B103" s="452" t="s">
        <v>797</v>
      </c>
      <c r="C103" s="302" t="s">
        <v>92</v>
      </c>
      <c r="D103" s="303">
        <v>63.16</v>
      </c>
      <c r="E103" s="356">
        <v>87.88</v>
      </c>
      <c r="F103" s="356">
        <f t="shared" si="114"/>
        <v>5550.5</v>
      </c>
      <c r="G103" s="278">
        <v>63.16</v>
      </c>
      <c r="H103" s="240">
        <f t="shared" si="160"/>
        <v>5550.5007999999998</v>
      </c>
      <c r="I103" s="241">
        <f t="shared" si="161"/>
        <v>1</v>
      </c>
      <c r="J103" s="419"/>
      <c r="K103" s="242">
        <f t="shared" si="162"/>
        <v>0</v>
      </c>
      <c r="L103" s="243">
        <f t="shared" si="163"/>
        <v>0</v>
      </c>
      <c r="M103" s="240">
        <f t="shared" si="119"/>
        <v>63.16</v>
      </c>
      <c r="N103" s="240">
        <f t="shared" si="164"/>
        <v>5550.5007999999998</v>
      </c>
      <c r="O103" s="244">
        <f t="shared" si="165"/>
        <v>1</v>
      </c>
      <c r="P103" s="211">
        <f t="shared" si="166"/>
        <v>0</v>
      </c>
      <c r="Q103" s="212">
        <f t="shared" si="167"/>
        <v>0</v>
      </c>
      <c r="R103" s="213">
        <f t="shared" si="168"/>
        <v>0</v>
      </c>
      <c r="S103" s="204">
        <f t="shared" si="169"/>
        <v>5550.5007999999998</v>
      </c>
      <c r="T103" s="204">
        <f t="shared" si="170"/>
        <v>-7.9999999979918357E-4</v>
      </c>
    </row>
    <row r="104" spans="1:20" s="2" customFormat="1" x14ac:dyDescent="0.3">
      <c r="A104" s="480" t="s">
        <v>376</v>
      </c>
      <c r="B104" s="452" t="s">
        <v>784</v>
      </c>
      <c r="C104" s="302" t="s">
        <v>274</v>
      </c>
      <c r="D104" s="303">
        <v>281.04000000000002</v>
      </c>
      <c r="E104" s="356">
        <v>7.82</v>
      </c>
      <c r="F104" s="356">
        <f t="shared" si="114"/>
        <v>2197.73</v>
      </c>
      <c r="G104" s="278">
        <v>281.04000000000002</v>
      </c>
      <c r="H104" s="240">
        <f t="shared" si="160"/>
        <v>2197.7328000000002</v>
      </c>
      <c r="I104" s="241">
        <f t="shared" si="161"/>
        <v>1</v>
      </c>
      <c r="J104" s="419"/>
      <c r="K104" s="242">
        <f t="shared" si="162"/>
        <v>0</v>
      </c>
      <c r="L104" s="243">
        <f t="shared" si="163"/>
        <v>0</v>
      </c>
      <c r="M104" s="240">
        <f t="shared" si="119"/>
        <v>281.04000000000002</v>
      </c>
      <c r="N104" s="240">
        <f t="shared" si="164"/>
        <v>2197.7328000000002</v>
      </c>
      <c r="O104" s="244">
        <f t="shared" si="165"/>
        <v>1</v>
      </c>
      <c r="P104" s="211">
        <f t="shared" si="166"/>
        <v>0</v>
      </c>
      <c r="Q104" s="212">
        <f t="shared" si="167"/>
        <v>0</v>
      </c>
      <c r="R104" s="213">
        <f t="shared" si="168"/>
        <v>0</v>
      </c>
      <c r="S104" s="204">
        <f t="shared" si="169"/>
        <v>2197.7328000000002</v>
      </c>
      <c r="T104" s="204">
        <f t="shared" si="170"/>
        <v>-2.8000000002066372E-3</v>
      </c>
    </row>
    <row r="105" spans="1:20" s="2" customFormat="1" x14ac:dyDescent="0.3">
      <c r="A105" s="480" t="s">
        <v>377</v>
      </c>
      <c r="B105" s="452" t="s">
        <v>785</v>
      </c>
      <c r="C105" s="302" t="s">
        <v>92</v>
      </c>
      <c r="D105" s="303">
        <v>63.16</v>
      </c>
      <c r="E105" s="356">
        <v>2.1</v>
      </c>
      <c r="F105" s="356">
        <f t="shared" si="114"/>
        <v>132.63999999999999</v>
      </c>
      <c r="G105" s="278">
        <v>63.16</v>
      </c>
      <c r="H105" s="240">
        <f t="shared" si="160"/>
        <v>132.636</v>
      </c>
      <c r="I105" s="241">
        <f t="shared" si="161"/>
        <v>1</v>
      </c>
      <c r="J105" s="419"/>
      <c r="K105" s="242">
        <f t="shared" si="162"/>
        <v>0</v>
      </c>
      <c r="L105" s="243">
        <f t="shared" si="163"/>
        <v>0</v>
      </c>
      <c r="M105" s="240">
        <f t="shared" si="119"/>
        <v>63.16</v>
      </c>
      <c r="N105" s="240">
        <f t="shared" si="164"/>
        <v>132.636</v>
      </c>
      <c r="O105" s="244">
        <f t="shared" si="165"/>
        <v>1</v>
      </c>
      <c r="P105" s="211">
        <f t="shared" si="166"/>
        <v>0</v>
      </c>
      <c r="Q105" s="212">
        <f t="shared" si="167"/>
        <v>0</v>
      </c>
      <c r="R105" s="213">
        <f t="shared" si="168"/>
        <v>0</v>
      </c>
      <c r="S105" s="204">
        <f t="shared" si="169"/>
        <v>132.636</v>
      </c>
      <c r="T105" s="204">
        <f t="shared" si="170"/>
        <v>3.9999999999906777E-3</v>
      </c>
    </row>
    <row r="106" spans="1:20" s="2" customFormat="1" x14ac:dyDescent="0.3">
      <c r="A106" s="304" t="s">
        <v>378</v>
      </c>
      <c r="B106" s="305" t="s">
        <v>798</v>
      </c>
      <c r="C106" s="320" t="s">
        <v>160</v>
      </c>
      <c r="D106" s="307"/>
      <c r="E106" s="349"/>
      <c r="F106" s="350">
        <f>SUM(F107:F111)</f>
        <v>14341.889999999998</v>
      </c>
      <c r="G106" s="308"/>
      <c r="H106" s="309" t="s">
        <v>110</v>
      </c>
      <c r="I106" s="323" t="s">
        <v>110</v>
      </c>
      <c r="J106" s="419"/>
      <c r="K106" s="309" t="s">
        <v>110</v>
      </c>
      <c r="L106" s="324" t="s">
        <v>110</v>
      </c>
      <c r="M106" s="309"/>
      <c r="N106" s="309" t="s">
        <v>110</v>
      </c>
      <c r="O106" s="324" t="s">
        <v>110</v>
      </c>
      <c r="P106" s="326" t="s">
        <v>110</v>
      </c>
      <c r="Q106" s="309" t="s">
        <v>110</v>
      </c>
      <c r="R106" s="324" t="s">
        <v>110</v>
      </c>
      <c r="S106" s="204" t="e">
        <f>N106+Q106</f>
        <v>#VALUE!</v>
      </c>
      <c r="T106" s="204" t="e">
        <f>F106-S106</f>
        <v>#VALUE!</v>
      </c>
    </row>
    <row r="107" spans="1:20" s="2" customFormat="1" x14ac:dyDescent="0.3">
      <c r="A107" s="298" t="s">
        <v>379</v>
      </c>
      <c r="B107" s="300" t="s">
        <v>799</v>
      </c>
      <c r="C107" s="302" t="s">
        <v>93</v>
      </c>
      <c r="D107" s="303">
        <v>4.75</v>
      </c>
      <c r="E107" s="356">
        <v>420.88</v>
      </c>
      <c r="F107" s="356">
        <f t="shared" si="114"/>
        <v>1999.18</v>
      </c>
      <c r="G107" s="278">
        <v>4.75</v>
      </c>
      <c r="H107" s="240">
        <f t="shared" ref="H107:H111" si="171">G107*E107</f>
        <v>1999.18</v>
      </c>
      <c r="I107" s="241">
        <f t="shared" ref="I107:I111" si="172">+G107/D107</f>
        <v>1</v>
      </c>
      <c r="J107" s="419"/>
      <c r="K107" s="242">
        <f t="shared" ref="K107:K111" si="173">J107*E107</f>
        <v>0</v>
      </c>
      <c r="L107" s="243">
        <f t="shared" ref="L107:L111" si="174">+J107/D107</f>
        <v>0</v>
      </c>
      <c r="M107" s="240">
        <f t="shared" si="119"/>
        <v>4.75</v>
      </c>
      <c r="N107" s="240">
        <f t="shared" ref="N107:N111" si="175">M107*E107</f>
        <v>1999.18</v>
      </c>
      <c r="O107" s="244">
        <f t="shared" ref="O107:O111" si="176">+M107/D107</f>
        <v>1</v>
      </c>
      <c r="P107" s="211">
        <f t="shared" ref="P107:P111" si="177">+D107-M107</f>
        <v>0</v>
      </c>
      <c r="Q107" s="212">
        <f t="shared" ref="Q107:Q111" si="178">P107*E107</f>
        <v>0</v>
      </c>
      <c r="R107" s="213">
        <f t="shared" ref="R107:R111" si="179">+P107/D107</f>
        <v>0</v>
      </c>
      <c r="S107" s="204">
        <f t="shared" ref="S107:S111" si="180">N107+Q107</f>
        <v>1999.18</v>
      </c>
      <c r="T107" s="204">
        <f t="shared" ref="T107:T111" si="181">F107-S107</f>
        <v>0</v>
      </c>
    </row>
    <row r="108" spans="1:20" s="2" customFormat="1" x14ac:dyDescent="0.3">
      <c r="A108" s="298" t="s">
        <v>380</v>
      </c>
      <c r="B108" s="300" t="s">
        <v>800</v>
      </c>
      <c r="C108" s="302" t="s">
        <v>92</v>
      </c>
      <c r="D108" s="303">
        <v>95.06</v>
      </c>
      <c r="E108" s="356">
        <v>72.38</v>
      </c>
      <c r="F108" s="356">
        <f t="shared" si="114"/>
        <v>6880.44</v>
      </c>
      <c r="G108" s="278">
        <v>95.06</v>
      </c>
      <c r="H108" s="240">
        <f t="shared" si="171"/>
        <v>6880.4427999999998</v>
      </c>
      <c r="I108" s="241">
        <f t="shared" si="172"/>
        <v>1</v>
      </c>
      <c r="J108" s="419"/>
      <c r="K108" s="242">
        <f t="shared" si="173"/>
        <v>0</v>
      </c>
      <c r="L108" s="243">
        <f t="shared" si="174"/>
        <v>0</v>
      </c>
      <c r="M108" s="240">
        <f t="shared" si="119"/>
        <v>95.06</v>
      </c>
      <c r="N108" s="240">
        <f t="shared" si="175"/>
        <v>6880.4427999999998</v>
      </c>
      <c r="O108" s="244">
        <f t="shared" si="176"/>
        <v>1</v>
      </c>
      <c r="P108" s="211">
        <f t="shared" si="177"/>
        <v>0</v>
      </c>
      <c r="Q108" s="212">
        <f t="shared" si="178"/>
        <v>0</v>
      </c>
      <c r="R108" s="213">
        <f t="shared" si="179"/>
        <v>0</v>
      </c>
      <c r="S108" s="204">
        <f t="shared" si="180"/>
        <v>6880.4427999999998</v>
      </c>
      <c r="T108" s="204">
        <f t="shared" si="181"/>
        <v>-2.8000000002066372E-3</v>
      </c>
    </row>
    <row r="109" spans="1:20" s="2" customFormat="1" x14ac:dyDescent="0.3">
      <c r="A109" s="298" t="s">
        <v>381</v>
      </c>
      <c r="B109" s="300" t="s">
        <v>784</v>
      </c>
      <c r="C109" s="302" t="s">
        <v>274</v>
      </c>
      <c r="D109" s="303">
        <v>341.79</v>
      </c>
      <c r="E109" s="356">
        <v>7.82</v>
      </c>
      <c r="F109" s="356">
        <f t="shared" si="114"/>
        <v>2672.8</v>
      </c>
      <c r="G109" s="278">
        <v>341.79</v>
      </c>
      <c r="H109" s="240">
        <f t="shared" si="171"/>
        <v>2672.7978000000003</v>
      </c>
      <c r="I109" s="241">
        <f t="shared" si="172"/>
        <v>1</v>
      </c>
      <c r="J109" s="419"/>
      <c r="K109" s="242">
        <f t="shared" si="173"/>
        <v>0</v>
      </c>
      <c r="L109" s="243">
        <f t="shared" si="174"/>
        <v>0</v>
      </c>
      <c r="M109" s="240">
        <f t="shared" si="119"/>
        <v>341.79</v>
      </c>
      <c r="N109" s="240">
        <f t="shared" si="175"/>
        <v>2672.7978000000003</v>
      </c>
      <c r="O109" s="244">
        <f t="shared" si="176"/>
        <v>1</v>
      </c>
      <c r="P109" s="211">
        <f t="shared" si="177"/>
        <v>0</v>
      </c>
      <c r="Q109" s="212">
        <f t="shared" si="178"/>
        <v>0</v>
      </c>
      <c r="R109" s="213">
        <f t="shared" si="179"/>
        <v>0</v>
      </c>
      <c r="S109" s="204">
        <f t="shared" si="180"/>
        <v>2672.7978000000003</v>
      </c>
      <c r="T109" s="204">
        <f t="shared" si="181"/>
        <v>2.1999999999025022E-3</v>
      </c>
    </row>
    <row r="110" spans="1:20" s="2" customFormat="1" x14ac:dyDescent="0.3">
      <c r="A110" s="298" t="s">
        <v>382</v>
      </c>
      <c r="B110" s="300" t="s">
        <v>801</v>
      </c>
      <c r="C110" s="302" t="s">
        <v>89</v>
      </c>
      <c r="D110" s="303">
        <v>792</v>
      </c>
      <c r="E110" s="356">
        <v>3.27</v>
      </c>
      <c r="F110" s="356">
        <f t="shared" si="114"/>
        <v>2589.84</v>
      </c>
      <c r="G110" s="278">
        <v>792</v>
      </c>
      <c r="H110" s="240">
        <f t="shared" si="171"/>
        <v>2589.84</v>
      </c>
      <c r="I110" s="241">
        <f t="shared" si="172"/>
        <v>1</v>
      </c>
      <c r="J110" s="419"/>
      <c r="K110" s="242">
        <f t="shared" si="173"/>
        <v>0</v>
      </c>
      <c r="L110" s="243">
        <f t="shared" si="174"/>
        <v>0</v>
      </c>
      <c r="M110" s="240">
        <f t="shared" si="119"/>
        <v>792</v>
      </c>
      <c r="N110" s="240">
        <f t="shared" si="175"/>
        <v>2589.84</v>
      </c>
      <c r="O110" s="244">
        <f t="shared" si="176"/>
        <v>1</v>
      </c>
      <c r="P110" s="211">
        <f t="shared" si="177"/>
        <v>0</v>
      </c>
      <c r="Q110" s="212">
        <f t="shared" si="178"/>
        <v>0</v>
      </c>
      <c r="R110" s="213">
        <f t="shared" si="179"/>
        <v>0</v>
      </c>
      <c r="S110" s="204">
        <f t="shared" si="180"/>
        <v>2589.84</v>
      </c>
      <c r="T110" s="204">
        <f t="shared" si="181"/>
        <v>0</v>
      </c>
    </row>
    <row r="111" spans="1:20" s="2" customFormat="1" x14ac:dyDescent="0.3">
      <c r="A111" s="298" t="s">
        <v>383</v>
      </c>
      <c r="B111" s="300" t="s">
        <v>785</v>
      </c>
      <c r="C111" s="302" t="s">
        <v>92</v>
      </c>
      <c r="D111" s="303">
        <v>95.06</v>
      </c>
      <c r="E111" s="356">
        <v>2.1</v>
      </c>
      <c r="F111" s="356">
        <f t="shared" si="114"/>
        <v>199.63</v>
      </c>
      <c r="G111" s="278">
        <v>95.06</v>
      </c>
      <c r="H111" s="240">
        <f t="shared" si="171"/>
        <v>199.626</v>
      </c>
      <c r="I111" s="241">
        <f t="shared" si="172"/>
        <v>1</v>
      </c>
      <c r="J111" s="419"/>
      <c r="K111" s="242">
        <f t="shared" si="173"/>
        <v>0</v>
      </c>
      <c r="L111" s="243">
        <f t="shared" si="174"/>
        <v>0</v>
      </c>
      <c r="M111" s="240">
        <f t="shared" si="119"/>
        <v>95.06</v>
      </c>
      <c r="N111" s="240">
        <f t="shared" si="175"/>
        <v>199.626</v>
      </c>
      <c r="O111" s="244">
        <f t="shared" si="176"/>
        <v>1</v>
      </c>
      <c r="P111" s="211">
        <f t="shared" si="177"/>
        <v>0</v>
      </c>
      <c r="Q111" s="212">
        <f t="shared" si="178"/>
        <v>0</v>
      </c>
      <c r="R111" s="213">
        <f t="shared" si="179"/>
        <v>0</v>
      </c>
      <c r="S111" s="204">
        <f t="shared" si="180"/>
        <v>199.626</v>
      </c>
      <c r="T111" s="204">
        <f t="shared" si="181"/>
        <v>3.9999999999906777E-3</v>
      </c>
    </row>
    <row r="112" spans="1:20" s="2" customFormat="1" x14ac:dyDescent="0.3">
      <c r="A112" s="304" t="s">
        <v>384</v>
      </c>
      <c r="B112" s="305" t="s">
        <v>802</v>
      </c>
      <c r="C112" s="320" t="s">
        <v>160</v>
      </c>
      <c r="D112" s="321"/>
      <c r="E112" s="349"/>
      <c r="F112" s="350">
        <f>SUM(F113:F116)</f>
        <v>5003.5</v>
      </c>
      <c r="G112" s="308"/>
      <c r="H112" s="309" t="s">
        <v>110</v>
      </c>
      <c r="I112" s="323" t="s">
        <v>110</v>
      </c>
      <c r="J112" s="419"/>
      <c r="K112" s="309" t="s">
        <v>110</v>
      </c>
      <c r="L112" s="324" t="s">
        <v>110</v>
      </c>
      <c r="M112" s="309"/>
      <c r="N112" s="309" t="s">
        <v>110</v>
      </c>
      <c r="O112" s="324" t="s">
        <v>110</v>
      </c>
      <c r="P112" s="326" t="s">
        <v>110</v>
      </c>
      <c r="Q112" s="309" t="s">
        <v>110</v>
      </c>
      <c r="R112" s="324" t="s">
        <v>110</v>
      </c>
      <c r="S112" s="204" t="e">
        <f>N112+Q112</f>
        <v>#VALUE!</v>
      </c>
      <c r="T112" s="204" t="e">
        <f>F112-S112</f>
        <v>#VALUE!</v>
      </c>
    </row>
    <row r="113" spans="1:20" s="2" customFormat="1" x14ac:dyDescent="0.3">
      <c r="A113" s="298" t="s">
        <v>385</v>
      </c>
      <c r="B113" s="300" t="s">
        <v>803</v>
      </c>
      <c r="C113" s="302" t="s">
        <v>93</v>
      </c>
      <c r="D113" s="303">
        <v>3.25</v>
      </c>
      <c r="E113" s="356">
        <v>437.64</v>
      </c>
      <c r="F113" s="356">
        <f t="shared" si="114"/>
        <v>1422.33</v>
      </c>
      <c r="G113" s="278">
        <v>3.25</v>
      </c>
      <c r="H113" s="240">
        <f t="shared" ref="H113:H116" si="182">G113*E113</f>
        <v>1422.33</v>
      </c>
      <c r="I113" s="241">
        <f t="shared" ref="I113:I116" si="183">+G113/D113</f>
        <v>1</v>
      </c>
      <c r="J113" s="419"/>
      <c r="K113" s="242">
        <f t="shared" ref="K113:K116" si="184">J113*E113</f>
        <v>0</v>
      </c>
      <c r="L113" s="243">
        <f t="shared" ref="L113:L116" si="185">+J113/D113</f>
        <v>0</v>
      </c>
      <c r="M113" s="240">
        <f t="shared" si="119"/>
        <v>3.25</v>
      </c>
      <c r="N113" s="240">
        <f t="shared" ref="N113:N116" si="186">M113*E113</f>
        <v>1422.33</v>
      </c>
      <c r="O113" s="244">
        <f t="shared" ref="O113:O116" si="187">+M113/D113</f>
        <v>1</v>
      </c>
      <c r="P113" s="211">
        <f t="shared" ref="P113:P116" si="188">+D113-M113</f>
        <v>0</v>
      </c>
      <c r="Q113" s="212">
        <f t="shared" ref="Q113:Q116" si="189">P113*E113</f>
        <v>0</v>
      </c>
      <c r="R113" s="213">
        <f t="shared" ref="R113:R116" si="190">+P113/D113</f>
        <v>0</v>
      </c>
      <c r="S113" s="204">
        <f t="shared" ref="S113:S116" si="191">N113+Q113</f>
        <v>1422.33</v>
      </c>
      <c r="T113" s="204">
        <f t="shared" ref="T113:T116" si="192">F113-S113</f>
        <v>0</v>
      </c>
    </row>
    <row r="114" spans="1:20" s="2" customFormat="1" x14ac:dyDescent="0.3">
      <c r="A114" s="298" t="s">
        <v>386</v>
      </c>
      <c r="B114" s="300" t="s">
        <v>804</v>
      </c>
      <c r="C114" s="302" t="s">
        <v>92</v>
      </c>
      <c r="D114" s="303">
        <v>16.27</v>
      </c>
      <c r="E114" s="356">
        <v>66.41</v>
      </c>
      <c r="F114" s="356">
        <f t="shared" si="114"/>
        <v>1080.49</v>
      </c>
      <c r="G114" s="278">
        <v>16.27</v>
      </c>
      <c r="H114" s="240">
        <f t="shared" si="182"/>
        <v>1080.4906999999998</v>
      </c>
      <c r="I114" s="241">
        <f t="shared" si="183"/>
        <v>1</v>
      </c>
      <c r="J114" s="419"/>
      <c r="K114" s="242">
        <f t="shared" si="184"/>
        <v>0</v>
      </c>
      <c r="L114" s="243">
        <f t="shared" si="185"/>
        <v>0</v>
      </c>
      <c r="M114" s="240">
        <f t="shared" si="119"/>
        <v>16.27</v>
      </c>
      <c r="N114" s="240">
        <f t="shared" si="186"/>
        <v>1080.4906999999998</v>
      </c>
      <c r="O114" s="244">
        <f t="shared" si="187"/>
        <v>1</v>
      </c>
      <c r="P114" s="211">
        <f t="shared" si="188"/>
        <v>0</v>
      </c>
      <c r="Q114" s="212">
        <f t="shared" si="189"/>
        <v>0</v>
      </c>
      <c r="R114" s="213">
        <f t="shared" si="190"/>
        <v>0</v>
      </c>
      <c r="S114" s="204">
        <f t="shared" si="191"/>
        <v>1080.4906999999998</v>
      </c>
      <c r="T114" s="204">
        <f t="shared" si="192"/>
        <v>-6.9999999982428562E-4</v>
      </c>
    </row>
    <row r="115" spans="1:20" s="2" customFormat="1" x14ac:dyDescent="0.3">
      <c r="A115" s="298" t="s">
        <v>387</v>
      </c>
      <c r="B115" s="300" t="s">
        <v>784</v>
      </c>
      <c r="C115" s="302" t="s">
        <v>274</v>
      </c>
      <c r="D115" s="303">
        <v>315.41000000000003</v>
      </c>
      <c r="E115" s="356">
        <v>7.82</v>
      </c>
      <c r="F115" s="356">
        <f t="shared" si="114"/>
        <v>2466.5100000000002</v>
      </c>
      <c r="G115" s="278">
        <v>315.41000000000003</v>
      </c>
      <c r="H115" s="240">
        <f t="shared" si="182"/>
        <v>2466.5062000000003</v>
      </c>
      <c r="I115" s="241">
        <f t="shared" si="183"/>
        <v>1</v>
      </c>
      <c r="J115" s="419"/>
      <c r="K115" s="242">
        <f t="shared" si="184"/>
        <v>0</v>
      </c>
      <c r="L115" s="243">
        <f t="shared" si="185"/>
        <v>0</v>
      </c>
      <c r="M115" s="240">
        <f t="shared" si="119"/>
        <v>315.41000000000003</v>
      </c>
      <c r="N115" s="240">
        <f t="shared" si="186"/>
        <v>2466.5062000000003</v>
      </c>
      <c r="O115" s="244">
        <f t="shared" si="187"/>
        <v>1</v>
      </c>
      <c r="P115" s="211">
        <f t="shared" si="188"/>
        <v>0</v>
      </c>
      <c r="Q115" s="212">
        <f t="shared" si="189"/>
        <v>0</v>
      </c>
      <c r="R115" s="213">
        <f t="shared" si="190"/>
        <v>0</v>
      </c>
      <c r="S115" s="204">
        <f t="shared" si="191"/>
        <v>2466.5062000000003</v>
      </c>
      <c r="T115" s="204">
        <f t="shared" si="192"/>
        <v>3.7999999999556167E-3</v>
      </c>
    </row>
    <row r="116" spans="1:20" s="2" customFormat="1" x14ac:dyDescent="0.3">
      <c r="A116" s="298" t="s">
        <v>388</v>
      </c>
      <c r="B116" s="300" t="s">
        <v>785</v>
      </c>
      <c r="C116" s="302" t="s">
        <v>92</v>
      </c>
      <c r="D116" s="303">
        <v>16.27</v>
      </c>
      <c r="E116" s="356">
        <v>2.1</v>
      </c>
      <c r="F116" s="356">
        <f t="shared" si="114"/>
        <v>34.17</v>
      </c>
      <c r="G116" s="278">
        <v>16.27</v>
      </c>
      <c r="H116" s="240">
        <f t="shared" si="182"/>
        <v>34.167000000000002</v>
      </c>
      <c r="I116" s="241">
        <f t="shared" si="183"/>
        <v>1</v>
      </c>
      <c r="J116" s="419"/>
      <c r="K116" s="242">
        <f t="shared" si="184"/>
        <v>0</v>
      </c>
      <c r="L116" s="243">
        <f t="shared" si="185"/>
        <v>0</v>
      </c>
      <c r="M116" s="240">
        <f t="shared" si="119"/>
        <v>16.27</v>
      </c>
      <c r="N116" s="240">
        <f t="shared" si="186"/>
        <v>34.167000000000002</v>
      </c>
      <c r="O116" s="244">
        <f t="shared" si="187"/>
        <v>1</v>
      </c>
      <c r="P116" s="211">
        <f t="shared" si="188"/>
        <v>0</v>
      </c>
      <c r="Q116" s="212">
        <f t="shared" si="189"/>
        <v>0</v>
      </c>
      <c r="R116" s="213">
        <f t="shared" si="190"/>
        <v>0</v>
      </c>
      <c r="S116" s="204">
        <f t="shared" si="191"/>
        <v>34.167000000000002</v>
      </c>
      <c r="T116" s="204">
        <f t="shared" si="192"/>
        <v>3.0000000000001137E-3</v>
      </c>
    </row>
    <row r="117" spans="1:20" s="2" customFormat="1" x14ac:dyDescent="0.3">
      <c r="A117" s="304" t="s">
        <v>389</v>
      </c>
      <c r="B117" s="305" t="s">
        <v>805</v>
      </c>
      <c r="C117" s="320" t="s">
        <v>160</v>
      </c>
      <c r="D117" s="321"/>
      <c r="E117" s="349"/>
      <c r="F117" s="350">
        <f>SUM(F118:F121)</f>
        <v>38476.149999999994</v>
      </c>
      <c r="G117" s="308"/>
      <c r="H117" s="309" t="s">
        <v>110</v>
      </c>
      <c r="I117" s="323" t="s">
        <v>110</v>
      </c>
      <c r="J117" s="419"/>
      <c r="K117" s="309" t="s">
        <v>110</v>
      </c>
      <c r="L117" s="324" t="s">
        <v>110</v>
      </c>
      <c r="M117" s="309"/>
      <c r="N117" s="309" t="s">
        <v>110</v>
      </c>
      <c r="O117" s="324" t="s">
        <v>110</v>
      </c>
      <c r="P117" s="326" t="s">
        <v>110</v>
      </c>
      <c r="Q117" s="309" t="s">
        <v>110</v>
      </c>
      <c r="R117" s="324" t="s">
        <v>110</v>
      </c>
      <c r="S117" s="204" t="s">
        <v>110</v>
      </c>
      <c r="T117" s="204" t="s">
        <v>110</v>
      </c>
    </row>
    <row r="118" spans="1:20" s="2" customFormat="1" x14ac:dyDescent="0.3">
      <c r="A118" s="480" t="s">
        <v>390</v>
      </c>
      <c r="B118" s="452" t="s">
        <v>806</v>
      </c>
      <c r="C118" s="302" t="s">
        <v>93</v>
      </c>
      <c r="D118" s="303">
        <v>17.059999999999999</v>
      </c>
      <c r="E118" s="356">
        <v>573.05999999999995</v>
      </c>
      <c r="F118" s="356">
        <f t="shared" si="114"/>
        <v>9776.4</v>
      </c>
      <c r="G118" s="278">
        <v>17.059999999999999</v>
      </c>
      <c r="H118" s="240">
        <f t="shared" ref="H118:H121" si="193">G118*E118</f>
        <v>9776.4035999999978</v>
      </c>
      <c r="I118" s="241">
        <f t="shared" ref="I118:I121" si="194">+G118/D118</f>
        <v>1</v>
      </c>
      <c r="J118" s="420"/>
      <c r="K118" s="242">
        <f t="shared" ref="K118:K121" si="195">J118*E118</f>
        <v>0</v>
      </c>
      <c r="L118" s="243">
        <f t="shared" ref="L118:L121" si="196">+J118/D118</f>
        <v>0</v>
      </c>
      <c r="M118" s="240">
        <f t="shared" si="119"/>
        <v>17.059999999999999</v>
      </c>
      <c r="N118" s="240">
        <f t="shared" ref="N118:N121" si="197">M118*E118</f>
        <v>9776.4035999999978</v>
      </c>
      <c r="O118" s="244">
        <f t="shared" ref="O118:O121" si="198">+M118/D118</f>
        <v>1</v>
      </c>
      <c r="P118" s="211">
        <f t="shared" ref="P118:P121" si="199">+D118-M118</f>
        <v>0</v>
      </c>
      <c r="Q118" s="212">
        <f t="shared" ref="Q118:Q121" si="200">P118*E118</f>
        <v>0</v>
      </c>
      <c r="R118" s="213">
        <f t="shared" ref="R118:R121" si="201">+P118/D118</f>
        <v>0</v>
      </c>
      <c r="S118" s="204">
        <f t="shared" ref="S118:S121" si="202">N118+Q118</f>
        <v>9776.4035999999978</v>
      </c>
      <c r="T118" s="204">
        <f t="shared" ref="T118:T121" si="203">F118-S118</f>
        <v>-3.5999999981868314E-3</v>
      </c>
    </row>
    <row r="119" spans="1:20" s="2" customFormat="1" x14ac:dyDescent="0.3">
      <c r="A119" s="480" t="s">
        <v>391</v>
      </c>
      <c r="B119" s="452" t="s">
        <v>807</v>
      </c>
      <c r="C119" s="302" t="s">
        <v>92</v>
      </c>
      <c r="D119" s="303">
        <v>153.36000000000001</v>
      </c>
      <c r="E119" s="356">
        <v>85.76</v>
      </c>
      <c r="F119" s="356">
        <f t="shared" si="114"/>
        <v>13152.15</v>
      </c>
      <c r="G119" s="278">
        <v>153.36000000000001</v>
      </c>
      <c r="H119" s="240">
        <f t="shared" si="193"/>
        <v>13152.153600000001</v>
      </c>
      <c r="I119" s="241">
        <f t="shared" si="194"/>
        <v>1</v>
      </c>
      <c r="J119" s="420"/>
      <c r="K119" s="242">
        <f t="shared" si="195"/>
        <v>0</v>
      </c>
      <c r="L119" s="243">
        <f t="shared" si="196"/>
        <v>0</v>
      </c>
      <c r="M119" s="240">
        <f t="shared" si="119"/>
        <v>153.36000000000001</v>
      </c>
      <c r="N119" s="240">
        <f t="shared" si="197"/>
        <v>13152.153600000001</v>
      </c>
      <c r="O119" s="244">
        <f t="shared" si="198"/>
        <v>1</v>
      </c>
      <c r="P119" s="211">
        <f t="shared" si="199"/>
        <v>0</v>
      </c>
      <c r="Q119" s="212">
        <f t="shared" si="200"/>
        <v>0</v>
      </c>
      <c r="R119" s="213">
        <f t="shared" si="201"/>
        <v>0</v>
      </c>
      <c r="S119" s="204">
        <f t="shared" si="202"/>
        <v>13152.153600000001</v>
      </c>
      <c r="T119" s="204">
        <f t="shared" si="203"/>
        <v>-3.6000000018248102E-3</v>
      </c>
    </row>
    <row r="120" spans="1:20" s="2" customFormat="1" x14ac:dyDescent="0.3">
      <c r="A120" s="480" t="s">
        <v>392</v>
      </c>
      <c r="B120" s="452" t="s">
        <v>784</v>
      </c>
      <c r="C120" s="302" t="s">
        <v>274</v>
      </c>
      <c r="D120" s="303">
        <v>1947</v>
      </c>
      <c r="E120" s="356">
        <v>7.82</v>
      </c>
      <c r="F120" s="356">
        <f t="shared" si="114"/>
        <v>15225.54</v>
      </c>
      <c r="G120" s="278">
        <v>1947</v>
      </c>
      <c r="H120" s="240">
        <f t="shared" si="193"/>
        <v>15225.54</v>
      </c>
      <c r="I120" s="241">
        <f t="shared" si="194"/>
        <v>1</v>
      </c>
      <c r="J120" s="419"/>
      <c r="K120" s="242">
        <f t="shared" si="195"/>
        <v>0</v>
      </c>
      <c r="L120" s="243">
        <f t="shared" si="196"/>
        <v>0</v>
      </c>
      <c r="M120" s="240">
        <f t="shared" si="119"/>
        <v>1947</v>
      </c>
      <c r="N120" s="240">
        <f t="shared" si="197"/>
        <v>15225.54</v>
      </c>
      <c r="O120" s="244">
        <f t="shared" si="198"/>
        <v>1</v>
      </c>
      <c r="P120" s="211">
        <f t="shared" si="199"/>
        <v>0</v>
      </c>
      <c r="Q120" s="212">
        <f t="shared" si="200"/>
        <v>0</v>
      </c>
      <c r="R120" s="213">
        <f t="shared" si="201"/>
        <v>0</v>
      </c>
      <c r="S120" s="204">
        <f t="shared" si="202"/>
        <v>15225.54</v>
      </c>
      <c r="T120" s="204">
        <f t="shared" si="203"/>
        <v>0</v>
      </c>
    </row>
    <row r="121" spans="1:20" s="2" customFormat="1" x14ac:dyDescent="0.3">
      <c r="A121" s="480" t="s">
        <v>393</v>
      </c>
      <c r="B121" s="452" t="s">
        <v>785</v>
      </c>
      <c r="C121" s="302" t="s">
        <v>92</v>
      </c>
      <c r="D121" s="303">
        <v>153.36000000000001</v>
      </c>
      <c r="E121" s="356">
        <v>2.1</v>
      </c>
      <c r="F121" s="356">
        <f t="shared" si="114"/>
        <v>322.06</v>
      </c>
      <c r="G121" s="278">
        <v>153.36000000000001</v>
      </c>
      <c r="H121" s="240">
        <f t="shared" si="193"/>
        <v>322.05600000000004</v>
      </c>
      <c r="I121" s="241">
        <f t="shared" si="194"/>
        <v>1</v>
      </c>
      <c r="J121" s="420"/>
      <c r="K121" s="242">
        <f t="shared" si="195"/>
        <v>0</v>
      </c>
      <c r="L121" s="243">
        <f t="shared" si="196"/>
        <v>0</v>
      </c>
      <c r="M121" s="240">
        <f t="shared" si="119"/>
        <v>153.36000000000001</v>
      </c>
      <c r="N121" s="240">
        <f t="shared" si="197"/>
        <v>322.05600000000004</v>
      </c>
      <c r="O121" s="244">
        <f t="shared" si="198"/>
        <v>1</v>
      </c>
      <c r="P121" s="211">
        <f t="shared" si="199"/>
        <v>0</v>
      </c>
      <c r="Q121" s="212">
        <f t="shared" si="200"/>
        <v>0</v>
      </c>
      <c r="R121" s="213">
        <f t="shared" si="201"/>
        <v>0</v>
      </c>
      <c r="S121" s="204">
        <f t="shared" si="202"/>
        <v>322.05600000000004</v>
      </c>
      <c r="T121" s="204">
        <f t="shared" si="203"/>
        <v>3.999999999962256E-3</v>
      </c>
    </row>
    <row r="122" spans="1:20" s="2" customFormat="1" x14ac:dyDescent="0.3">
      <c r="A122" s="304" t="s">
        <v>394</v>
      </c>
      <c r="B122" s="305" t="s">
        <v>808</v>
      </c>
      <c r="C122" s="320" t="s">
        <v>160</v>
      </c>
      <c r="D122" s="321"/>
      <c r="E122" s="349"/>
      <c r="F122" s="350">
        <f>SUM(F123:F126)</f>
        <v>6969.8499999999995</v>
      </c>
      <c r="G122" s="308"/>
      <c r="H122" s="309" t="s">
        <v>110</v>
      </c>
      <c r="I122" s="323" t="s">
        <v>110</v>
      </c>
      <c r="J122" s="419"/>
      <c r="K122" s="309" t="s">
        <v>110</v>
      </c>
      <c r="L122" s="324" t="s">
        <v>110</v>
      </c>
      <c r="M122" s="309"/>
      <c r="N122" s="309" t="s">
        <v>110</v>
      </c>
      <c r="O122" s="324" t="s">
        <v>110</v>
      </c>
      <c r="P122" s="326" t="s">
        <v>110</v>
      </c>
      <c r="Q122" s="309" t="s">
        <v>110</v>
      </c>
      <c r="R122" s="324" t="s">
        <v>110</v>
      </c>
      <c r="S122" s="204" t="e">
        <f>N122+Q122</f>
        <v>#VALUE!</v>
      </c>
      <c r="T122" s="204" t="e">
        <f>F122-S122</f>
        <v>#VALUE!</v>
      </c>
    </row>
    <row r="123" spans="1:20" s="2" customFormat="1" x14ac:dyDescent="0.3">
      <c r="A123" s="298" t="s">
        <v>395</v>
      </c>
      <c r="B123" s="300" t="s">
        <v>809</v>
      </c>
      <c r="C123" s="302" t="s">
        <v>93</v>
      </c>
      <c r="D123" s="303">
        <v>3.1</v>
      </c>
      <c r="E123" s="356">
        <v>573.05999999999995</v>
      </c>
      <c r="F123" s="356">
        <f t="shared" si="114"/>
        <v>1776.49</v>
      </c>
      <c r="G123" s="278">
        <v>3.1</v>
      </c>
      <c r="H123" s="240">
        <f t="shared" ref="H123:H126" si="204">G123*E123</f>
        <v>1776.4859999999999</v>
      </c>
      <c r="I123" s="241">
        <f t="shared" ref="I123:I126" si="205">+G123/D123</f>
        <v>1</v>
      </c>
      <c r="J123" s="420"/>
      <c r="K123" s="242">
        <f t="shared" ref="K123:K126" si="206">J123*E123</f>
        <v>0</v>
      </c>
      <c r="L123" s="243">
        <f t="shared" ref="L123:L126" si="207">+J123/D123</f>
        <v>0</v>
      </c>
      <c r="M123" s="240">
        <f t="shared" si="119"/>
        <v>3.1</v>
      </c>
      <c r="N123" s="240">
        <f t="shared" ref="N123:N126" si="208">M123*E123</f>
        <v>1776.4859999999999</v>
      </c>
      <c r="O123" s="244">
        <f t="shared" ref="O123:O126" si="209">+M123/D123</f>
        <v>1</v>
      </c>
      <c r="P123" s="211">
        <f t="shared" ref="P123:P126" si="210">+D123-M123</f>
        <v>0</v>
      </c>
      <c r="Q123" s="212">
        <f t="shared" ref="Q123:Q126" si="211">P123*E123</f>
        <v>0</v>
      </c>
      <c r="R123" s="213">
        <f t="shared" ref="R123:R126" si="212">+P123/D123</f>
        <v>0</v>
      </c>
      <c r="S123" s="204">
        <f t="shared" ref="S123:S126" si="213">N123+Q123</f>
        <v>1776.4859999999999</v>
      </c>
      <c r="T123" s="204">
        <f t="shared" ref="T123:T126" si="214">F123-S123</f>
        <v>4.0000000001327862E-3</v>
      </c>
    </row>
    <row r="124" spans="1:20" s="2" customFormat="1" x14ac:dyDescent="0.3">
      <c r="A124" s="298" t="s">
        <v>396</v>
      </c>
      <c r="B124" s="300" t="s">
        <v>810</v>
      </c>
      <c r="C124" s="302" t="s">
        <v>92</v>
      </c>
      <c r="D124" s="303">
        <v>36.090000000000003</v>
      </c>
      <c r="E124" s="356">
        <v>85.76</v>
      </c>
      <c r="F124" s="356">
        <f t="shared" si="114"/>
        <v>3095.08</v>
      </c>
      <c r="G124" s="278">
        <v>36.090000000000003</v>
      </c>
      <c r="H124" s="240">
        <f t="shared" si="204"/>
        <v>3095.0784000000003</v>
      </c>
      <c r="I124" s="241">
        <f t="shared" si="205"/>
        <v>1</v>
      </c>
      <c r="J124" s="420"/>
      <c r="K124" s="242">
        <f t="shared" si="206"/>
        <v>0</v>
      </c>
      <c r="L124" s="243">
        <f t="shared" si="207"/>
        <v>0</v>
      </c>
      <c r="M124" s="240">
        <f t="shared" si="119"/>
        <v>36.090000000000003</v>
      </c>
      <c r="N124" s="240">
        <f t="shared" si="208"/>
        <v>3095.0784000000003</v>
      </c>
      <c r="O124" s="244">
        <f t="shared" si="209"/>
        <v>1</v>
      </c>
      <c r="P124" s="211">
        <f t="shared" si="210"/>
        <v>0</v>
      </c>
      <c r="Q124" s="212">
        <f t="shared" si="211"/>
        <v>0</v>
      </c>
      <c r="R124" s="213">
        <f t="shared" si="212"/>
        <v>0</v>
      </c>
      <c r="S124" s="204">
        <f t="shared" si="213"/>
        <v>3095.0784000000003</v>
      </c>
      <c r="T124" s="204">
        <f t="shared" si="214"/>
        <v>1.5999999995983671E-3</v>
      </c>
    </row>
    <row r="125" spans="1:20" s="2" customFormat="1" x14ac:dyDescent="0.3">
      <c r="A125" s="298" t="s">
        <v>397</v>
      </c>
      <c r="B125" s="300" t="s">
        <v>784</v>
      </c>
      <c r="C125" s="302" t="s">
        <v>274</v>
      </c>
      <c r="D125" s="303">
        <v>258.63</v>
      </c>
      <c r="E125" s="356">
        <v>7.82</v>
      </c>
      <c r="F125" s="356">
        <f t="shared" si="114"/>
        <v>2022.49</v>
      </c>
      <c r="G125" s="278">
        <v>258.63</v>
      </c>
      <c r="H125" s="240">
        <f t="shared" si="204"/>
        <v>2022.4866</v>
      </c>
      <c r="I125" s="241">
        <f t="shared" si="205"/>
        <v>1</v>
      </c>
      <c r="J125" s="419"/>
      <c r="K125" s="242">
        <f t="shared" si="206"/>
        <v>0</v>
      </c>
      <c r="L125" s="243">
        <f t="shared" si="207"/>
        <v>0</v>
      </c>
      <c r="M125" s="240">
        <f t="shared" si="119"/>
        <v>258.63</v>
      </c>
      <c r="N125" s="240">
        <f t="shared" si="208"/>
        <v>2022.4866</v>
      </c>
      <c r="O125" s="244">
        <f t="shared" si="209"/>
        <v>1</v>
      </c>
      <c r="P125" s="211">
        <f t="shared" si="210"/>
        <v>0</v>
      </c>
      <c r="Q125" s="212">
        <f t="shared" si="211"/>
        <v>0</v>
      </c>
      <c r="R125" s="213">
        <f t="shared" si="212"/>
        <v>0</v>
      </c>
      <c r="S125" s="204">
        <f t="shared" si="213"/>
        <v>2022.4866</v>
      </c>
      <c r="T125" s="204">
        <f t="shared" si="214"/>
        <v>3.4000000000560249E-3</v>
      </c>
    </row>
    <row r="126" spans="1:20" s="2" customFormat="1" x14ac:dyDescent="0.3">
      <c r="A126" s="298" t="s">
        <v>398</v>
      </c>
      <c r="B126" s="300" t="s">
        <v>785</v>
      </c>
      <c r="C126" s="302" t="s">
        <v>92</v>
      </c>
      <c r="D126" s="303">
        <v>36.090000000000003</v>
      </c>
      <c r="E126" s="356">
        <v>2.1</v>
      </c>
      <c r="F126" s="356">
        <f t="shared" si="114"/>
        <v>75.790000000000006</v>
      </c>
      <c r="G126" s="278">
        <v>36.090000000000003</v>
      </c>
      <c r="H126" s="240">
        <f t="shared" si="204"/>
        <v>75.789000000000016</v>
      </c>
      <c r="I126" s="241">
        <f t="shared" si="205"/>
        <v>1</v>
      </c>
      <c r="J126" s="420"/>
      <c r="K126" s="242">
        <f t="shared" si="206"/>
        <v>0</v>
      </c>
      <c r="L126" s="243">
        <f t="shared" si="207"/>
        <v>0</v>
      </c>
      <c r="M126" s="240">
        <f t="shared" si="119"/>
        <v>36.090000000000003</v>
      </c>
      <c r="N126" s="240">
        <f t="shared" si="208"/>
        <v>75.789000000000016</v>
      </c>
      <c r="O126" s="244">
        <f t="shared" si="209"/>
        <v>1</v>
      </c>
      <c r="P126" s="211">
        <f t="shared" si="210"/>
        <v>0</v>
      </c>
      <c r="Q126" s="212">
        <f t="shared" si="211"/>
        <v>0</v>
      </c>
      <c r="R126" s="213">
        <f t="shared" si="212"/>
        <v>0</v>
      </c>
      <c r="S126" s="204">
        <f t="shared" si="213"/>
        <v>75.789000000000016</v>
      </c>
      <c r="T126" s="204">
        <f t="shared" si="214"/>
        <v>9.9999999999056399E-4</v>
      </c>
    </row>
    <row r="127" spans="1:20" s="2" customFormat="1" x14ac:dyDescent="0.3">
      <c r="A127" s="304" t="s">
        <v>399</v>
      </c>
      <c r="B127" s="305" t="s">
        <v>811</v>
      </c>
      <c r="C127" s="320" t="s">
        <v>160</v>
      </c>
      <c r="D127" s="321"/>
      <c r="E127" s="347"/>
      <c r="F127" s="348">
        <f>+F128</f>
        <v>554.4</v>
      </c>
      <c r="G127" s="308"/>
      <c r="H127" s="309" t="s">
        <v>110</v>
      </c>
      <c r="I127" s="323" t="s">
        <v>110</v>
      </c>
      <c r="J127" s="419"/>
      <c r="K127" s="309" t="s">
        <v>110</v>
      </c>
      <c r="L127" s="324" t="s">
        <v>110</v>
      </c>
      <c r="M127" s="309"/>
      <c r="N127" s="309" t="s">
        <v>110</v>
      </c>
      <c r="O127" s="324" t="s">
        <v>110</v>
      </c>
      <c r="P127" s="326" t="s">
        <v>110</v>
      </c>
      <c r="Q127" s="309" t="s">
        <v>110</v>
      </c>
      <c r="R127" s="324" t="s">
        <v>110</v>
      </c>
      <c r="S127" s="204" t="e">
        <f t="shared" ref="S127:S133" si="215">N127+Q127</f>
        <v>#VALUE!</v>
      </c>
      <c r="T127" s="204" t="e">
        <f t="shared" ref="T127:T133" si="216">F127-S127</f>
        <v>#VALUE!</v>
      </c>
    </row>
    <row r="128" spans="1:20" s="2" customFormat="1" ht="21.6" x14ac:dyDescent="0.3">
      <c r="A128" s="298" t="s">
        <v>400</v>
      </c>
      <c r="B128" s="301" t="s">
        <v>1236</v>
      </c>
      <c r="C128" s="302" t="s">
        <v>94</v>
      </c>
      <c r="D128" s="303">
        <v>120</v>
      </c>
      <c r="E128" s="358">
        <v>4.62</v>
      </c>
      <c r="F128" s="358">
        <f t="shared" si="114"/>
        <v>554.4</v>
      </c>
      <c r="G128" s="278">
        <v>0</v>
      </c>
      <c r="H128" s="240">
        <f t="shared" ref="H128" si="217">G128*E128</f>
        <v>0</v>
      </c>
      <c r="I128" s="241">
        <f t="shared" ref="I128" si="218">+G128/D128</f>
        <v>0</v>
      </c>
      <c r="J128" s="477">
        <f>+D128</f>
        <v>120</v>
      </c>
      <c r="K128" s="242">
        <f t="shared" ref="K128" si="219">J128*E128</f>
        <v>554.4</v>
      </c>
      <c r="L128" s="243">
        <f t="shared" ref="L128" si="220">+J128/D128</f>
        <v>1</v>
      </c>
      <c r="M128" s="240">
        <f t="shared" si="119"/>
        <v>120</v>
      </c>
      <c r="N128" s="240">
        <f t="shared" ref="N128" si="221">M128*E128</f>
        <v>554.4</v>
      </c>
      <c r="O128" s="244">
        <f t="shared" ref="O128" si="222">+M128/D128</f>
        <v>1</v>
      </c>
      <c r="P128" s="211">
        <f t="shared" ref="P128" si="223">+D128-M128</f>
        <v>0</v>
      </c>
      <c r="Q128" s="212">
        <f t="shared" ref="Q128" si="224">P128*E128</f>
        <v>0</v>
      </c>
      <c r="R128" s="213">
        <f t="shared" ref="R128" si="225">+P128/D128</f>
        <v>0</v>
      </c>
      <c r="S128" s="204">
        <f t="shared" si="215"/>
        <v>554.4</v>
      </c>
      <c r="T128" s="204">
        <f t="shared" si="216"/>
        <v>0</v>
      </c>
    </row>
    <row r="129" spans="1:20" s="2" customFormat="1" x14ac:dyDescent="0.3">
      <c r="A129" s="304" t="s">
        <v>282</v>
      </c>
      <c r="B129" s="312" t="s">
        <v>812</v>
      </c>
      <c r="C129" s="320" t="s">
        <v>160</v>
      </c>
      <c r="D129" s="321"/>
      <c r="E129" s="345"/>
      <c r="F129" s="346">
        <f>+F130+F132+F134+F136+F142+F149</f>
        <v>27071.170000000002</v>
      </c>
      <c r="G129" s="308"/>
      <c r="H129" s="309" t="s">
        <v>110</v>
      </c>
      <c r="I129" s="323" t="s">
        <v>110</v>
      </c>
      <c r="J129" s="419"/>
      <c r="K129" s="309" t="s">
        <v>110</v>
      </c>
      <c r="L129" s="324" t="s">
        <v>110</v>
      </c>
      <c r="M129" s="309"/>
      <c r="N129" s="309" t="s">
        <v>110</v>
      </c>
      <c r="O129" s="324" t="s">
        <v>110</v>
      </c>
      <c r="P129" s="326" t="s">
        <v>110</v>
      </c>
      <c r="Q129" s="309" t="s">
        <v>110</v>
      </c>
      <c r="R129" s="324" t="s">
        <v>110</v>
      </c>
      <c r="S129" s="204" t="e">
        <f t="shared" si="215"/>
        <v>#VALUE!</v>
      </c>
      <c r="T129" s="204" t="e">
        <f t="shared" si="216"/>
        <v>#VALUE!</v>
      </c>
    </row>
    <row r="130" spans="1:20" s="2" customFormat="1" x14ac:dyDescent="0.3">
      <c r="A130" s="304" t="s">
        <v>193</v>
      </c>
      <c r="B130" s="305" t="s">
        <v>813</v>
      </c>
      <c r="C130" s="320" t="s">
        <v>160</v>
      </c>
      <c r="D130" s="321"/>
      <c r="E130" s="347"/>
      <c r="F130" s="348">
        <f>+F131</f>
        <v>28.76</v>
      </c>
      <c r="G130" s="308"/>
      <c r="H130" s="309" t="s">
        <v>110</v>
      </c>
      <c r="I130" s="323" t="s">
        <v>110</v>
      </c>
      <c r="J130" s="419"/>
      <c r="K130" s="309" t="s">
        <v>110</v>
      </c>
      <c r="L130" s="324" t="s">
        <v>110</v>
      </c>
      <c r="M130" s="309"/>
      <c r="N130" s="309" t="s">
        <v>110</v>
      </c>
      <c r="O130" s="324" t="s">
        <v>110</v>
      </c>
      <c r="P130" s="326" t="s">
        <v>110</v>
      </c>
      <c r="Q130" s="309" t="s">
        <v>110</v>
      </c>
      <c r="R130" s="324" t="s">
        <v>110</v>
      </c>
      <c r="S130" s="204" t="e">
        <f t="shared" si="215"/>
        <v>#VALUE!</v>
      </c>
      <c r="T130" s="204" t="e">
        <f t="shared" si="216"/>
        <v>#VALUE!</v>
      </c>
    </row>
    <row r="131" spans="1:20" s="2" customFormat="1" x14ac:dyDescent="0.3">
      <c r="A131" s="298" t="s">
        <v>401</v>
      </c>
      <c r="B131" s="300" t="s">
        <v>814</v>
      </c>
      <c r="C131" s="302" t="s">
        <v>92</v>
      </c>
      <c r="D131" s="303">
        <v>4</v>
      </c>
      <c r="E131" s="356">
        <v>7.19</v>
      </c>
      <c r="F131" s="356">
        <f>+ROUND((D131*E131),2)</f>
        <v>28.76</v>
      </c>
      <c r="G131" s="278">
        <v>4</v>
      </c>
      <c r="H131" s="240">
        <f t="shared" ref="H131:H133" si="226">G131*E131</f>
        <v>28.76</v>
      </c>
      <c r="I131" s="241">
        <f t="shared" ref="I131:I133" si="227">+G131/D131</f>
        <v>1</v>
      </c>
      <c r="J131" s="419"/>
      <c r="K131" s="242">
        <f t="shared" ref="K131:K133" si="228">J131*E131</f>
        <v>0</v>
      </c>
      <c r="L131" s="243">
        <f t="shared" ref="L131:L133" si="229">+J131/D131</f>
        <v>0</v>
      </c>
      <c r="M131" s="240">
        <f t="shared" si="119"/>
        <v>4</v>
      </c>
      <c r="N131" s="240">
        <f t="shared" ref="N131:N133" si="230">M131*E131</f>
        <v>28.76</v>
      </c>
      <c r="O131" s="244">
        <f t="shared" ref="O131:O133" si="231">+M131/D131</f>
        <v>1</v>
      </c>
      <c r="P131" s="211">
        <f t="shared" ref="P131:P133" si="232">+D131-M131</f>
        <v>0</v>
      </c>
      <c r="Q131" s="212">
        <f t="shared" ref="Q131:Q133" si="233">P131*E131</f>
        <v>0</v>
      </c>
      <c r="R131" s="213">
        <f t="shared" ref="R131:R133" si="234">+P131/D131</f>
        <v>0</v>
      </c>
      <c r="S131" s="204">
        <f t="shared" si="215"/>
        <v>28.76</v>
      </c>
      <c r="T131" s="204">
        <f t="shared" si="216"/>
        <v>0</v>
      </c>
    </row>
    <row r="132" spans="1:20" s="2" customFormat="1" x14ac:dyDescent="0.3">
      <c r="A132" s="304" t="s">
        <v>194</v>
      </c>
      <c r="B132" s="305" t="s">
        <v>815</v>
      </c>
      <c r="C132" s="320" t="s">
        <v>160</v>
      </c>
      <c r="D132" s="321"/>
      <c r="E132" s="347"/>
      <c r="F132" s="348">
        <f>+F133</f>
        <v>150.13</v>
      </c>
      <c r="G132" s="308">
        <v>0</v>
      </c>
      <c r="H132" s="309"/>
      <c r="I132" s="323"/>
      <c r="J132" s="419"/>
      <c r="K132" s="309"/>
      <c r="L132" s="324"/>
      <c r="M132" s="309">
        <f t="shared" si="119"/>
        <v>0</v>
      </c>
      <c r="N132" s="309"/>
      <c r="O132" s="324"/>
      <c r="P132" s="326"/>
      <c r="Q132" s="309"/>
      <c r="R132" s="324"/>
      <c r="S132" s="204">
        <f t="shared" si="215"/>
        <v>0</v>
      </c>
      <c r="T132" s="204">
        <f t="shared" si="216"/>
        <v>150.13</v>
      </c>
    </row>
    <row r="133" spans="1:20" s="2" customFormat="1" x14ac:dyDescent="0.3">
      <c r="A133" s="298" t="s">
        <v>402</v>
      </c>
      <c r="B133" s="300" t="s">
        <v>816</v>
      </c>
      <c r="C133" s="302" t="s">
        <v>93</v>
      </c>
      <c r="D133" s="303">
        <v>3.34</v>
      </c>
      <c r="E133" s="356">
        <v>44.95</v>
      </c>
      <c r="F133" s="356">
        <f>+ROUND((D133*E133),2)</f>
        <v>150.13</v>
      </c>
      <c r="G133" s="278">
        <v>3.34</v>
      </c>
      <c r="H133" s="240">
        <f t="shared" si="226"/>
        <v>150.13300000000001</v>
      </c>
      <c r="I133" s="241">
        <f t="shared" si="227"/>
        <v>1</v>
      </c>
      <c r="J133" s="419"/>
      <c r="K133" s="242">
        <f t="shared" si="228"/>
        <v>0</v>
      </c>
      <c r="L133" s="243">
        <f t="shared" si="229"/>
        <v>0</v>
      </c>
      <c r="M133" s="240">
        <f t="shared" si="119"/>
        <v>3.34</v>
      </c>
      <c r="N133" s="240">
        <f t="shared" si="230"/>
        <v>150.13300000000001</v>
      </c>
      <c r="O133" s="244">
        <f t="shared" si="231"/>
        <v>1</v>
      </c>
      <c r="P133" s="211">
        <f t="shared" si="232"/>
        <v>0</v>
      </c>
      <c r="Q133" s="212">
        <f t="shared" si="233"/>
        <v>0</v>
      </c>
      <c r="R133" s="213">
        <f t="shared" si="234"/>
        <v>0</v>
      </c>
      <c r="S133" s="204">
        <f t="shared" si="215"/>
        <v>150.13300000000001</v>
      </c>
      <c r="T133" s="204">
        <f t="shared" si="216"/>
        <v>-3.0000000000143245E-3</v>
      </c>
    </row>
    <row r="134" spans="1:20" s="2" customFormat="1" x14ac:dyDescent="0.3">
      <c r="A134" s="304" t="s">
        <v>195</v>
      </c>
      <c r="B134" s="305" t="s">
        <v>817</v>
      </c>
      <c r="C134" s="320" t="s">
        <v>160</v>
      </c>
      <c r="D134" s="321"/>
      <c r="E134" s="347"/>
      <c r="F134" s="348">
        <f>+F135</f>
        <v>23.19</v>
      </c>
      <c r="G134" s="308"/>
      <c r="H134" s="309" t="s">
        <v>110</v>
      </c>
      <c r="I134" s="323" t="s">
        <v>110</v>
      </c>
      <c r="J134" s="419"/>
      <c r="K134" s="309" t="s">
        <v>110</v>
      </c>
      <c r="L134" s="324" t="s">
        <v>110</v>
      </c>
      <c r="M134" s="309"/>
      <c r="N134" s="309" t="s">
        <v>110</v>
      </c>
      <c r="O134" s="324" t="s">
        <v>110</v>
      </c>
      <c r="P134" s="326" t="s">
        <v>110</v>
      </c>
      <c r="Q134" s="309" t="s">
        <v>110</v>
      </c>
      <c r="R134" s="324" t="s">
        <v>110</v>
      </c>
      <c r="S134" s="204" t="e">
        <f>N134+Q134</f>
        <v>#VALUE!</v>
      </c>
      <c r="T134" s="204" t="e">
        <f>F134-S134</f>
        <v>#VALUE!</v>
      </c>
    </row>
    <row r="135" spans="1:20" s="2" customFormat="1" x14ac:dyDescent="0.3">
      <c r="A135" s="298" t="s">
        <v>403</v>
      </c>
      <c r="B135" s="300" t="s">
        <v>818</v>
      </c>
      <c r="C135" s="302" t="s">
        <v>93</v>
      </c>
      <c r="D135" s="303">
        <v>0.74</v>
      </c>
      <c r="E135" s="356">
        <v>31.34</v>
      </c>
      <c r="F135" s="356">
        <f>+ROUND((D135*E135),2)</f>
        <v>23.19</v>
      </c>
      <c r="G135" s="278">
        <v>0.74</v>
      </c>
      <c r="H135" s="240">
        <f t="shared" ref="H135" si="235">G135*E135</f>
        <v>23.191600000000001</v>
      </c>
      <c r="I135" s="241">
        <f t="shared" ref="I135" si="236">+G135/D135</f>
        <v>1</v>
      </c>
      <c r="J135" s="419"/>
      <c r="K135" s="242">
        <f t="shared" ref="K135" si="237">J135*E135</f>
        <v>0</v>
      </c>
      <c r="L135" s="243">
        <f t="shared" ref="L135" si="238">+J135/D135</f>
        <v>0</v>
      </c>
      <c r="M135" s="240">
        <f t="shared" si="119"/>
        <v>0.74</v>
      </c>
      <c r="N135" s="240">
        <f t="shared" ref="N135" si="239">M135*E135</f>
        <v>23.191600000000001</v>
      </c>
      <c r="O135" s="244">
        <f t="shared" ref="O135" si="240">+M135/D135</f>
        <v>1</v>
      </c>
      <c r="P135" s="211">
        <f t="shared" ref="P135" si="241">+D135-M135</f>
        <v>0</v>
      </c>
      <c r="Q135" s="212">
        <f t="shared" ref="Q135" si="242">P135*E135</f>
        <v>0</v>
      </c>
      <c r="R135" s="213">
        <f t="shared" ref="R135" si="243">+P135/D135</f>
        <v>0</v>
      </c>
      <c r="S135" s="204">
        <f t="shared" ref="S135" si="244">N135+Q135</f>
        <v>23.191600000000001</v>
      </c>
      <c r="T135" s="204">
        <f t="shared" ref="T135" si="245">F135-S135</f>
        <v>-1.5999999999998238E-3</v>
      </c>
    </row>
    <row r="136" spans="1:20" s="2" customFormat="1" x14ac:dyDescent="0.3">
      <c r="A136" s="304" t="s">
        <v>196</v>
      </c>
      <c r="B136" s="305" t="s">
        <v>819</v>
      </c>
      <c r="C136" s="320" t="s">
        <v>160</v>
      </c>
      <c r="D136" s="321"/>
      <c r="E136" s="347"/>
      <c r="F136" s="348">
        <f>+F137+F139</f>
        <v>3623.1800000000003</v>
      </c>
      <c r="G136" s="308"/>
      <c r="H136" s="309" t="s">
        <v>110</v>
      </c>
      <c r="I136" s="323" t="s">
        <v>110</v>
      </c>
      <c r="J136" s="419"/>
      <c r="K136" s="309" t="s">
        <v>110</v>
      </c>
      <c r="L136" s="324" t="s">
        <v>110</v>
      </c>
      <c r="M136" s="309"/>
      <c r="N136" s="309" t="s">
        <v>110</v>
      </c>
      <c r="O136" s="324" t="s">
        <v>110</v>
      </c>
      <c r="P136" s="326" t="s">
        <v>110</v>
      </c>
      <c r="Q136" s="309" t="s">
        <v>110</v>
      </c>
      <c r="R136" s="324" t="s">
        <v>110</v>
      </c>
      <c r="S136" s="204" t="e">
        <f t="shared" ref="S136:S146" si="246">N136+Q136</f>
        <v>#VALUE!</v>
      </c>
      <c r="T136" s="204" t="e">
        <f t="shared" ref="T136:T146" si="247">F136-S136</f>
        <v>#VALUE!</v>
      </c>
    </row>
    <row r="137" spans="1:20" s="2" customFormat="1" x14ac:dyDescent="0.3">
      <c r="A137" s="304" t="s">
        <v>404</v>
      </c>
      <c r="B137" s="305" t="s">
        <v>820</v>
      </c>
      <c r="C137" s="320" t="s">
        <v>160</v>
      </c>
      <c r="D137" s="321"/>
      <c r="E137" s="349"/>
      <c r="F137" s="350">
        <f>+F138</f>
        <v>1559.63</v>
      </c>
      <c r="G137" s="308"/>
      <c r="H137" s="309" t="s">
        <v>110</v>
      </c>
      <c r="I137" s="323" t="s">
        <v>110</v>
      </c>
      <c r="J137" s="419"/>
      <c r="K137" s="309" t="s">
        <v>110</v>
      </c>
      <c r="L137" s="324" t="s">
        <v>110</v>
      </c>
      <c r="M137" s="309"/>
      <c r="N137" s="309" t="s">
        <v>110</v>
      </c>
      <c r="O137" s="324" t="s">
        <v>110</v>
      </c>
      <c r="P137" s="326" t="s">
        <v>110</v>
      </c>
      <c r="Q137" s="309" t="s">
        <v>110</v>
      </c>
      <c r="R137" s="324" t="s">
        <v>110</v>
      </c>
      <c r="S137" s="204" t="e">
        <f t="shared" si="246"/>
        <v>#VALUE!</v>
      </c>
      <c r="T137" s="204" t="e">
        <f t="shared" si="247"/>
        <v>#VALUE!</v>
      </c>
    </row>
    <row r="138" spans="1:20" s="2" customFormat="1" x14ac:dyDescent="0.3">
      <c r="A138" s="480" t="s">
        <v>405</v>
      </c>
      <c r="B138" s="452" t="s">
        <v>821</v>
      </c>
      <c r="C138" s="302" t="s">
        <v>93</v>
      </c>
      <c r="D138" s="303">
        <v>5.17</v>
      </c>
      <c r="E138" s="356">
        <v>301.67</v>
      </c>
      <c r="F138" s="356">
        <f>+ROUND((D138*E138),2)</f>
        <v>1559.63</v>
      </c>
      <c r="G138" s="278">
        <v>0</v>
      </c>
      <c r="H138" s="240">
        <f t="shared" ref="H138" si="248">G138*E138</f>
        <v>0</v>
      </c>
      <c r="I138" s="241">
        <f t="shared" ref="I138" si="249">+G138/D138</f>
        <v>0</v>
      </c>
      <c r="J138" s="419">
        <f>+D138</f>
        <v>5.17</v>
      </c>
      <c r="K138" s="242">
        <f t="shared" ref="K138" si="250">J138*E138</f>
        <v>1559.6339</v>
      </c>
      <c r="L138" s="243">
        <f t="shared" ref="L138" si="251">+J138/D138</f>
        <v>1</v>
      </c>
      <c r="M138" s="240">
        <f t="shared" si="119"/>
        <v>5.17</v>
      </c>
      <c r="N138" s="240">
        <f t="shared" ref="N138" si="252">M138*E138</f>
        <v>1559.6339</v>
      </c>
      <c r="O138" s="244">
        <f t="shared" ref="O138" si="253">+M138/D138</f>
        <v>1</v>
      </c>
      <c r="P138" s="211">
        <f t="shared" ref="P138" si="254">+D138-M138</f>
        <v>0</v>
      </c>
      <c r="Q138" s="212">
        <f t="shared" ref="Q138" si="255">P138*E138</f>
        <v>0</v>
      </c>
      <c r="R138" s="213">
        <f t="shared" ref="R138" si="256">+P138/D138</f>
        <v>0</v>
      </c>
      <c r="S138" s="204">
        <f t="shared" si="246"/>
        <v>1559.6339</v>
      </c>
      <c r="T138" s="204">
        <f t="shared" si="247"/>
        <v>-3.8999999999305146E-3</v>
      </c>
    </row>
    <row r="139" spans="1:20" s="2" customFormat="1" x14ac:dyDescent="0.3">
      <c r="A139" s="304" t="s">
        <v>406</v>
      </c>
      <c r="B139" s="305" t="s">
        <v>822</v>
      </c>
      <c r="C139" s="320" t="s">
        <v>160</v>
      </c>
      <c r="D139" s="321"/>
      <c r="E139" s="349"/>
      <c r="F139" s="350">
        <f>SUM(F140:F141)</f>
        <v>2063.5500000000002</v>
      </c>
      <c r="G139" s="308"/>
      <c r="H139" s="309" t="s">
        <v>110</v>
      </c>
      <c r="I139" s="323" t="s">
        <v>110</v>
      </c>
      <c r="J139" s="419"/>
      <c r="K139" s="309" t="s">
        <v>110</v>
      </c>
      <c r="L139" s="324" t="s">
        <v>110</v>
      </c>
      <c r="M139" s="309"/>
      <c r="N139" s="309" t="s">
        <v>110</v>
      </c>
      <c r="O139" s="324" t="s">
        <v>110</v>
      </c>
      <c r="P139" s="326" t="s">
        <v>110</v>
      </c>
      <c r="Q139" s="309" t="s">
        <v>110</v>
      </c>
      <c r="R139" s="324" t="s">
        <v>110</v>
      </c>
      <c r="S139" s="204" t="e">
        <f t="shared" si="246"/>
        <v>#VALUE!</v>
      </c>
      <c r="T139" s="204" t="e">
        <f t="shared" si="247"/>
        <v>#VALUE!</v>
      </c>
    </row>
    <row r="140" spans="1:20" s="2" customFormat="1" x14ac:dyDescent="0.3">
      <c r="A140" s="480" t="s">
        <v>407</v>
      </c>
      <c r="B140" s="452" t="s">
        <v>823</v>
      </c>
      <c r="C140" s="302" t="s">
        <v>93</v>
      </c>
      <c r="D140" s="303">
        <v>1.95</v>
      </c>
      <c r="E140" s="356">
        <v>345.25</v>
      </c>
      <c r="F140" s="356">
        <f>+ROUND((D140*E140),2)</f>
        <v>673.24</v>
      </c>
      <c r="G140" s="278">
        <v>0</v>
      </c>
      <c r="H140" s="240">
        <f t="shared" ref="H140:H141" si="257">G140*E140</f>
        <v>0</v>
      </c>
      <c r="I140" s="241">
        <f t="shared" ref="I140:I141" si="258">+G140/D140</f>
        <v>0</v>
      </c>
      <c r="J140" s="419">
        <f>+D140</f>
        <v>1.95</v>
      </c>
      <c r="K140" s="242">
        <f t="shared" ref="K140:K141" si="259">J140*E140</f>
        <v>673.23749999999995</v>
      </c>
      <c r="L140" s="243">
        <f t="shared" ref="L140:L141" si="260">+J140/D140</f>
        <v>1</v>
      </c>
      <c r="M140" s="240">
        <f t="shared" si="119"/>
        <v>1.95</v>
      </c>
      <c r="N140" s="240">
        <f t="shared" ref="N140:N141" si="261">M140*E140</f>
        <v>673.23749999999995</v>
      </c>
      <c r="O140" s="244">
        <f t="shared" ref="O140:O141" si="262">+M140/D140</f>
        <v>1</v>
      </c>
      <c r="P140" s="211">
        <f t="shared" ref="P140:P141" si="263">+D140-M140</f>
        <v>0</v>
      </c>
      <c r="Q140" s="212">
        <f t="shared" ref="Q140:Q141" si="264">P140*E140</f>
        <v>0</v>
      </c>
      <c r="R140" s="213">
        <f t="shared" ref="R140:R141" si="265">+P140/D140</f>
        <v>0</v>
      </c>
      <c r="S140" s="204">
        <f t="shared" si="246"/>
        <v>673.23749999999995</v>
      </c>
      <c r="T140" s="204">
        <f t="shared" si="247"/>
        <v>2.5000000000545697E-3</v>
      </c>
    </row>
    <row r="141" spans="1:20" s="2" customFormat="1" x14ac:dyDescent="0.3">
      <c r="A141" s="480" t="s">
        <v>408</v>
      </c>
      <c r="B141" s="452" t="s">
        <v>824</v>
      </c>
      <c r="C141" s="302" t="s">
        <v>92</v>
      </c>
      <c r="D141" s="303">
        <v>29.97</v>
      </c>
      <c r="E141" s="356">
        <v>46.39</v>
      </c>
      <c r="F141" s="356">
        <f>+ROUND((D141*E141),2)</f>
        <v>1390.31</v>
      </c>
      <c r="G141" s="278">
        <v>0</v>
      </c>
      <c r="H141" s="240">
        <f t="shared" si="257"/>
        <v>0</v>
      </c>
      <c r="I141" s="241">
        <f t="shared" si="258"/>
        <v>0</v>
      </c>
      <c r="J141" s="419">
        <f>+D141</f>
        <v>29.97</v>
      </c>
      <c r="K141" s="242">
        <f t="shared" si="259"/>
        <v>1390.3082999999999</v>
      </c>
      <c r="L141" s="243">
        <f t="shared" si="260"/>
        <v>1</v>
      </c>
      <c r="M141" s="240">
        <f t="shared" si="119"/>
        <v>29.97</v>
      </c>
      <c r="N141" s="240">
        <f t="shared" si="261"/>
        <v>1390.3082999999999</v>
      </c>
      <c r="O141" s="244">
        <f t="shared" si="262"/>
        <v>1</v>
      </c>
      <c r="P141" s="211">
        <f t="shared" si="263"/>
        <v>0</v>
      </c>
      <c r="Q141" s="212">
        <f t="shared" si="264"/>
        <v>0</v>
      </c>
      <c r="R141" s="213">
        <f t="shared" si="265"/>
        <v>0</v>
      </c>
      <c r="S141" s="204">
        <f t="shared" si="246"/>
        <v>1390.3082999999999</v>
      </c>
      <c r="T141" s="204">
        <f t="shared" si="247"/>
        <v>1.7000000000280124E-3</v>
      </c>
    </row>
    <row r="142" spans="1:20" s="2" customFormat="1" x14ac:dyDescent="0.3">
      <c r="A142" s="304" t="s">
        <v>409</v>
      </c>
      <c r="B142" s="305" t="s">
        <v>781</v>
      </c>
      <c r="C142" s="320" t="s">
        <v>160</v>
      </c>
      <c r="D142" s="321"/>
      <c r="E142" s="347"/>
      <c r="F142" s="348">
        <f>+F143+F147</f>
        <v>9724.8900000000012</v>
      </c>
      <c r="G142" s="308"/>
      <c r="H142" s="309" t="s">
        <v>110</v>
      </c>
      <c r="I142" s="323" t="s">
        <v>110</v>
      </c>
      <c r="J142" s="419"/>
      <c r="K142" s="309" t="s">
        <v>110</v>
      </c>
      <c r="L142" s="324" t="s">
        <v>110</v>
      </c>
      <c r="M142" s="309"/>
      <c r="N142" s="309" t="s">
        <v>110</v>
      </c>
      <c r="O142" s="324" t="s">
        <v>110</v>
      </c>
      <c r="P142" s="326" t="s">
        <v>110</v>
      </c>
      <c r="Q142" s="309" t="s">
        <v>110</v>
      </c>
      <c r="R142" s="324" t="s">
        <v>110</v>
      </c>
      <c r="S142" s="204" t="e">
        <f t="shared" si="246"/>
        <v>#VALUE!</v>
      </c>
      <c r="T142" s="204" t="e">
        <f t="shared" si="247"/>
        <v>#VALUE!</v>
      </c>
    </row>
    <row r="143" spans="1:20" s="2" customFormat="1" x14ac:dyDescent="0.3">
      <c r="A143" s="304" t="s">
        <v>410</v>
      </c>
      <c r="B143" s="305" t="s">
        <v>825</v>
      </c>
      <c r="C143" s="320" t="s">
        <v>160</v>
      </c>
      <c r="D143" s="321"/>
      <c r="E143" s="349"/>
      <c r="F143" s="350">
        <f>SUM(F144:F146)</f>
        <v>8274.2000000000007</v>
      </c>
      <c r="G143" s="308"/>
      <c r="H143" s="309" t="s">
        <v>110</v>
      </c>
      <c r="I143" s="323" t="s">
        <v>110</v>
      </c>
      <c r="J143" s="419"/>
      <c r="K143" s="309" t="s">
        <v>110</v>
      </c>
      <c r="L143" s="324" t="s">
        <v>110</v>
      </c>
      <c r="M143" s="309"/>
      <c r="N143" s="309" t="s">
        <v>110</v>
      </c>
      <c r="O143" s="324" t="s">
        <v>110</v>
      </c>
      <c r="P143" s="326" t="s">
        <v>110</v>
      </c>
      <c r="Q143" s="309" t="s">
        <v>110</v>
      </c>
      <c r="R143" s="324" t="s">
        <v>110</v>
      </c>
      <c r="S143" s="204" t="e">
        <f t="shared" si="246"/>
        <v>#VALUE!</v>
      </c>
      <c r="T143" s="204" t="e">
        <f t="shared" si="247"/>
        <v>#VALUE!</v>
      </c>
    </row>
    <row r="144" spans="1:20" s="2" customFormat="1" x14ac:dyDescent="0.3">
      <c r="A144" s="480" t="s">
        <v>411</v>
      </c>
      <c r="B144" s="452" t="s">
        <v>823</v>
      </c>
      <c r="C144" s="302" t="s">
        <v>93</v>
      </c>
      <c r="D144" s="303">
        <v>5.71</v>
      </c>
      <c r="E144" s="356">
        <v>396.94</v>
      </c>
      <c r="F144" s="356">
        <f t="shared" ref="F144:F151" si="266">+ROUND((D144*E144),2)</f>
        <v>2266.5300000000002</v>
      </c>
      <c r="G144" s="278">
        <v>0</v>
      </c>
      <c r="H144" s="240">
        <f t="shared" ref="H144:H146" si="267">G144*E144</f>
        <v>0</v>
      </c>
      <c r="I144" s="241">
        <f t="shared" ref="I144:I146" si="268">+G144/D144</f>
        <v>0</v>
      </c>
      <c r="J144" s="419">
        <f>+D144</f>
        <v>5.71</v>
      </c>
      <c r="K144" s="242">
        <f t="shared" ref="K144:K146" si="269">J144*E144</f>
        <v>2266.5273999999999</v>
      </c>
      <c r="L144" s="243">
        <f t="shared" ref="L144:L146" si="270">+J144/D144</f>
        <v>1</v>
      </c>
      <c r="M144" s="240">
        <f t="shared" si="119"/>
        <v>5.71</v>
      </c>
      <c r="N144" s="240">
        <f t="shared" ref="N144:N146" si="271">M144*E144</f>
        <v>2266.5273999999999</v>
      </c>
      <c r="O144" s="244">
        <f t="shared" ref="O144:O146" si="272">+M144/D144</f>
        <v>1</v>
      </c>
      <c r="P144" s="211">
        <f t="shared" ref="P144:P146" si="273">+D144-M144</f>
        <v>0</v>
      </c>
      <c r="Q144" s="212">
        <f t="shared" ref="Q144:Q146" si="274">P144*E144</f>
        <v>0</v>
      </c>
      <c r="R144" s="213">
        <f t="shared" ref="R144:R146" si="275">+P144/D144</f>
        <v>0</v>
      </c>
      <c r="S144" s="204">
        <f t="shared" si="246"/>
        <v>2266.5273999999999</v>
      </c>
      <c r="T144" s="204">
        <f t="shared" si="247"/>
        <v>2.6000000002568413E-3</v>
      </c>
    </row>
    <row r="145" spans="1:20" s="2" customFormat="1" x14ac:dyDescent="0.3">
      <c r="A145" s="480" t="s">
        <v>412</v>
      </c>
      <c r="B145" s="452" t="s">
        <v>824</v>
      </c>
      <c r="C145" s="302" t="s">
        <v>92</v>
      </c>
      <c r="D145" s="303">
        <v>77.84</v>
      </c>
      <c r="E145" s="356">
        <v>52.7</v>
      </c>
      <c r="F145" s="356">
        <f t="shared" si="266"/>
        <v>4102.17</v>
      </c>
      <c r="G145" s="278">
        <v>0</v>
      </c>
      <c r="H145" s="240">
        <f t="shared" si="267"/>
        <v>0</v>
      </c>
      <c r="I145" s="241">
        <f t="shared" si="268"/>
        <v>0</v>
      </c>
      <c r="J145" s="419">
        <f>+D145</f>
        <v>77.84</v>
      </c>
      <c r="K145" s="242">
        <f t="shared" si="269"/>
        <v>4102.1680000000006</v>
      </c>
      <c r="L145" s="243">
        <f t="shared" si="270"/>
        <v>1</v>
      </c>
      <c r="M145" s="240">
        <f t="shared" si="119"/>
        <v>77.84</v>
      </c>
      <c r="N145" s="240">
        <f t="shared" si="271"/>
        <v>4102.1680000000006</v>
      </c>
      <c r="O145" s="244">
        <f t="shared" si="272"/>
        <v>1</v>
      </c>
      <c r="P145" s="211">
        <f t="shared" si="273"/>
        <v>0</v>
      </c>
      <c r="Q145" s="212">
        <f t="shared" si="274"/>
        <v>0</v>
      </c>
      <c r="R145" s="213">
        <f t="shared" si="275"/>
        <v>0</v>
      </c>
      <c r="S145" s="204">
        <f t="shared" si="246"/>
        <v>4102.1680000000006</v>
      </c>
      <c r="T145" s="204">
        <f t="shared" si="247"/>
        <v>1.9999999994979589E-3</v>
      </c>
    </row>
    <row r="146" spans="1:20" s="2" customFormat="1" x14ac:dyDescent="0.3">
      <c r="A146" s="480" t="s">
        <v>413</v>
      </c>
      <c r="B146" s="452" t="s">
        <v>826</v>
      </c>
      <c r="C146" s="302" t="s">
        <v>274</v>
      </c>
      <c r="D146" s="303">
        <v>243.67</v>
      </c>
      <c r="E146" s="356">
        <v>7.82</v>
      </c>
      <c r="F146" s="356">
        <f t="shared" si="266"/>
        <v>1905.5</v>
      </c>
      <c r="G146" s="278">
        <v>0</v>
      </c>
      <c r="H146" s="240">
        <f t="shared" si="267"/>
        <v>0</v>
      </c>
      <c r="I146" s="241">
        <f t="shared" si="268"/>
        <v>0</v>
      </c>
      <c r="J146" s="419">
        <f>+D146</f>
        <v>243.67</v>
      </c>
      <c r="K146" s="242">
        <f t="shared" si="269"/>
        <v>1905.4993999999999</v>
      </c>
      <c r="L146" s="243">
        <f t="shared" si="270"/>
        <v>1</v>
      </c>
      <c r="M146" s="240">
        <f t="shared" si="119"/>
        <v>243.67</v>
      </c>
      <c r="N146" s="240">
        <f t="shared" si="271"/>
        <v>1905.4993999999999</v>
      </c>
      <c r="O146" s="244">
        <f t="shared" si="272"/>
        <v>1</v>
      </c>
      <c r="P146" s="211">
        <f t="shared" si="273"/>
        <v>0</v>
      </c>
      <c r="Q146" s="212">
        <f t="shared" si="274"/>
        <v>0</v>
      </c>
      <c r="R146" s="213">
        <f t="shared" si="275"/>
        <v>0</v>
      </c>
      <c r="S146" s="204">
        <f t="shared" si="246"/>
        <v>1905.4993999999999</v>
      </c>
      <c r="T146" s="204">
        <f t="shared" si="247"/>
        <v>6.0000000007676135E-4</v>
      </c>
    </row>
    <row r="147" spans="1:20" s="2" customFormat="1" x14ac:dyDescent="0.3">
      <c r="A147" s="304" t="s">
        <v>414</v>
      </c>
      <c r="B147" s="305" t="s">
        <v>827</v>
      </c>
      <c r="C147" s="320" t="s">
        <v>160</v>
      </c>
      <c r="D147" s="321"/>
      <c r="E147" s="349"/>
      <c r="F147" s="350">
        <f>+F148</f>
        <v>1450.69</v>
      </c>
      <c r="G147" s="308"/>
      <c r="H147" s="309" t="s">
        <v>110</v>
      </c>
      <c r="I147" s="323" t="s">
        <v>110</v>
      </c>
      <c r="J147" s="419"/>
      <c r="K147" s="309" t="s">
        <v>110</v>
      </c>
      <c r="L147" s="324" t="s">
        <v>110</v>
      </c>
      <c r="M147" s="309"/>
      <c r="N147" s="309" t="s">
        <v>110</v>
      </c>
      <c r="O147" s="324" t="s">
        <v>110</v>
      </c>
      <c r="P147" s="326" t="s">
        <v>110</v>
      </c>
      <c r="Q147" s="309" t="s">
        <v>110</v>
      </c>
      <c r="R147" s="324" t="s">
        <v>110</v>
      </c>
      <c r="S147" s="204" t="e">
        <f t="shared" ref="S147:S153" si="276">N147+Q147</f>
        <v>#VALUE!</v>
      </c>
      <c r="T147" s="204" t="e">
        <f t="shared" ref="T147:T153" si="277">F147-S147</f>
        <v>#VALUE!</v>
      </c>
    </row>
    <row r="148" spans="1:20" s="2" customFormat="1" x14ac:dyDescent="0.3">
      <c r="A148" s="480" t="s">
        <v>415</v>
      </c>
      <c r="B148" s="452" t="s">
        <v>828</v>
      </c>
      <c r="C148" s="302" t="s">
        <v>89</v>
      </c>
      <c r="D148" s="303">
        <v>1</v>
      </c>
      <c r="E148" s="358">
        <v>1450.69</v>
      </c>
      <c r="F148" s="358">
        <f t="shared" si="266"/>
        <v>1450.69</v>
      </c>
      <c r="G148" s="278">
        <v>0</v>
      </c>
      <c r="H148" s="240">
        <f t="shared" ref="H148" si="278">G148*E148</f>
        <v>0</v>
      </c>
      <c r="I148" s="241">
        <f t="shared" ref="I148" si="279">+G148/D148</f>
        <v>0</v>
      </c>
      <c r="J148" s="419">
        <v>1</v>
      </c>
      <c r="K148" s="242">
        <f t="shared" ref="K148" si="280">J148*E148</f>
        <v>1450.69</v>
      </c>
      <c r="L148" s="243">
        <f t="shared" ref="L148" si="281">+J148/D148</f>
        <v>1</v>
      </c>
      <c r="M148" s="240">
        <f t="shared" ref="M148:M210" si="282">+G148+J148</f>
        <v>1</v>
      </c>
      <c r="N148" s="240">
        <f t="shared" ref="N148" si="283">M148*E148</f>
        <v>1450.69</v>
      </c>
      <c r="O148" s="244">
        <f t="shared" ref="O148" si="284">+M148/D148</f>
        <v>1</v>
      </c>
      <c r="P148" s="211">
        <f t="shared" ref="P148" si="285">+D148-M148</f>
        <v>0</v>
      </c>
      <c r="Q148" s="212">
        <f t="shared" ref="Q148" si="286">P148*E148</f>
        <v>0</v>
      </c>
      <c r="R148" s="213">
        <f t="shared" ref="R148" si="287">+P148/D148</f>
        <v>0</v>
      </c>
      <c r="S148" s="204">
        <f t="shared" si="276"/>
        <v>1450.69</v>
      </c>
      <c r="T148" s="204">
        <f t="shared" si="277"/>
        <v>0</v>
      </c>
    </row>
    <row r="149" spans="1:20" s="2" customFormat="1" x14ac:dyDescent="0.3">
      <c r="A149" s="304" t="s">
        <v>416</v>
      </c>
      <c r="B149" s="305" t="s">
        <v>829</v>
      </c>
      <c r="C149" s="320" t="s">
        <v>160</v>
      </c>
      <c r="D149" s="321"/>
      <c r="E149" s="347"/>
      <c r="F149" s="348">
        <f>+F150+F151</f>
        <v>13521.02</v>
      </c>
      <c r="G149" s="308"/>
      <c r="H149" s="309" t="s">
        <v>110</v>
      </c>
      <c r="I149" s="323" t="s">
        <v>110</v>
      </c>
      <c r="J149" s="419"/>
      <c r="K149" s="309" t="s">
        <v>110</v>
      </c>
      <c r="L149" s="324" t="s">
        <v>110</v>
      </c>
      <c r="M149" s="309"/>
      <c r="N149" s="309" t="s">
        <v>110</v>
      </c>
      <c r="O149" s="324" t="s">
        <v>110</v>
      </c>
      <c r="P149" s="326" t="s">
        <v>110</v>
      </c>
      <c r="Q149" s="309" t="s">
        <v>110</v>
      </c>
      <c r="R149" s="324" t="s">
        <v>110</v>
      </c>
      <c r="S149" s="204" t="e">
        <f t="shared" si="276"/>
        <v>#VALUE!</v>
      </c>
      <c r="T149" s="204" t="e">
        <f t="shared" si="277"/>
        <v>#VALUE!</v>
      </c>
    </row>
    <row r="150" spans="1:20" s="2" customFormat="1" x14ac:dyDescent="0.3">
      <c r="A150" s="298" t="s">
        <v>417</v>
      </c>
      <c r="B150" s="300" t="s">
        <v>830</v>
      </c>
      <c r="C150" s="302" t="s">
        <v>89</v>
      </c>
      <c r="D150" s="303">
        <v>21</v>
      </c>
      <c r="E150" s="358">
        <v>304.91000000000003</v>
      </c>
      <c r="F150" s="358">
        <f t="shared" si="266"/>
        <v>6403.11</v>
      </c>
      <c r="G150" s="278">
        <v>0</v>
      </c>
      <c r="H150" s="240">
        <f t="shared" ref="H150:H151" si="288">G150*E150</f>
        <v>0</v>
      </c>
      <c r="I150" s="241">
        <f t="shared" ref="I150:I151" si="289">+G150/D150</f>
        <v>0</v>
      </c>
      <c r="J150" s="419"/>
      <c r="K150" s="242">
        <f t="shared" ref="K150:K151" si="290">J150*E150</f>
        <v>0</v>
      </c>
      <c r="L150" s="243">
        <f t="shared" ref="L150:L151" si="291">+J150/D150</f>
        <v>0</v>
      </c>
      <c r="M150" s="240">
        <f t="shared" si="282"/>
        <v>0</v>
      </c>
      <c r="N150" s="240">
        <f t="shared" ref="N150:N151" si="292">M150*E150</f>
        <v>0</v>
      </c>
      <c r="O150" s="244">
        <f t="shared" ref="O150:O151" si="293">+M150/D150</f>
        <v>0</v>
      </c>
      <c r="P150" s="211">
        <f t="shared" ref="P150:P151" si="294">+D150-M150</f>
        <v>21</v>
      </c>
      <c r="Q150" s="212">
        <f t="shared" ref="Q150:Q151" si="295">P150*E150</f>
        <v>6403.1100000000006</v>
      </c>
      <c r="R150" s="213">
        <f t="shared" ref="R150:R151" si="296">+P150/D150</f>
        <v>1</v>
      </c>
      <c r="S150" s="204">
        <f t="shared" si="276"/>
        <v>6403.1100000000006</v>
      </c>
      <c r="T150" s="204">
        <f t="shared" si="277"/>
        <v>0</v>
      </c>
    </row>
    <row r="151" spans="1:20" s="2" customFormat="1" x14ac:dyDescent="0.3">
      <c r="A151" s="298" t="s">
        <v>418</v>
      </c>
      <c r="B151" s="300" t="s">
        <v>831</v>
      </c>
      <c r="C151" s="302" t="s">
        <v>89</v>
      </c>
      <c r="D151" s="303">
        <v>1</v>
      </c>
      <c r="E151" s="356">
        <v>7117.91</v>
      </c>
      <c r="F151" s="356">
        <f t="shared" si="266"/>
        <v>7117.91</v>
      </c>
      <c r="G151" s="278">
        <v>0</v>
      </c>
      <c r="H151" s="240">
        <f t="shared" si="288"/>
        <v>0</v>
      </c>
      <c r="I151" s="241">
        <f t="shared" si="289"/>
        <v>0</v>
      </c>
      <c r="J151" s="419"/>
      <c r="K151" s="242">
        <f t="shared" si="290"/>
        <v>0</v>
      </c>
      <c r="L151" s="243">
        <f t="shared" si="291"/>
        <v>0</v>
      </c>
      <c r="M151" s="240">
        <f t="shared" si="282"/>
        <v>0</v>
      </c>
      <c r="N151" s="240">
        <f t="shared" si="292"/>
        <v>0</v>
      </c>
      <c r="O151" s="244">
        <f t="shared" si="293"/>
        <v>0</v>
      </c>
      <c r="P151" s="211">
        <f t="shared" si="294"/>
        <v>1</v>
      </c>
      <c r="Q151" s="212">
        <f t="shared" si="295"/>
        <v>7117.91</v>
      </c>
      <c r="R151" s="213">
        <f t="shared" si="296"/>
        <v>1</v>
      </c>
      <c r="S151" s="204">
        <f t="shared" si="276"/>
        <v>7117.91</v>
      </c>
      <c r="T151" s="204">
        <f t="shared" si="277"/>
        <v>0</v>
      </c>
    </row>
    <row r="152" spans="1:20" s="2" customFormat="1" x14ac:dyDescent="0.3">
      <c r="A152" s="304" t="s">
        <v>283</v>
      </c>
      <c r="B152" s="312" t="s">
        <v>832</v>
      </c>
      <c r="C152" s="320" t="s">
        <v>160</v>
      </c>
      <c r="D152" s="321"/>
      <c r="E152" s="345"/>
      <c r="F152" s="346">
        <f>+F153+F160+F164</f>
        <v>140823.11000000002</v>
      </c>
      <c r="G152" s="308"/>
      <c r="H152" s="309" t="s">
        <v>110</v>
      </c>
      <c r="I152" s="323" t="s">
        <v>110</v>
      </c>
      <c r="J152" s="419"/>
      <c r="K152" s="309" t="s">
        <v>110</v>
      </c>
      <c r="L152" s="324" t="s">
        <v>110</v>
      </c>
      <c r="M152" s="309"/>
      <c r="N152" s="309" t="s">
        <v>110</v>
      </c>
      <c r="O152" s="324" t="s">
        <v>110</v>
      </c>
      <c r="P152" s="326" t="s">
        <v>110</v>
      </c>
      <c r="Q152" s="309" t="s">
        <v>110</v>
      </c>
      <c r="R152" s="324" t="s">
        <v>110</v>
      </c>
      <c r="S152" s="204" t="e">
        <f t="shared" si="276"/>
        <v>#VALUE!</v>
      </c>
      <c r="T152" s="204" t="e">
        <f t="shared" si="277"/>
        <v>#VALUE!</v>
      </c>
    </row>
    <row r="153" spans="1:20" s="2" customFormat="1" x14ac:dyDescent="0.3">
      <c r="A153" s="304" t="s">
        <v>197</v>
      </c>
      <c r="B153" s="305" t="s">
        <v>767</v>
      </c>
      <c r="C153" s="306" t="s">
        <v>160</v>
      </c>
      <c r="D153" s="307"/>
      <c r="E153" s="347"/>
      <c r="F153" s="348">
        <f>+F154+F156+F158</f>
        <v>9477.41</v>
      </c>
      <c r="G153" s="308"/>
      <c r="H153" s="309" t="s">
        <v>110</v>
      </c>
      <c r="I153" s="323" t="s">
        <v>110</v>
      </c>
      <c r="J153" s="419"/>
      <c r="K153" s="309" t="s">
        <v>110</v>
      </c>
      <c r="L153" s="324" t="s">
        <v>110</v>
      </c>
      <c r="M153" s="309"/>
      <c r="N153" s="309" t="s">
        <v>110</v>
      </c>
      <c r="O153" s="324" t="s">
        <v>110</v>
      </c>
      <c r="P153" s="326" t="s">
        <v>110</v>
      </c>
      <c r="Q153" s="309" t="s">
        <v>110</v>
      </c>
      <c r="R153" s="324" t="s">
        <v>110</v>
      </c>
      <c r="S153" s="204" t="e">
        <f t="shared" si="276"/>
        <v>#VALUE!</v>
      </c>
      <c r="T153" s="204" t="e">
        <f t="shared" si="277"/>
        <v>#VALUE!</v>
      </c>
    </row>
    <row r="154" spans="1:20" s="2" customFormat="1" x14ac:dyDescent="0.3">
      <c r="A154" s="304" t="s">
        <v>219</v>
      </c>
      <c r="B154" s="305" t="s">
        <v>833</v>
      </c>
      <c r="C154" s="306" t="s">
        <v>160</v>
      </c>
      <c r="D154" s="307"/>
      <c r="E154" s="349"/>
      <c r="F154" s="350">
        <f>+F155</f>
        <v>4124.8999999999996</v>
      </c>
      <c r="G154" s="308"/>
      <c r="H154" s="309" t="s">
        <v>110</v>
      </c>
      <c r="I154" s="323" t="s">
        <v>110</v>
      </c>
      <c r="J154" s="419"/>
      <c r="K154" s="309" t="s">
        <v>110</v>
      </c>
      <c r="L154" s="324" t="s">
        <v>110</v>
      </c>
      <c r="M154" s="309"/>
      <c r="N154" s="309" t="s">
        <v>110</v>
      </c>
      <c r="O154" s="324" t="s">
        <v>110</v>
      </c>
      <c r="P154" s="326" t="s">
        <v>110</v>
      </c>
      <c r="Q154" s="309" t="s">
        <v>110</v>
      </c>
      <c r="R154" s="324" t="s">
        <v>110</v>
      </c>
      <c r="S154" s="204" t="s">
        <v>110</v>
      </c>
      <c r="T154" s="204" t="s">
        <v>110</v>
      </c>
    </row>
    <row r="155" spans="1:20" s="2" customFormat="1" x14ac:dyDescent="0.3">
      <c r="A155" s="298" t="s">
        <v>419</v>
      </c>
      <c r="B155" s="300" t="s">
        <v>834</v>
      </c>
      <c r="C155" s="302" t="s">
        <v>93</v>
      </c>
      <c r="D155" s="303">
        <v>93.62</v>
      </c>
      <c r="E155" s="356">
        <v>44.06</v>
      </c>
      <c r="F155" s="356">
        <f>+ROUND((D155*E155),2)</f>
        <v>4124.8999999999996</v>
      </c>
      <c r="G155" s="278">
        <v>93.62</v>
      </c>
      <c r="H155" s="240">
        <f t="shared" ref="H155" si="297">G155*E155</f>
        <v>4124.8972000000003</v>
      </c>
      <c r="I155" s="241">
        <f t="shared" ref="I155" si="298">+G155/D155</f>
        <v>1</v>
      </c>
      <c r="J155" s="419"/>
      <c r="K155" s="242">
        <f t="shared" ref="K155" si="299">J155*E155</f>
        <v>0</v>
      </c>
      <c r="L155" s="243">
        <f t="shared" ref="L155" si="300">+J155/D155</f>
        <v>0</v>
      </c>
      <c r="M155" s="240">
        <f t="shared" si="282"/>
        <v>93.62</v>
      </c>
      <c r="N155" s="240">
        <f t="shared" ref="N155" si="301">M155*E155</f>
        <v>4124.8972000000003</v>
      </c>
      <c r="O155" s="244">
        <f t="shared" ref="O155" si="302">+M155/D155</f>
        <v>1</v>
      </c>
      <c r="P155" s="211">
        <f t="shared" ref="P155" si="303">+D155-M155</f>
        <v>0</v>
      </c>
      <c r="Q155" s="212">
        <f t="shared" ref="Q155" si="304">P155*E155</f>
        <v>0</v>
      </c>
      <c r="R155" s="213">
        <f t="shared" ref="R155" si="305">+P155/D155</f>
        <v>0</v>
      </c>
      <c r="S155" s="204">
        <f t="shared" ref="S155" si="306">N155+Q155</f>
        <v>4124.8972000000003</v>
      </c>
      <c r="T155" s="204">
        <f t="shared" ref="T155" si="307">F155-S155</f>
        <v>2.7999999992971425E-3</v>
      </c>
    </row>
    <row r="156" spans="1:20" s="2" customFormat="1" x14ac:dyDescent="0.3">
      <c r="A156" s="304" t="s">
        <v>420</v>
      </c>
      <c r="B156" s="305" t="s">
        <v>835</v>
      </c>
      <c r="C156" s="320" t="s">
        <v>160</v>
      </c>
      <c r="D156" s="321"/>
      <c r="E156" s="349"/>
      <c r="F156" s="350">
        <f>+F157</f>
        <v>1580.35</v>
      </c>
      <c r="G156" s="308"/>
      <c r="H156" s="309" t="s">
        <v>110</v>
      </c>
      <c r="I156" s="323" t="s">
        <v>110</v>
      </c>
      <c r="J156" s="419"/>
      <c r="K156" s="309" t="s">
        <v>110</v>
      </c>
      <c r="L156" s="324" t="s">
        <v>110</v>
      </c>
      <c r="M156" s="309"/>
      <c r="N156" s="309" t="s">
        <v>110</v>
      </c>
      <c r="O156" s="324" t="s">
        <v>110</v>
      </c>
      <c r="P156" s="326" t="s">
        <v>110</v>
      </c>
      <c r="Q156" s="309" t="s">
        <v>110</v>
      </c>
      <c r="R156" s="324" t="s">
        <v>110</v>
      </c>
      <c r="S156" s="204" t="e">
        <f>N156+Q156</f>
        <v>#VALUE!</v>
      </c>
      <c r="T156" s="204" t="e">
        <f>F156-S156</f>
        <v>#VALUE!</v>
      </c>
    </row>
    <row r="157" spans="1:20" s="2" customFormat="1" x14ac:dyDescent="0.3">
      <c r="A157" s="298" t="s">
        <v>421</v>
      </c>
      <c r="B157" s="300" t="s">
        <v>836</v>
      </c>
      <c r="C157" s="302" t="s">
        <v>93</v>
      </c>
      <c r="D157" s="303">
        <v>50.41</v>
      </c>
      <c r="E157" s="356">
        <v>31.35</v>
      </c>
      <c r="F157" s="356">
        <f>+ROUND((D157*E157),2)</f>
        <v>1580.35</v>
      </c>
      <c r="G157" s="278">
        <v>50.41</v>
      </c>
      <c r="H157" s="240">
        <f t="shared" ref="H157" si="308">G157*E157</f>
        <v>1580.3534999999999</v>
      </c>
      <c r="I157" s="241">
        <f t="shared" ref="I157" si="309">+G157/D157</f>
        <v>1</v>
      </c>
      <c r="J157" s="419"/>
      <c r="K157" s="242">
        <f t="shared" ref="K157" si="310">J157*E157</f>
        <v>0</v>
      </c>
      <c r="L157" s="243">
        <f t="shared" ref="L157" si="311">+J157/D157</f>
        <v>0</v>
      </c>
      <c r="M157" s="240">
        <f t="shared" si="282"/>
        <v>50.41</v>
      </c>
      <c r="N157" s="240">
        <f t="shared" ref="N157" si="312">M157*E157</f>
        <v>1580.3534999999999</v>
      </c>
      <c r="O157" s="244">
        <f t="shared" ref="O157" si="313">+M157/D157</f>
        <v>1</v>
      </c>
      <c r="P157" s="211">
        <f t="shared" ref="P157" si="314">+D157-M157</f>
        <v>0</v>
      </c>
      <c r="Q157" s="212">
        <f t="shared" ref="Q157" si="315">P157*E157</f>
        <v>0</v>
      </c>
      <c r="R157" s="213">
        <f t="shared" ref="R157" si="316">+P157/D157</f>
        <v>0</v>
      </c>
      <c r="S157" s="204">
        <f t="shared" ref="S157" si="317">N157+Q157</f>
        <v>1580.3534999999999</v>
      </c>
      <c r="T157" s="204">
        <f t="shared" ref="T157" si="318">F157-S157</f>
        <v>-3.5000000000309228E-3</v>
      </c>
    </row>
    <row r="158" spans="1:20" s="2" customFormat="1" x14ac:dyDescent="0.3">
      <c r="A158" s="304" t="s">
        <v>422</v>
      </c>
      <c r="B158" s="305" t="s">
        <v>837</v>
      </c>
      <c r="C158" s="320" t="s">
        <v>160</v>
      </c>
      <c r="D158" s="321"/>
      <c r="E158" s="349"/>
      <c r="F158" s="350">
        <f>+F159</f>
        <v>3772.16</v>
      </c>
      <c r="G158" s="308"/>
      <c r="H158" s="309" t="s">
        <v>110</v>
      </c>
      <c r="I158" s="323" t="s">
        <v>110</v>
      </c>
      <c r="J158" s="419"/>
      <c r="K158" s="309" t="s">
        <v>110</v>
      </c>
      <c r="L158" s="324" t="s">
        <v>110</v>
      </c>
      <c r="M158" s="309"/>
      <c r="N158" s="309" t="s">
        <v>110</v>
      </c>
      <c r="O158" s="324" t="s">
        <v>110</v>
      </c>
      <c r="P158" s="326" t="s">
        <v>110</v>
      </c>
      <c r="Q158" s="309" t="s">
        <v>110</v>
      </c>
      <c r="R158" s="324" t="s">
        <v>110</v>
      </c>
      <c r="S158" s="204" t="e">
        <f t="shared" ref="S158:S164" si="319">N158+Q158</f>
        <v>#VALUE!</v>
      </c>
      <c r="T158" s="204" t="e">
        <f t="shared" ref="T158:T164" si="320">F158-S158</f>
        <v>#VALUE!</v>
      </c>
    </row>
    <row r="159" spans="1:20" s="2" customFormat="1" x14ac:dyDescent="0.3">
      <c r="A159" s="298" t="s">
        <v>423</v>
      </c>
      <c r="B159" s="300" t="s">
        <v>838</v>
      </c>
      <c r="C159" s="302" t="s">
        <v>93</v>
      </c>
      <c r="D159" s="303">
        <v>102.98</v>
      </c>
      <c r="E159" s="356">
        <v>36.630000000000003</v>
      </c>
      <c r="F159" s="356">
        <f>+ROUND((D159*E159),2)</f>
        <v>3772.16</v>
      </c>
      <c r="G159" s="278">
        <v>102.98</v>
      </c>
      <c r="H159" s="240">
        <f t="shared" ref="H159" si="321">G159*E159</f>
        <v>3772.1574000000005</v>
      </c>
      <c r="I159" s="241">
        <f t="shared" ref="I159" si="322">+G159/D159</f>
        <v>1</v>
      </c>
      <c r="J159" s="419"/>
      <c r="K159" s="242">
        <f t="shared" ref="K159" si="323">J159*E159</f>
        <v>0</v>
      </c>
      <c r="L159" s="243">
        <f t="shared" ref="L159" si="324">+J159/D159</f>
        <v>0</v>
      </c>
      <c r="M159" s="240">
        <f t="shared" si="282"/>
        <v>102.98</v>
      </c>
      <c r="N159" s="240">
        <f t="shared" ref="N159" si="325">M159*E159</f>
        <v>3772.1574000000005</v>
      </c>
      <c r="O159" s="244">
        <f t="shared" ref="O159" si="326">+M159/D159</f>
        <v>1</v>
      </c>
      <c r="P159" s="211">
        <f t="shared" ref="P159" si="327">+D159-M159</f>
        <v>0</v>
      </c>
      <c r="Q159" s="212">
        <f t="shared" ref="Q159" si="328">P159*E159</f>
        <v>0</v>
      </c>
      <c r="R159" s="213">
        <f t="shared" ref="R159" si="329">+P159/D159</f>
        <v>0</v>
      </c>
      <c r="S159" s="204">
        <f t="shared" si="319"/>
        <v>3772.1574000000005</v>
      </c>
      <c r="T159" s="204">
        <f t="shared" si="320"/>
        <v>2.5999999993473466E-3</v>
      </c>
    </row>
    <row r="160" spans="1:20" s="2" customFormat="1" x14ac:dyDescent="0.3">
      <c r="A160" s="304" t="s">
        <v>198</v>
      </c>
      <c r="B160" s="305" t="s">
        <v>775</v>
      </c>
      <c r="C160" s="320" t="s">
        <v>160</v>
      </c>
      <c r="D160" s="321"/>
      <c r="E160" s="347"/>
      <c r="F160" s="348">
        <f>SUM(F161:F163)</f>
        <v>5046.1000000000004</v>
      </c>
      <c r="G160" s="308"/>
      <c r="H160" s="309" t="s">
        <v>110</v>
      </c>
      <c r="I160" s="323" t="s">
        <v>110</v>
      </c>
      <c r="J160" s="419"/>
      <c r="K160" s="309" t="s">
        <v>110</v>
      </c>
      <c r="L160" s="324" t="s">
        <v>110</v>
      </c>
      <c r="M160" s="309"/>
      <c r="N160" s="309" t="s">
        <v>110</v>
      </c>
      <c r="O160" s="324" t="s">
        <v>110</v>
      </c>
      <c r="P160" s="326" t="s">
        <v>110</v>
      </c>
      <c r="Q160" s="309" t="s">
        <v>110</v>
      </c>
      <c r="R160" s="324" t="s">
        <v>110</v>
      </c>
      <c r="S160" s="204" t="e">
        <f t="shared" si="319"/>
        <v>#VALUE!</v>
      </c>
      <c r="T160" s="204" t="e">
        <f t="shared" si="320"/>
        <v>#VALUE!</v>
      </c>
    </row>
    <row r="161" spans="1:20" s="2" customFormat="1" x14ac:dyDescent="0.3">
      <c r="A161" s="298" t="s">
        <v>220</v>
      </c>
      <c r="B161" s="300" t="s">
        <v>839</v>
      </c>
      <c r="C161" s="302" t="s">
        <v>92</v>
      </c>
      <c r="D161" s="303">
        <v>72.010000000000005</v>
      </c>
      <c r="E161" s="356">
        <v>30.02</v>
      </c>
      <c r="F161" s="356">
        <f>+ROUND((D161*E161),2)</f>
        <v>2161.7399999999998</v>
      </c>
      <c r="G161" s="278">
        <v>72.010000000000005</v>
      </c>
      <c r="H161" s="240">
        <f t="shared" ref="H161:H163" si="330">G161*E161</f>
        <v>2161.7402000000002</v>
      </c>
      <c r="I161" s="241">
        <f t="shared" ref="I161:I163" si="331">+G161/D161</f>
        <v>1</v>
      </c>
      <c r="J161" s="419"/>
      <c r="K161" s="242">
        <f t="shared" ref="K161:K163" si="332">J161*E161</f>
        <v>0</v>
      </c>
      <c r="L161" s="243">
        <f t="shared" ref="L161:L163" si="333">+J161/D161</f>
        <v>0</v>
      </c>
      <c r="M161" s="240">
        <f t="shared" si="282"/>
        <v>72.010000000000005</v>
      </c>
      <c r="N161" s="240">
        <f t="shared" ref="N161:N163" si="334">M161*E161</f>
        <v>2161.7402000000002</v>
      </c>
      <c r="O161" s="244">
        <f t="shared" ref="O161:O163" si="335">+M161/D161</f>
        <v>1</v>
      </c>
      <c r="P161" s="211">
        <f t="shared" ref="P161:P163" si="336">+D161-M161</f>
        <v>0</v>
      </c>
      <c r="Q161" s="212">
        <f t="shared" ref="Q161:Q163" si="337">P161*E161</f>
        <v>0</v>
      </c>
      <c r="R161" s="213">
        <f t="shared" ref="R161:R163" si="338">+P161/D161</f>
        <v>0</v>
      </c>
      <c r="S161" s="204">
        <f t="shared" si="319"/>
        <v>2161.7402000000002</v>
      </c>
      <c r="T161" s="204">
        <f t="shared" si="320"/>
        <v>-2.0000000040454324E-4</v>
      </c>
    </row>
    <row r="162" spans="1:20" s="2" customFormat="1" x14ac:dyDescent="0.3">
      <c r="A162" s="298" t="s">
        <v>424</v>
      </c>
      <c r="B162" s="300" t="s">
        <v>840</v>
      </c>
      <c r="C162" s="302" t="s">
        <v>93</v>
      </c>
      <c r="D162" s="303">
        <v>6.98</v>
      </c>
      <c r="E162" s="356">
        <v>298.82</v>
      </c>
      <c r="F162" s="356">
        <f>+ROUND((D162*E162),2)</f>
        <v>2085.7600000000002</v>
      </c>
      <c r="G162" s="278">
        <v>6.98</v>
      </c>
      <c r="H162" s="240">
        <f t="shared" si="330"/>
        <v>2085.7636000000002</v>
      </c>
      <c r="I162" s="241">
        <f t="shared" si="331"/>
        <v>1</v>
      </c>
      <c r="J162" s="419"/>
      <c r="K162" s="242">
        <f t="shared" si="332"/>
        <v>0</v>
      </c>
      <c r="L162" s="243">
        <f t="shared" si="333"/>
        <v>0</v>
      </c>
      <c r="M162" s="240">
        <f t="shared" si="282"/>
        <v>6.98</v>
      </c>
      <c r="N162" s="240">
        <f t="shared" si="334"/>
        <v>2085.7636000000002</v>
      </c>
      <c r="O162" s="244">
        <f t="shared" si="335"/>
        <v>1</v>
      </c>
      <c r="P162" s="211">
        <f t="shared" si="336"/>
        <v>0</v>
      </c>
      <c r="Q162" s="212">
        <f t="shared" si="337"/>
        <v>0</v>
      </c>
      <c r="R162" s="213">
        <f t="shared" si="338"/>
        <v>0</v>
      </c>
      <c r="S162" s="204">
        <f t="shared" si="319"/>
        <v>2085.7636000000002</v>
      </c>
      <c r="T162" s="204">
        <f t="shared" si="320"/>
        <v>-3.6000000000058208E-3</v>
      </c>
    </row>
    <row r="163" spans="1:20" s="2" customFormat="1" x14ac:dyDescent="0.3">
      <c r="A163" s="298" t="s">
        <v>425</v>
      </c>
      <c r="B163" s="300" t="s">
        <v>841</v>
      </c>
      <c r="C163" s="302" t="s">
        <v>92</v>
      </c>
      <c r="D163" s="303">
        <v>19.95</v>
      </c>
      <c r="E163" s="356">
        <v>40.03</v>
      </c>
      <c r="F163" s="356">
        <f>+ROUND((D163*E163),2)</f>
        <v>798.6</v>
      </c>
      <c r="G163" s="278">
        <v>19.95</v>
      </c>
      <c r="H163" s="240">
        <f t="shared" si="330"/>
        <v>798.59849999999994</v>
      </c>
      <c r="I163" s="241">
        <f t="shared" si="331"/>
        <v>1</v>
      </c>
      <c r="J163" s="419"/>
      <c r="K163" s="242">
        <f t="shared" si="332"/>
        <v>0</v>
      </c>
      <c r="L163" s="243">
        <f t="shared" si="333"/>
        <v>0</v>
      </c>
      <c r="M163" s="240">
        <f t="shared" si="282"/>
        <v>19.95</v>
      </c>
      <c r="N163" s="240">
        <f t="shared" si="334"/>
        <v>798.59849999999994</v>
      </c>
      <c r="O163" s="244">
        <f t="shared" si="335"/>
        <v>1</v>
      </c>
      <c r="P163" s="211">
        <f t="shared" si="336"/>
        <v>0</v>
      </c>
      <c r="Q163" s="212">
        <f t="shared" si="337"/>
        <v>0</v>
      </c>
      <c r="R163" s="213">
        <f t="shared" si="338"/>
        <v>0</v>
      </c>
      <c r="S163" s="204">
        <f t="shared" si="319"/>
        <v>798.59849999999994</v>
      </c>
      <c r="T163" s="204">
        <f t="shared" si="320"/>
        <v>1.5000000000782165E-3</v>
      </c>
    </row>
    <row r="164" spans="1:20" s="2" customFormat="1" x14ac:dyDescent="0.3">
      <c r="A164" s="304" t="s">
        <v>199</v>
      </c>
      <c r="B164" s="305" t="s">
        <v>781</v>
      </c>
      <c r="C164" s="320" t="s">
        <v>160</v>
      </c>
      <c r="D164" s="321"/>
      <c r="E164" s="347"/>
      <c r="F164" s="348">
        <f>+F165+F168+F172</f>
        <v>126299.6</v>
      </c>
      <c r="G164" s="308"/>
      <c r="H164" s="309" t="s">
        <v>110</v>
      </c>
      <c r="I164" s="323" t="s">
        <v>110</v>
      </c>
      <c r="J164" s="419"/>
      <c r="K164" s="309" t="s">
        <v>110</v>
      </c>
      <c r="L164" s="324" t="s">
        <v>110</v>
      </c>
      <c r="M164" s="309"/>
      <c r="N164" s="309" t="s">
        <v>110</v>
      </c>
      <c r="O164" s="324" t="s">
        <v>110</v>
      </c>
      <c r="P164" s="326" t="s">
        <v>110</v>
      </c>
      <c r="Q164" s="309" t="s">
        <v>110</v>
      </c>
      <c r="R164" s="324" t="s">
        <v>110</v>
      </c>
      <c r="S164" s="204" t="e">
        <f t="shared" si="319"/>
        <v>#VALUE!</v>
      </c>
      <c r="T164" s="204" t="e">
        <f t="shared" si="320"/>
        <v>#VALUE!</v>
      </c>
    </row>
    <row r="165" spans="1:20" s="2" customFormat="1" x14ac:dyDescent="0.3">
      <c r="A165" s="304" t="s">
        <v>221</v>
      </c>
      <c r="B165" s="305" t="s">
        <v>842</v>
      </c>
      <c r="C165" s="320" t="s">
        <v>160</v>
      </c>
      <c r="D165" s="321"/>
      <c r="E165" s="349"/>
      <c r="F165" s="350">
        <f>SUM(F166:F167)</f>
        <v>17316.57</v>
      </c>
      <c r="G165" s="308"/>
      <c r="H165" s="309" t="s">
        <v>110</v>
      </c>
      <c r="I165" s="323" t="s">
        <v>110</v>
      </c>
      <c r="J165" s="419"/>
      <c r="K165" s="309" t="s">
        <v>110</v>
      </c>
      <c r="L165" s="324" t="s">
        <v>110</v>
      </c>
      <c r="M165" s="309"/>
      <c r="N165" s="309" t="s">
        <v>110</v>
      </c>
      <c r="O165" s="324" t="s">
        <v>110</v>
      </c>
      <c r="P165" s="326" t="s">
        <v>110</v>
      </c>
      <c r="Q165" s="309" t="s">
        <v>110</v>
      </c>
      <c r="R165" s="324" t="s">
        <v>110</v>
      </c>
      <c r="S165" s="204" t="s">
        <v>110</v>
      </c>
      <c r="T165" s="204" t="s">
        <v>110</v>
      </c>
    </row>
    <row r="166" spans="1:20" s="2" customFormat="1" x14ac:dyDescent="0.3">
      <c r="A166" s="298" t="s">
        <v>426</v>
      </c>
      <c r="B166" s="300" t="s">
        <v>843</v>
      </c>
      <c r="C166" s="302" t="s">
        <v>93</v>
      </c>
      <c r="D166" s="303">
        <v>28.76</v>
      </c>
      <c r="E166" s="356">
        <v>350.25</v>
      </c>
      <c r="F166" s="356">
        <f t="shared" ref="F166:F177" si="339">+ROUND((D166*E166),2)</f>
        <v>10073.19</v>
      </c>
      <c r="G166" s="278">
        <v>28.76</v>
      </c>
      <c r="H166" s="240">
        <f t="shared" ref="H166:H167" si="340">G166*E166</f>
        <v>10073.19</v>
      </c>
      <c r="I166" s="241">
        <f t="shared" ref="I166:I167" si="341">+G166/D166</f>
        <v>1</v>
      </c>
      <c r="J166" s="419"/>
      <c r="K166" s="242">
        <f t="shared" ref="K166:K167" si="342">J166*E166</f>
        <v>0</v>
      </c>
      <c r="L166" s="243">
        <f t="shared" ref="L166:L167" si="343">+J166/D166</f>
        <v>0</v>
      </c>
      <c r="M166" s="240">
        <f t="shared" si="282"/>
        <v>28.76</v>
      </c>
      <c r="N166" s="240">
        <f t="shared" ref="N166:N167" si="344">M166*E166</f>
        <v>10073.19</v>
      </c>
      <c r="O166" s="244">
        <f t="shared" ref="O166:O167" si="345">+M166/D166</f>
        <v>1</v>
      </c>
      <c r="P166" s="211">
        <f t="shared" ref="P166:P167" si="346">+D166-M166</f>
        <v>0</v>
      </c>
      <c r="Q166" s="212">
        <f t="shared" ref="Q166:Q167" si="347">P166*E166</f>
        <v>0</v>
      </c>
      <c r="R166" s="213">
        <f t="shared" ref="R166:R167" si="348">+P166/D166</f>
        <v>0</v>
      </c>
      <c r="S166" s="204">
        <f t="shared" ref="S166:S167" si="349">N166+Q166</f>
        <v>10073.19</v>
      </c>
      <c r="T166" s="204">
        <f t="shared" ref="T166:T167" si="350">F166-S166</f>
        <v>0</v>
      </c>
    </row>
    <row r="167" spans="1:20" s="2" customFormat="1" x14ac:dyDescent="0.3">
      <c r="A167" s="298" t="s">
        <v>427</v>
      </c>
      <c r="B167" s="300" t="s">
        <v>844</v>
      </c>
      <c r="C167" s="302" t="s">
        <v>274</v>
      </c>
      <c r="D167" s="303">
        <v>980.16</v>
      </c>
      <c r="E167" s="356">
        <v>7.39</v>
      </c>
      <c r="F167" s="356">
        <f t="shared" si="339"/>
        <v>7243.38</v>
      </c>
      <c r="G167" s="278">
        <v>980.16</v>
      </c>
      <c r="H167" s="240">
        <f t="shared" si="340"/>
        <v>7243.3823999999995</v>
      </c>
      <c r="I167" s="241">
        <f t="shared" si="341"/>
        <v>1</v>
      </c>
      <c r="J167" s="419"/>
      <c r="K167" s="242">
        <f t="shared" si="342"/>
        <v>0</v>
      </c>
      <c r="L167" s="243">
        <f t="shared" si="343"/>
        <v>0</v>
      </c>
      <c r="M167" s="240">
        <f t="shared" si="282"/>
        <v>980.16</v>
      </c>
      <c r="N167" s="240">
        <f t="shared" si="344"/>
        <v>7243.3823999999995</v>
      </c>
      <c r="O167" s="244">
        <f t="shared" si="345"/>
        <v>1</v>
      </c>
      <c r="P167" s="211">
        <f t="shared" si="346"/>
        <v>0</v>
      </c>
      <c r="Q167" s="212">
        <f t="shared" si="347"/>
        <v>0</v>
      </c>
      <c r="R167" s="213">
        <f t="shared" si="348"/>
        <v>0</v>
      </c>
      <c r="S167" s="204">
        <f t="shared" si="349"/>
        <v>7243.3823999999995</v>
      </c>
      <c r="T167" s="204">
        <f t="shared" si="350"/>
        <v>-2.3999999993975507E-3</v>
      </c>
    </row>
    <row r="168" spans="1:20" s="2" customFormat="1" x14ac:dyDescent="0.3">
      <c r="A168" s="304" t="s">
        <v>222</v>
      </c>
      <c r="B168" s="305" t="s">
        <v>845</v>
      </c>
      <c r="C168" s="320" t="s">
        <v>160</v>
      </c>
      <c r="D168" s="321"/>
      <c r="E168" s="349"/>
      <c r="F168" s="350">
        <f>SUM(F169:F171)</f>
        <v>58670.98</v>
      </c>
      <c r="G168" s="308"/>
      <c r="H168" s="309" t="s">
        <v>110</v>
      </c>
      <c r="I168" s="323" t="s">
        <v>110</v>
      </c>
      <c r="J168" s="419"/>
      <c r="K168" s="309" t="s">
        <v>110</v>
      </c>
      <c r="L168" s="324" t="s">
        <v>110</v>
      </c>
      <c r="M168" s="309"/>
      <c r="N168" s="309" t="s">
        <v>110</v>
      </c>
      <c r="O168" s="324" t="s">
        <v>110</v>
      </c>
      <c r="P168" s="326" t="s">
        <v>110</v>
      </c>
      <c r="Q168" s="309" t="s">
        <v>110</v>
      </c>
      <c r="R168" s="324" t="s">
        <v>110</v>
      </c>
      <c r="S168" s="204" t="e">
        <f t="shared" ref="S168:S178" si="351">N168+Q168</f>
        <v>#VALUE!</v>
      </c>
      <c r="T168" s="204" t="e">
        <f t="shared" ref="T168:T178" si="352">F168-S168</f>
        <v>#VALUE!</v>
      </c>
    </row>
    <row r="169" spans="1:20" s="2" customFormat="1" x14ac:dyDescent="0.3">
      <c r="A169" s="480" t="s">
        <v>428</v>
      </c>
      <c r="B169" s="452" t="s">
        <v>846</v>
      </c>
      <c r="C169" s="302" t="s">
        <v>93</v>
      </c>
      <c r="D169" s="303">
        <v>27.41</v>
      </c>
      <c r="E169" s="356">
        <v>361.67</v>
      </c>
      <c r="F169" s="356">
        <f t="shared" si="339"/>
        <v>9913.3700000000008</v>
      </c>
      <c r="G169" s="278">
        <v>27.41</v>
      </c>
      <c r="H169" s="240">
        <f t="shared" ref="H169:H171" si="353">G169*E169</f>
        <v>9913.3747000000003</v>
      </c>
      <c r="I169" s="241">
        <f t="shared" ref="I169:I171" si="354">+G169/D169</f>
        <v>1</v>
      </c>
      <c r="J169" s="419"/>
      <c r="K169" s="242">
        <f t="shared" ref="K169:K171" si="355">J169*E169</f>
        <v>0</v>
      </c>
      <c r="L169" s="243">
        <f t="shared" ref="L169:L171" si="356">+J169/D169</f>
        <v>0</v>
      </c>
      <c r="M169" s="240">
        <f t="shared" si="282"/>
        <v>27.41</v>
      </c>
      <c r="N169" s="240">
        <f t="shared" ref="N169:N171" si="357">M169*E169</f>
        <v>9913.3747000000003</v>
      </c>
      <c r="O169" s="244">
        <f t="shared" ref="O169:O171" si="358">+M169/D169</f>
        <v>1</v>
      </c>
      <c r="P169" s="211">
        <f t="shared" ref="P169:P171" si="359">+D169-M169</f>
        <v>0</v>
      </c>
      <c r="Q169" s="212">
        <f t="shared" ref="Q169:Q171" si="360">P169*E169</f>
        <v>0</v>
      </c>
      <c r="R169" s="213">
        <f t="shared" ref="R169:R171" si="361">+P169/D169</f>
        <v>0</v>
      </c>
      <c r="S169" s="204">
        <f t="shared" si="351"/>
        <v>9913.3747000000003</v>
      </c>
      <c r="T169" s="204">
        <f t="shared" si="352"/>
        <v>-4.6999999995023245E-3</v>
      </c>
    </row>
    <row r="170" spans="1:20" s="2" customFormat="1" x14ac:dyDescent="0.3">
      <c r="A170" s="480" t="s">
        <v>429</v>
      </c>
      <c r="B170" s="452" t="s">
        <v>847</v>
      </c>
      <c r="C170" s="302" t="s">
        <v>92</v>
      </c>
      <c r="D170" s="303">
        <v>499.8</v>
      </c>
      <c r="E170" s="356">
        <v>75.849999999999994</v>
      </c>
      <c r="F170" s="356">
        <f t="shared" si="339"/>
        <v>37909.83</v>
      </c>
      <c r="G170" s="278">
        <v>499.8</v>
      </c>
      <c r="H170" s="240">
        <f t="shared" si="353"/>
        <v>37909.829999999994</v>
      </c>
      <c r="I170" s="241">
        <f t="shared" si="354"/>
        <v>1</v>
      </c>
      <c r="J170" s="419"/>
      <c r="K170" s="242">
        <f t="shared" si="355"/>
        <v>0</v>
      </c>
      <c r="L170" s="243">
        <f t="shared" si="356"/>
        <v>0</v>
      </c>
      <c r="M170" s="240">
        <f t="shared" si="282"/>
        <v>499.8</v>
      </c>
      <c r="N170" s="240">
        <f t="shared" si="357"/>
        <v>37909.829999999994</v>
      </c>
      <c r="O170" s="244">
        <f t="shared" si="358"/>
        <v>1</v>
      </c>
      <c r="P170" s="211">
        <f t="shared" si="359"/>
        <v>0</v>
      </c>
      <c r="Q170" s="212">
        <f t="shared" si="360"/>
        <v>0</v>
      </c>
      <c r="R170" s="213">
        <f t="shared" si="361"/>
        <v>0</v>
      </c>
      <c r="S170" s="204">
        <f t="shared" si="351"/>
        <v>37909.829999999994</v>
      </c>
      <c r="T170" s="204">
        <f t="shared" si="352"/>
        <v>0</v>
      </c>
    </row>
    <row r="171" spans="1:20" s="2" customFormat="1" x14ac:dyDescent="0.3">
      <c r="A171" s="480" t="s">
        <v>430</v>
      </c>
      <c r="B171" s="452" t="s">
        <v>844</v>
      </c>
      <c r="C171" s="302" t="s">
        <v>274</v>
      </c>
      <c r="D171" s="303">
        <v>1467.9</v>
      </c>
      <c r="E171" s="356">
        <v>7.39</v>
      </c>
      <c r="F171" s="356">
        <f t="shared" si="339"/>
        <v>10847.78</v>
      </c>
      <c r="G171" s="278">
        <v>1467.9</v>
      </c>
      <c r="H171" s="240">
        <f t="shared" si="353"/>
        <v>10847.781000000001</v>
      </c>
      <c r="I171" s="241">
        <f t="shared" si="354"/>
        <v>1</v>
      </c>
      <c r="J171" s="419"/>
      <c r="K171" s="242">
        <f t="shared" si="355"/>
        <v>0</v>
      </c>
      <c r="L171" s="243">
        <f t="shared" si="356"/>
        <v>0</v>
      </c>
      <c r="M171" s="240">
        <f t="shared" si="282"/>
        <v>1467.9</v>
      </c>
      <c r="N171" s="240">
        <f t="shared" si="357"/>
        <v>10847.781000000001</v>
      </c>
      <c r="O171" s="244">
        <f t="shared" si="358"/>
        <v>1</v>
      </c>
      <c r="P171" s="211">
        <f t="shared" si="359"/>
        <v>0</v>
      </c>
      <c r="Q171" s="212">
        <f t="shared" si="360"/>
        <v>0</v>
      </c>
      <c r="R171" s="213">
        <f t="shared" si="361"/>
        <v>0</v>
      </c>
      <c r="S171" s="204">
        <f t="shared" si="351"/>
        <v>10847.781000000001</v>
      </c>
      <c r="T171" s="204">
        <f t="shared" si="352"/>
        <v>-1.0000000002037268E-3</v>
      </c>
    </row>
    <row r="172" spans="1:20" s="2" customFormat="1" x14ac:dyDescent="0.3">
      <c r="A172" s="304" t="s">
        <v>431</v>
      </c>
      <c r="B172" s="305" t="s">
        <v>802</v>
      </c>
      <c r="C172" s="320" t="s">
        <v>160</v>
      </c>
      <c r="D172" s="321"/>
      <c r="E172" s="349"/>
      <c r="F172" s="350">
        <f>SUM(F173:F175)</f>
        <v>50312.05</v>
      </c>
      <c r="G172" s="308"/>
      <c r="H172" s="309" t="s">
        <v>110</v>
      </c>
      <c r="I172" s="323" t="s">
        <v>110</v>
      </c>
      <c r="J172" s="419"/>
      <c r="K172" s="309" t="s">
        <v>110</v>
      </c>
      <c r="L172" s="324" t="s">
        <v>110</v>
      </c>
      <c r="M172" s="309"/>
      <c r="N172" s="309" t="s">
        <v>110</v>
      </c>
      <c r="O172" s="324" t="s">
        <v>110</v>
      </c>
      <c r="P172" s="326" t="s">
        <v>110</v>
      </c>
      <c r="Q172" s="309" t="s">
        <v>110</v>
      </c>
      <c r="R172" s="324" t="s">
        <v>110</v>
      </c>
      <c r="S172" s="204" t="e">
        <f t="shared" si="351"/>
        <v>#VALUE!</v>
      </c>
      <c r="T172" s="204" t="e">
        <f t="shared" si="352"/>
        <v>#VALUE!</v>
      </c>
    </row>
    <row r="173" spans="1:20" s="2" customFormat="1" x14ac:dyDescent="0.3">
      <c r="A173" s="480" t="s">
        <v>432</v>
      </c>
      <c r="B173" s="452" t="s">
        <v>848</v>
      </c>
      <c r="C173" s="302" t="s">
        <v>93</v>
      </c>
      <c r="D173" s="303">
        <v>46.28</v>
      </c>
      <c r="E173" s="356">
        <v>367.96</v>
      </c>
      <c r="F173" s="356">
        <f t="shared" si="339"/>
        <v>17029.189999999999</v>
      </c>
      <c r="G173" s="278">
        <v>46.28</v>
      </c>
      <c r="H173" s="240">
        <f t="shared" ref="H173:H175" si="362">G173*E173</f>
        <v>17029.1888</v>
      </c>
      <c r="I173" s="241">
        <f t="shared" ref="I173:I175" si="363">+G173/D173</f>
        <v>1</v>
      </c>
      <c r="J173" s="419"/>
      <c r="K173" s="242">
        <f t="shared" ref="K173:K175" si="364">J173*E173</f>
        <v>0</v>
      </c>
      <c r="L173" s="243">
        <f t="shared" ref="L173:L175" si="365">+J173/D173</f>
        <v>0</v>
      </c>
      <c r="M173" s="240">
        <f t="shared" si="282"/>
        <v>46.28</v>
      </c>
      <c r="N173" s="240">
        <f t="shared" ref="N173:N175" si="366">M173*E173</f>
        <v>17029.1888</v>
      </c>
      <c r="O173" s="244">
        <f t="shared" ref="O173:O175" si="367">+M173/D173</f>
        <v>1</v>
      </c>
      <c r="P173" s="211">
        <f t="shared" ref="P173:P175" si="368">+D173-M173</f>
        <v>0</v>
      </c>
      <c r="Q173" s="212">
        <f t="shared" ref="Q173:Q175" si="369">P173*E173</f>
        <v>0</v>
      </c>
      <c r="R173" s="213">
        <f t="shared" ref="R173:R175" si="370">+P173/D173</f>
        <v>0</v>
      </c>
      <c r="S173" s="204">
        <f t="shared" si="351"/>
        <v>17029.1888</v>
      </c>
      <c r="T173" s="204">
        <f t="shared" si="352"/>
        <v>1.1999999987892807E-3</v>
      </c>
    </row>
    <row r="174" spans="1:20" s="2" customFormat="1" x14ac:dyDescent="0.3">
      <c r="A174" s="480" t="s">
        <v>433</v>
      </c>
      <c r="B174" s="452" t="s">
        <v>849</v>
      </c>
      <c r="C174" s="302" t="s">
        <v>92</v>
      </c>
      <c r="D174" s="303">
        <v>410.97</v>
      </c>
      <c r="E174" s="356">
        <v>57.24</v>
      </c>
      <c r="F174" s="356">
        <f t="shared" si="339"/>
        <v>23523.919999999998</v>
      </c>
      <c r="G174" s="278">
        <v>410.97</v>
      </c>
      <c r="H174" s="240">
        <f t="shared" si="362"/>
        <v>23523.922800000004</v>
      </c>
      <c r="I174" s="241">
        <f t="shared" si="363"/>
        <v>1</v>
      </c>
      <c r="J174" s="419"/>
      <c r="K174" s="242">
        <f t="shared" si="364"/>
        <v>0</v>
      </c>
      <c r="L174" s="243">
        <f t="shared" si="365"/>
        <v>0</v>
      </c>
      <c r="M174" s="240">
        <f t="shared" si="282"/>
        <v>410.97</v>
      </c>
      <c r="N174" s="240">
        <f t="shared" si="366"/>
        <v>23523.922800000004</v>
      </c>
      <c r="O174" s="244">
        <f t="shared" si="367"/>
        <v>1</v>
      </c>
      <c r="P174" s="211">
        <f t="shared" si="368"/>
        <v>0</v>
      </c>
      <c r="Q174" s="212">
        <f t="shared" si="369"/>
        <v>0</v>
      </c>
      <c r="R174" s="213">
        <f t="shared" si="370"/>
        <v>0</v>
      </c>
      <c r="S174" s="204">
        <f t="shared" si="351"/>
        <v>23523.922800000004</v>
      </c>
      <c r="T174" s="204">
        <f t="shared" si="352"/>
        <v>-2.8000000056636054E-3</v>
      </c>
    </row>
    <row r="175" spans="1:20" s="2" customFormat="1" x14ac:dyDescent="0.3">
      <c r="A175" s="480" t="s">
        <v>434</v>
      </c>
      <c r="B175" s="452" t="s">
        <v>844</v>
      </c>
      <c r="C175" s="302" t="s">
        <v>274</v>
      </c>
      <c r="D175" s="303">
        <v>1320.56</v>
      </c>
      <c r="E175" s="356">
        <v>7.39</v>
      </c>
      <c r="F175" s="356">
        <f t="shared" si="339"/>
        <v>9758.94</v>
      </c>
      <c r="G175" s="278">
        <v>1320.56</v>
      </c>
      <c r="H175" s="240">
        <f t="shared" si="362"/>
        <v>9758.9383999999991</v>
      </c>
      <c r="I175" s="241">
        <f t="shared" si="363"/>
        <v>1</v>
      </c>
      <c r="J175" s="419"/>
      <c r="K175" s="242">
        <f t="shared" si="364"/>
        <v>0</v>
      </c>
      <c r="L175" s="243">
        <f t="shared" si="365"/>
        <v>0</v>
      </c>
      <c r="M175" s="240">
        <f t="shared" si="282"/>
        <v>1320.56</v>
      </c>
      <c r="N175" s="240">
        <f t="shared" si="366"/>
        <v>9758.9383999999991</v>
      </c>
      <c r="O175" s="244">
        <f t="shared" si="367"/>
        <v>1</v>
      </c>
      <c r="P175" s="211">
        <f t="shared" si="368"/>
        <v>0</v>
      </c>
      <c r="Q175" s="212">
        <f t="shared" si="369"/>
        <v>0</v>
      </c>
      <c r="R175" s="213">
        <f t="shared" si="370"/>
        <v>0</v>
      </c>
      <c r="S175" s="204">
        <f t="shared" si="351"/>
        <v>9758.9383999999991</v>
      </c>
      <c r="T175" s="204">
        <f t="shared" si="352"/>
        <v>1.6000000014173565E-3</v>
      </c>
    </row>
    <row r="176" spans="1:20" s="2" customFormat="1" x14ac:dyDescent="0.3">
      <c r="A176" s="304">
        <v>2.04</v>
      </c>
      <c r="B176" s="305" t="s">
        <v>850</v>
      </c>
      <c r="C176" s="320" t="s">
        <v>160</v>
      </c>
      <c r="D176" s="321"/>
      <c r="E176" s="351"/>
      <c r="F176" s="352">
        <f>+F177</f>
        <v>398444.51</v>
      </c>
      <c r="G176" s="308"/>
      <c r="H176" s="309" t="s">
        <v>110</v>
      </c>
      <c r="I176" s="323" t="s">
        <v>110</v>
      </c>
      <c r="J176" s="419"/>
      <c r="K176" s="309" t="s">
        <v>110</v>
      </c>
      <c r="L176" s="324" t="s">
        <v>110</v>
      </c>
      <c r="M176" s="309"/>
      <c r="N176" s="309" t="s">
        <v>110</v>
      </c>
      <c r="O176" s="324" t="s">
        <v>110</v>
      </c>
      <c r="P176" s="326" t="s">
        <v>110</v>
      </c>
      <c r="Q176" s="309" t="s">
        <v>110</v>
      </c>
      <c r="R176" s="324" t="s">
        <v>110</v>
      </c>
      <c r="S176" s="204" t="e">
        <f t="shared" si="351"/>
        <v>#VALUE!</v>
      </c>
      <c r="T176" s="204" t="e">
        <f t="shared" si="352"/>
        <v>#VALUE!</v>
      </c>
    </row>
    <row r="177" spans="1:20" s="2" customFormat="1" x14ac:dyDescent="0.3">
      <c r="A177" s="298" t="s">
        <v>200</v>
      </c>
      <c r="B177" s="300" t="s">
        <v>850</v>
      </c>
      <c r="C177" s="302" t="s">
        <v>89</v>
      </c>
      <c r="D177" s="303">
        <v>1</v>
      </c>
      <c r="E177" s="358">
        <v>398444.51</v>
      </c>
      <c r="F177" s="358">
        <f t="shared" si="339"/>
        <v>398444.51</v>
      </c>
      <c r="G177" s="278">
        <v>0.9</v>
      </c>
      <c r="H177" s="240">
        <f t="shared" ref="H177" si="371">G177*E177</f>
        <v>358600.05900000001</v>
      </c>
      <c r="I177" s="241">
        <f t="shared" ref="I177" si="372">+G177/D177</f>
        <v>0.9</v>
      </c>
      <c r="J177" s="419"/>
      <c r="K177" s="242">
        <f t="shared" ref="K177" si="373">J177*E177</f>
        <v>0</v>
      </c>
      <c r="L177" s="243">
        <f t="shared" ref="L177" si="374">+J177/D177</f>
        <v>0</v>
      </c>
      <c r="M177" s="240">
        <f t="shared" si="282"/>
        <v>0.9</v>
      </c>
      <c r="N177" s="240">
        <f t="shared" ref="N177" si="375">M177*E177</f>
        <v>358600.05900000001</v>
      </c>
      <c r="O177" s="244">
        <f t="shared" ref="O177" si="376">+M177/D177</f>
        <v>0.9</v>
      </c>
      <c r="P177" s="211">
        <f t="shared" ref="P177" si="377">+D177-M177</f>
        <v>9.9999999999999978E-2</v>
      </c>
      <c r="Q177" s="212">
        <f t="shared" ref="Q177" si="378">P177*E177</f>
        <v>39844.450999999994</v>
      </c>
      <c r="R177" s="213">
        <f t="shared" ref="R177" si="379">+P177/D177</f>
        <v>9.9999999999999978E-2</v>
      </c>
      <c r="S177" s="204">
        <f t="shared" si="351"/>
        <v>398444.51</v>
      </c>
      <c r="T177" s="204">
        <f t="shared" si="352"/>
        <v>0</v>
      </c>
    </row>
    <row r="178" spans="1:20" s="2" customFormat="1" x14ac:dyDescent="0.3">
      <c r="A178" s="304" t="s">
        <v>284</v>
      </c>
      <c r="B178" s="305" t="s">
        <v>851</v>
      </c>
      <c r="C178" s="318" t="s">
        <v>160</v>
      </c>
      <c r="D178" s="319"/>
      <c r="E178" s="343"/>
      <c r="F178" s="344">
        <f>+F179</f>
        <v>347659.6</v>
      </c>
      <c r="G178" s="308"/>
      <c r="H178" s="309" t="s">
        <v>110</v>
      </c>
      <c r="I178" s="323" t="s">
        <v>110</v>
      </c>
      <c r="J178" s="419"/>
      <c r="K178" s="309" t="s">
        <v>110</v>
      </c>
      <c r="L178" s="324" t="s">
        <v>110</v>
      </c>
      <c r="M178" s="309"/>
      <c r="N178" s="309" t="s">
        <v>110</v>
      </c>
      <c r="O178" s="324" t="s">
        <v>110</v>
      </c>
      <c r="P178" s="326" t="s">
        <v>110</v>
      </c>
      <c r="Q178" s="309" t="s">
        <v>110</v>
      </c>
      <c r="R178" s="324" t="s">
        <v>110</v>
      </c>
      <c r="S178" s="204" t="e">
        <f t="shared" si="351"/>
        <v>#VALUE!</v>
      </c>
      <c r="T178" s="204" t="e">
        <f t="shared" si="352"/>
        <v>#VALUE!</v>
      </c>
    </row>
    <row r="179" spans="1:20" s="2" customFormat="1" x14ac:dyDescent="0.3">
      <c r="A179" s="304" t="s">
        <v>285</v>
      </c>
      <c r="B179" s="305" t="s">
        <v>852</v>
      </c>
      <c r="C179" s="320" t="s">
        <v>160</v>
      </c>
      <c r="D179" s="321"/>
      <c r="E179" s="345"/>
      <c r="F179" s="346">
        <f>+F180+F289+F346</f>
        <v>347659.6</v>
      </c>
      <c r="G179" s="308"/>
      <c r="H179" s="309" t="s">
        <v>110</v>
      </c>
      <c r="I179" s="323" t="s">
        <v>110</v>
      </c>
      <c r="J179" s="419"/>
      <c r="K179" s="309" t="s">
        <v>110</v>
      </c>
      <c r="L179" s="324" t="s">
        <v>110</v>
      </c>
      <c r="M179" s="309"/>
      <c r="N179" s="309" t="s">
        <v>110</v>
      </c>
      <c r="O179" s="324" t="s">
        <v>110</v>
      </c>
      <c r="P179" s="326" t="s">
        <v>110</v>
      </c>
      <c r="Q179" s="309" t="s">
        <v>110</v>
      </c>
      <c r="R179" s="324" t="s">
        <v>110</v>
      </c>
      <c r="S179" s="204" t="s">
        <v>110</v>
      </c>
      <c r="T179" s="204" t="s">
        <v>110</v>
      </c>
    </row>
    <row r="180" spans="1:20" s="2" customFormat="1" x14ac:dyDescent="0.3">
      <c r="A180" s="304" t="s">
        <v>223</v>
      </c>
      <c r="B180" s="312" t="s">
        <v>753</v>
      </c>
      <c r="C180" s="320" t="s">
        <v>160</v>
      </c>
      <c r="D180" s="321"/>
      <c r="E180" s="347"/>
      <c r="F180" s="348">
        <f>+F181+F192+F205+F209+F215+F220+F224+F235+F247+F250+F257+F263</f>
        <v>236129.61</v>
      </c>
      <c r="G180" s="308"/>
      <c r="H180" s="309" t="s">
        <v>110</v>
      </c>
      <c r="I180" s="323" t="s">
        <v>110</v>
      </c>
      <c r="J180" s="419"/>
      <c r="K180" s="309" t="s">
        <v>110</v>
      </c>
      <c r="L180" s="324" t="s">
        <v>110</v>
      </c>
      <c r="M180" s="309"/>
      <c r="N180" s="309" t="s">
        <v>110</v>
      </c>
      <c r="O180" s="324" t="s">
        <v>110</v>
      </c>
      <c r="P180" s="326" t="s">
        <v>110</v>
      </c>
      <c r="Q180" s="309" t="s">
        <v>110</v>
      </c>
      <c r="R180" s="324" t="s">
        <v>110</v>
      </c>
      <c r="S180" s="204" t="e">
        <f>N180+Q180</f>
        <v>#VALUE!</v>
      </c>
      <c r="T180" s="204" t="e">
        <f>F180-S180</f>
        <v>#VALUE!</v>
      </c>
    </row>
    <row r="181" spans="1:20" s="2" customFormat="1" x14ac:dyDescent="0.3">
      <c r="A181" s="304" t="s">
        <v>435</v>
      </c>
      <c r="B181" s="305" t="s">
        <v>853</v>
      </c>
      <c r="C181" s="306" t="s">
        <v>160</v>
      </c>
      <c r="D181" s="307"/>
      <c r="E181" s="349"/>
      <c r="F181" s="350">
        <f>+F182+F186</f>
        <v>23726.67</v>
      </c>
      <c r="G181" s="308"/>
      <c r="H181" s="309" t="s">
        <v>110</v>
      </c>
      <c r="I181" s="323" t="s">
        <v>110</v>
      </c>
      <c r="J181" s="419"/>
      <c r="K181" s="309" t="s">
        <v>110</v>
      </c>
      <c r="L181" s="324" t="s">
        <v>110</v>
      </c>
      <c r="M181" s="309"/>
      <c r="N181" s="309" t="s">
        <v>110</v>
      </c>
      <c r="O181" s="324" t="s">
        <v>110</v>
      </c>
      <c r="P181" s="326" t="s">
        <v>110</v>
      </c>
      <c r="Q181" s="309" t="s">
        <v>110</v>
      </c>
      <c r="R181" s="324" t="s">
        <v>110</v>
      </c>
      <c r="S181" s="204" t="e">
        <f>N181+Q181</f>
        <v>#VALUE!</v>
      </c>
      <c r="T181" s="204" t="e">
        <f>F181-S181</f>
        <v>#VALUE!</v>
      </c>
    </row>
    <row r="182" spans="1:20" s="2" customFormat="1" x14ac:dyDescent="0.3">
      <c r="A182" s="304" t="s">
        <v>436</v>
      </c>
      <c r="B182" s="305" t="s">
        <v>854</v>
      </c>
      <c r="C182" s="306" t="s">
        <v>160</v>
      </c>
      <c r="D182" s="307"/>
      <c r="E182" s="353"/>
      <c r="F182" s="354">
        <f>SUM(F183:F185)</f>
        <v>14813.329999999998</v>
      </c>
      <c r="G182" s="308"/>
      <c r="H182" s="309" t="s">
        <v>110</v>
      </c>
      <c r="I182" s="323" t="s">
        <v>110</v>
      </c>
      <c r="J182" s="419"/>
      <c r="K182" s="309" t="s">
        <v>110</v>
      </c>
      <c r="L182" s="324" t="s">
        <v>110</v>
      </c>
      <c r="M182" s="309"/>
      <c r="N182" s="309" t="s">
        <v>110</v>
      </c>
      <c r="O182" s="324" t="s">
        <v>110</v>
      </c>
      <c r="P182" s="326" t="s">
        <v>110</v>
      </c>
      <c r="Q182" s="309" t="s">
        <v>110</v>
      </c>
      <c r="R182" s="324" t="s">
        <v>110</v>
      </c>
      <c r="S182" s="204" t="e">
        <f>N182+Q182</f>
        <v>#VALUE!</v>
      </c>
      <c r="T182" s="204" t="e">
        <f>F182-S182</f>
        <v>#VALUE!</v>
      </c>
    </row>
    <row r="183" spans="1:20" s="2" customFormat="1" x14ac:dyDescent="0.3">
      <c r="A183" s="298" t="s">
        <v>437</v>
      </c>
      <c r="B183" s="300" t="s">
        <v>855</v>
      </c>
      <c r="C183" s="302" t="s">
        <v>92</v>
      </c>
      <c r="D183" s="303">
        <v>173.2</v>
      </c>
      <c r="E183" s="356">
        <v>67.099999999999994</v>
      </c>
      <c r="F183" s="356">
        <f t="shared" ref="F183:F246" si="380">+ROUND((D183*E183),2)</f>
        <v>11621.72</v>
      </c>
      <c r="G183" s="278">
        <v>0</v>
      </c>
      <c r="H183" s="240">
        <f t="shared" ref="H183:H185" si="381">G183*E183</f>
        <v>0</v>
      </c>
      <c r="I183" s="241">
        <f t="shared" ref="I183:I185" si="382">+G183/D183</f>
        <v>0</v>
      </c>
      <c r="J183" s="477">
        <f>+D183</f>
        <v>173.2</v>
      </c>
      <c r="K183" s="242">
        <f t="shared" ref="K183:K185" si="383">J183*E183</f>
        <v>11621.719999999998</v>
      </c>
      <c r="L183" s="243">
        <f t="shared" ref="L183:L185" si="384">+J183/D183</f>
        <v>1</v>
      </c>
      <c r="M183" s="240">
        <f t="shared" si="282"/>
        <v>173.2</v>
      </c>
      <c r="N183" s="240">
        <f t="shared" ref="N183:N185" si="385">M183*E183</f>
        <v>11621.719999999998</v>
      </c>
      <c r="O183" s="244">
        <f t="shared" ref="O183:O185" si="386">+M183/D183</f>
        <v>1</v>
      </c>
      <c r="P183" s="211">
        <f t="shared" ref="P183:P185" si="387">+D183-M183</f>
        <v>0</v>
      </c>
      <c r="Q183" s="212">
        <f t="shared" ref="Q183:Q185" si="388">P183*E183</f>
        <v>0</v>
      </c>
      <c r="R183" s="213">
        <f t="shared" ref="R183:R185" si="389">+P183/D183</f>
        <v>0</v>
      </c>
      <c r="S183" s="204">
        <f t="shared" ref="S183:S185" si="390">N183+Q183</f>
        <v>11621.719999999998</v>
      </c>
      <c r="T183" s="204">
        <f t="shared" ref="T183:T185" si="391">F183-S183</f>
        <v>0</v>
      </c>
    </row>
    <row r="184" spans="1:20" s="2" customFormat="1" x14ac:dyDescent="0.3">
      <c r="A184" s="298" t="s">
        <v>438</v>
      </c>
      <c r="B184" s="300" t="s">
        <v>856</v>
      </c>
      <c r="C184" s="302" t="s">
        <v>92</v>
      </c>
      <c r="D184" s="303">
        <v>9.5500000000000007</v>
      </c>
      <c r="E184" s="356">
        <v>111.47</v>
      </c>
      <c r="F184" s="356">
        <f t="shared" si="380"/>
        <v>1064.54</v>
      </c>
      <c r="G184" s="278">
        <v>0</v>
      </c>
      <c r="H184" s="240">
        <f t="shared" si="381"/>
        <v>0</v>
      </c>
      <c r="I184" s="241">
        <f t="shared" si="382"/>
        <v>0</v>
      </c>
      <c r="J184" s="477">
        <f>+D184</f>
        <v>9.5500000000000007</v>
      </c>
      <c r="K184" s="242">
        <f t="shared" si="383"/>
        <v>1064.5385000000001</v>
      </c>
      <c r="L184" s="243">
        <f t="shared" si="384"/>
        <v>1</v>
      </c>
      <c r="M184" s="240">
        <f t="shared" si="282"/>
        <v>9.5500000000000007</v>
      </c>
      <c r="N184" s="240">
        <f t="shared" si="385"/>
        <v>1064.5385000000001</v>
      </c>
      <c r="O184" s="244">
        <f t="shared" si="386"/>
        <v>1</v>
      </c>
      <c r="P184" s="211">
        <f t="shared" si="387"/>
        <v>0</v>
      </c>
      <c r="Q184" s="212">
        <f t="shared" si="388"/>
        <v>0</v>
      </c>
      <c r="R184" s="213">
        <f t="shared" si="389"/>
        <v>0</v>
      </c>
      <c r="S184" s="204">
        <f t="shared" si="390"/>
        <v>1064.5385000000001</v>
      </c>
      <c r="T184" s="204">
        <f t="shared" si="391"/>
        <v>1.4999999998508429E-3</v>
      </c>
    </row>
    <row r="185" spans="1:20" s="2" customFormat="1" ht="18" customHeight="1" x14ac:dyDescent="0.3">
      <c r="A185" s="298" t="s">
        <v>439</v>
      </c>
      <c r="B185" s="300" t="s">
        <v>857</v>
      </c>
      <c r="C185" s="302" t="s">
        <v>92</v>
      </c>
      <c r="D185" s="303">
        <v>31.7</v>
      </c>
      <c r="E185" s="358">
        <v>67.099999999999994</v>
      </c>
      <c r="F185" s="358">
        <f t="shared" si="380"/>
        <v>2127.0700000000002</v>
      </c>
      <c r="G185" s="278">
        <v>0</v>
      </c>
      <c r="H185" s="240">
        <f t="shared" si="381"/>
        <v>0</v>
      </c>
      <c r="I185" s="241">
        <f t="shared" si="382"/>
        <v>0</v>
      </c>
      <c r="J185" s="477">
        <f>+D185</f>
        <v>31.7</v>
      </c>
      <c r="K185" s="242">
        <f t="shared" si="383"/>
        <v>2127.0699999999997</v>
      </c>
      <c r="L185" s="243">
        <f t="shared" si="384"/>
        <v>1</v>
      </c>
      <c r="M185" s="240">
        <f t="shared" si="282"/>
        <v>31.7</v>
      </c>
      <c r="N185" s="240">
        <f t="shared" si="385"/>
        <v>2127.0699999999997</v>
      </c>
      <c r="O185" s="244">
        <f t="shared" si="386"/>
        <v>1</v>
      </c>
      <c r="P185" s="211">
        <f t="shared" si="387"/>
        <v>0</v>
      </c>
      <c r="Q185" s="212">
        <f t="shared" si="388"/>
        <v>0</v>
      </c>
      <c r="R185" s="213">
        <f t="shared" si="389"/>
        <v>0</v>
      </c>
      <c r="S185" s="204">
        <f t="shared" si="390"/>
        <v>2127.0699999999997</v>
      </c>
      <c r="T185" s="204">
        <f t="shared" si="391"/>
        <v>0</v>
      </c>
    </row>
    <row r="186" spans="1:20" s="2" customFormat="1" x14ac:dyDescent="0.3">
      <c r="A186" s="304" t="s">
        <v>440</v>
      </c>
      <c r="B186" s="305" t="s">
        <v>858</v>
      </c>
      <c r="C186" s="306" t="s">
        <v>160</v>
      </c>
      <c r="D186" s="307"/>
      <c r="E186" s="353"/>
      <c r="F186" s="354">
        <f>SUM(F187:F191)</f>
        <v>8913.34</v>
      </c>
      <c r="G186" s="308"/>
      <c r="H186" s="309" t="s">
        <v>110</v>
      </c>
      <c r="I186" s="323" t="s">
        <v>110</v>
      </c>
      <c r="J186" s="419"/>
      <c r="K186" s="309" t="s">
        <v>110</v>
      </c>
      <c r="L186" s="324" t="s">
        <v>110</v>
      </c>
      <c r="M186" s="309"/>
      <c r="N186" s="309" t="s">
        <v>110</v>
      </c>
      <c r="O186" s="324" t="s">
        <v>110</v>
      </c>
      <c r="P186" s="326" t="s">
        <v>110</v>
      </c>
      <c r="Q186" s="309" t="s">
        <v>110</v>
      </c>
      <c r="R186" s="324" t="s">
        <v>110</v>
      </c>
      <c r="S186" s="204" t="e">
        <f t="shared" ref="S186:S203" si="392">N186+Q186</f>
        <v>#VALUE!</v>
      </c>
      <c r="T186" s="204" t="e">
        <f t="shared" ref="T186:T203" si="393">F186-S186</f>
        <v>#VALUE!</v>
      </c>
    </row>
    <row r="187" spans="1:20" s="2" customFormat="1" x14ac:dyDescent="0.3">
      <c r="A187" s="298" t="s">
        <v>441</v>
      </c>
      <c r="B187" s="300" t="s">
        <v>859</v>
      </c>
      <c r="C187" s="302" t="s">
        <v>92</v>
      </c>
      <c r="D187" s="303">
        <v>3.83</v>
      </c>
      <c r="E187" s="356">
        <v>148.1</v>
      </c>
      <c r="F187" s="356">
        <f t="shared" si="380"/>
        <v>567.22</v>
      </c>
      <c r="G187" s="278">
        <v>0</v>
      </c>
      <c r="H187" s="240">
        <f t="shared" ref="H187:H191" si="394">G187*E187</f>
        <v>0</v>
      </c>
      <c r="I187" s="241">
        <f t="shared" ref="I187:I191" si="395">+G187/D187</f>
        <v>0</v>
      </c>
      <c r="J187" s="419"/>
      <c r="K187" s="242">
        <f t="shared" ref="K187:K191" si="396">J187*E187</f>
        <v>0</v>
      </c>
      <c r="L187" s="243">
        <f t="shared" ref="L187:L191" si="397">+J187/D187</f>
        <v>0</v>
      </c>
      <c r="M187" s="240">
        <f t="shared" si="282"/>
        <v>0</v>
      </c>
      <c r="N187" s="240">
        <f t="shared" ref="N187:N191" si="398">M187*E187</f>
        <v>0</v>
      </c>
      <c r="O187" s="244">
        <f t="shared" ref="O187:O191" si="399">+M187/D187</f>
        <v>0</v>
      </c>
      <c r="P187" s="211">
        <f t="shared" ref="P187:P191" si="400">+D187-M187</f>
        <v>3.83</v>
      </c>
      <c r="Q187" s="212">
        <f t="shared" ref="Q187:Q191" si="401">P187*E187</f>
        <v>567.22299999999996</v>
      </c>
      <c r="R187" s="213">
        <f t="shared" ref="R187:R191" si="402">+P187/D187</f>
        <v>1</v>
      </c>
      <c r="S187" s="204">
        <f t="shared" si="392"/>
        <v>567.22299999999996</v>
      </c>
      <c r="T187" s="204">
        <f t="shared" si="393"/>
        <v>-2.9999999999290594E-3</v>
      </c>
    </row>
    <row r="188" spans="1:20" s="2" customFormat="1" x14ac:dyDescent="0.3">
      <c r="A188" s="298" t="s">
        <v>442</v>
      </c>
      <c r="B188" s="300" t="s">
        <v>860</v>
      </c>
      <c r="C188" s="302" t="s">
        <v>92</v>
      </c>
      <c r="D188" s="303">
        <v>2.5499999999999998</v>
      </c>
      <c r="E188" s="356">
        <v>156.72999999999999</v>
      </c>
      <c r="F188" s="356">
        <f t="shared" si="380"/>
        <v>399.66</v>
      </c>
      <c r="G188" s="278">
        <v>0</v>
      </c>
      <c r="H188" s="240">
        <f t="shared" si="394"/>
        <v>0</v>
      </c>
      <c r="I188" s="241">
        <f t="shared" si="395"/>
        <v>0</v>
      </c>
      <c r="J188" s="419"/>
      <c r="K188" s="242">
        <f t="shared" si="396"/>
        <v>0</v>
      </c>
      <c r="L188" s="243">
        <f t="shared" si="397"/>
        <v>0</v>
      </c>
      <c r="M188" s="240">
        <f t="shared" si="282"/>
        <v>0</v>
      </c>
      <c r="N188" s="240">
        <f t="shared" si="398"/>
        <v>0</v>
      </c>
      <c r="O188" s="244">
        <f t="shared" si="399"/>
        <v>0</v>
      </c>
      <c r="P188" s="211">
        <f t="shared" si="400"/>
        <v>2.5499999999999998</v>
      </c>
      <c r="Q188" s="212">
        <f t="shared" si="401"/>
        <v>399.66149999999993</v>
      </c>
      <c r="R188" s="213">
        <f t="shared" si="402"/>
        <v>1</v>
      </c>
      <c r="S188" s="204">
        <f t="shared" si="392"/>
        <v>399.66149999999993</v>
      </c>
      <c r="T188" s="204">
        <f t="shared" si="393"/>
        <v>-1.4999999999076863E-3</v>
      </c>
    </row>
    <row r="189" spans="1:20" s="2" customFormat="1" x14ac:dyDescent="0.3">
      <c r="A189" s="298" t="s">
        <v>443</v>
      </c>
      <c r="B189" s="300" t="s">
        <v>861</v>
      </c>
      <c r="C189" s="302" t="s">
        <v>92</v>
      </c>
      <c r="D189" s="303">
        <v>11.47</v>
      </c>
      <c r="E189" s="356">
        <v>180.19</v>
      </c>
      <c r="F189" s="356">
        <f t="shared" si="380"/>
        <v>2066.7800000000002</v>
      </c>
      <c r="G189" s="278">
        <v>0</v>
      </c>
      <c r="H189" s="240">
        <f t="shared" si="394"/>
        <v>0</v>
      </c>
      <c r="I189" s="241">
        <f t="shared" si="395"/>
        <v>0</v>
      </c>
      <c r="J189" s="419"/>
      <c r="K189" s="242">
        <f t="shared" si="396"/>
        <v>0</v>
      </c>
      <c r="L189" s="243">
        <f t="shared" si="397"/>
        <v>0</v>
      </c>
      <c r="M189" s="240">
        <f t="shared" si="282"/>
        <v>0</v>
      </c>
      <c r="N189" s="240">
        <f t="shared" si="398"/>
        <v>0</v>
      </c>
      <c r="O189" s="244">
        <f t="shared" si="399"/>
        <v>0</v>
      </c>
      <c r="P189" s="211">
        <f t="shared" si="400"/>
        <v>11.47</v>
      </c>
      <c r="Q189" s="212">
        <f t="shared" si="401"/>
        <v>2066.7793000000001</v>
      </c>
      <c r="R189" s="213">
        <f t="shared" si="402"/>
        <v>1</v>
      </c>
      <c r="S189" s="204">
        <f t="shared" si="392"/>
        <v>2066.7793000000001</v>
      </c>
      <c r="T189" s="204">
        <f t="shared" si="393"/>
        <v>7.000000000516593E-4</v>
      </c>
    </row>
    <row r="190" spans="1:20" s="2" customFormat="1" x14ac:dyDescent="0.3">
      <c r="A190" s="298" t="s">
        <v>444</v>
      </c>
      <c r="B190" s="300" t="s">
        <v>862</v>
      </c>
      <c r="C190" s="302" t="s">
        <v>92</v>
      </c>
      <c r="D190" s="303">
        <v>9.0399999999999991</v>
      </c>
      <c r="E190" s="356">
        <v>142.6</v>
      </c>
      <c r="F190" s="356">
        <f t="shared" si="380"/>
        <v>1289.0999999999999</v>
      </c>
      <c r="G190" s="278">
        <v>0</v>
      </c>
      <c r="H190" s="240">
        <f t="shared" si="394"/>
        <v>0</v>
      </c>
      <c r="I190" s="241">
        <f t="shared" si="395"/>
        <v>0</v>
      </c>
      <c r="J190" s="419"/>
      <c r="K190" s="242">
        <f t="shared" si="396"/>
        <v>0</v>
      </c>
      <c r="L190" s="243">
        <f t="shared" si="397"/>
        <v>0</v>
      </c>
      <c r="M190" s="240">
        <f t="shared" si="282"/>
        <v>0</v>
      </c>
      <c r="N190" s="240">
        <f t="shared" si="398"/>
        <v>0</v>
      </c>
      <c r="O190" s="244">
        <f t="shared" si="399"/>
        <v>0</v>
      </c>
      <c r="P190" s="211">
        <f t="shared" si="400"/>
        <v>9.0399999999999991</v>
      </c>
      <c r="Q190" s="212">
        <f t="shared" si="401"/>
        <v>1289.1039999999998</v>
      </c>
      <c r="R190" s="213">
        <f t="shared" si="402"/>
        <v>1</v>
      </c>
      <c r="S190" s="204">
        <f t="shared" si="392"/>
        <v>1289.1039999999998</v>
      </c>
      <c r="T190" s="204">
        <f t="shared" si="393"/>
        <v>-3.9999999999054126E-3</v>
      </c>
    </row>
    <row r="191" spans="1:20" s="2" customFormat="1" x14ac:dyDescent="0.3">
      <c r="A191" s="298" t="s">
        <v>445</v>
      </c>
      <c r="B191" s="300" t="s">
        <v>863</v>
      </c>
      <c r="C191" s="302" t="s">
        <v>92</v>
      </c>
      <c r="D191" s="303">
        <v>28.52</v>
      </c>
      <c r="E191" s="356">
        <v>160.96</v>
      </c>
      <c r="F191" s="356">
        <f t="shared" si="380"/>
        <v>4590.58</v>
      </c>
      <c r="G191" s="278">
        <v>0</v>
      </c>
      <c r="H191" s="240">
        <f t="shared" si="394"/>
        <v>0</v>
      </c>
      <c r="I191" s="241">
        <f t="shared" si="395"/>
        <v>0</v>
      </c>
      <c r="J191" s="419"/>
      <c r="K191" s="242">
        <f t="shared" si="396"/>
        <v>0</v>
      </c>
      <c r="L191" s="243">
        <f t="shared" si="397"/>
        <v>0</v>
      </c>
      <c r="M191" s="240">
        <f t="shared" si="282"/>
        <v>0</v>
      </c>
      <c r="N191" s="240">
        <f t="shared" si="398"/>
        <v>0</v>
      </c>
      <c r="O191" s="244">
        <f t="shared" si="399"/>
        <v>0</v>
      </c>
      <c r="P191" s="211">
        <f t="shared" si="400"/>
        <v>28.52</v>
      </c>
      <c r="Q191" s="212">
        <f t="shared" si="401"/>
        <v>4590.5792000000001</v>
      </c>
      <c r="R191" s="213">
        <f t="shared" si="402"/>
        <v>1</v>
      </c>
      <c r="S191" s="204">
        <f t="shared" si="392"/>
        <v>4590.5792000000001</v>
      </c>
      <c r="T191" s="204">
        <f t="shared" si="393"/>
        <v>7.9999999979918357E-4</v>
      </c>
    </row>
    <row r="192" spans="1:20" s="2" customFormat="1" x14ac:dyDescent="0.3">
      <c r="A192" s="304" t="s">
        <v>446</v>
      </c>
      <c r="B192" s="305" t="s">
        <v>864</v>
      </c>
      <c r="C192" s="306" t="s">
        <v>160</v>
      </c>
      <c r="D192" s="307"/>
      <c r="E192" s="349"/>
      <c r="F192" s="350">
        <f>SUM(F193:F204)</f>
        <v>35063.230000000003</v>
      </c>
      <c r="G192" s="308"/>
      <c r="H192" s="309" t="s">
        <v>110</v>
      </c>
      <c r="I192" s="323" t="s">
        <v>110</v>
      </c>
      <c r="J192" s="419"/>
      <c r="K192" s="309" t="s">
        <v>110</v>
      </c>
      <c r="L192" s="324" t="s">
        <v>110</v>
      </c>
      <c r="M192" s="309"/>
      <c r="N192" s="309" t="s">
        <v>110</v>
      </c>
      <c r="O192" s="324" t="s">
        <v>110</v>
      </c>
      <c r="P192" s="326" t="s">
        <v>110</v>
      </c>
      <c r="Q192" s="309" t="s">
        <v>110</v>
      </c>
      <c r="R192" s="324" t="s">
        <v>110</v>
      </c>
      <c r="S192" s="204" t="e">
        <f t="shared" si="392"/>
        <v>#VALUE!</v>
      </c>
      <c r="T192" s="204" t="e">
        <f t="shared" si="393"/>
        <v>#VALUE!</v>
      </c>
    </row>
    <row r="193" spans="1:20" s="2" customFormat="1" x14ac:dyDescent="0.3">
      <c r="A193" s="480" t="s">
        <v>447</v>
      </c>
      <c r="B193" s="452" t="s">
        <v>865</v>
      </c>
      <c r="C193" s="302" t="s">
        <v>92</v>
      </c>
      <c r="D193" s="303">
        <v>177.93</v>
      </c>
      <c r="E193" s="358">
        <v>63.44</v>
      </c>
      <c r="F193" s="358">
        <f t="shared" si="380"/>
        <v>11287.88</v>
      </c>
      <c r="G193" s="278">
        <v>0</v>
      </c>
      <c r="H193" s="240">
        <f t="shared" ref="H193:H203" si="403">G193*E193</f>
        <v>0</v>
      </c>
      <c r="I193" s="241">
        <f t="shared" ref="I193:I203" si="404">+G193/D193</f>
        <v>0</v>
      </c>
      <c r="J193" s="419">
        <f>+D193</f>
        <v>177.93</v>
      </c>
      <c r="K193" s="242">
        <f t="shared" ref="K193:K203" si="405">J193*E193</f>
        <v>11287.879199999999</v>
      </c>
      <c r="L193" s="243">
        <f t="shared" ref="L193:L203" si="406">+J193/D193</f>
        <v>1</v>
      </c>
      <c r="M193" s="240">
        <f t="shared" si="282"/>
        <v>177.93</v>
      </c>
      <c r="N193" s="240">
        <f t="shared" ref="N193:N203" si="407">M193*E193</f>
        <v>11287.879199999999</v>
      </c>
      <c r="O193" s="244">
        <f t="shared" ref="O193:O203" si="408">+M193/D193</f>
        <v>1</v>
      </c>
      <c r="P193" s="211">
        <f t="shared" ref="P193:P203" si="409">+D193-M193</f>
        <v>0</v>
      </c>
      <c r="Q193" s="212">
        <f t="shared" ref="Q193:Q203" si="410">P193*E193</f>
        <v>0</v>
      </c>
      <c r="R193" s="213">
        <f t="shared" ref="R193:R203" si="411">+P193/D193</f>
        <v>0</v>
      </c>
      <c r="S193" s="204">
        <f t="shared" si="392"/>
        <v>11287.879199999999</v>
      </c>
      <c r="T193" s="204">
        <f t="shared" si="393"/>
        <v>7.9999999979918357E-4</v>
      </c>
    </row>
    <row r="194" spans="1:20" s="2" customFormat="1" x14ac:dyDescent="0.3">
      <c r="A194" s="480" t="s">
        <v>448</v>
      </c>
      <c r="B194" s="452" t="s">
        <v>866</v>
      </c>
      <c r="C194" s="302" t="s">
        <v>92</v>
      </c>
      <c r="D194" s="303">
        <v>193.45</v>
      </c>
      <c r="E194" s="356">
        <v>24.34</v>
      </c>
      <c r="F194" s="356">
        <f t="shared" si="380"/>
        <v>4708.57</v>
      </c>
      <c r="G194" s="278">
        <v>0</v>
      </c>
      <c r="H194" s="240">
        <f t="shared" si="403"/>
        <v>0</v>
      </c>
      <c r="I194" s="241">
        <f t="shared" si="404"/>
        <v>0</v>
      </c>
      <c r="J194" s="419">
        <f t="shared" ref="J194:J199" si="412">+D194</f>
        <v>193.45</v>
      </c>
      <c r="K194" s="242">
        <f t="shared" si="405"/>
        <v>4708.5729999999994</v>
      </c>
      <c r="L194" s="243">
        <f t="shared" si="406"/>
        <v>1</v>
      </c>
      <c r="M194" s="240">
        <f t="shared" si="282"/>
        <v>193.45</v>
      </c>
      <c r="N194" s="240">
        <f t="shared" si="407"/>
        <v>4708.5729999999994</v>
      </c>
      <c r="O194" s="244">
        <f t="shared" si="408"/>
        <v>1</v>
      </c>
      <c r="P194" s="211">
        <f t="shared" si="409"/>
        <v>0</v>
      </c>
      <c r="Q194" s="212">
        <f t="shared" si="410"/>
        <v>0</v>
      </c>
      <c r="R194" s="213">
        <f t="shared" si="411"/>
        <v>0</v>
      </c>
      <c r="S194" s="204">
        <f t="shared" si="392"/>
        <v>4708.5729999999994</v>
      </c>
      <c r="T194" s="204">
        <f t="shared" si="393"/>
        <v>-2.9999999997016857E-3</v>
      </c>
    </row>
    <row r="195" spans="1:20" s="2" customFormat="1" x14ac:dyDescent="0.3">
      <c r="A195" s="480" t="s">
        <v>449</v>
      </c>
      <c r="B195" s="452" t="s">
        <v>867</v>
      </c>
      <c r="C195" s="302" t="s">
        <v>92</v>
      </c>
      <c r="D195" s="303">
        <v>21</v>
      </c>
      <c r="E195" s="356">
        <v>32.590000000000003</v>
      </c>
      <c r="F195" s="356">
        <f t="shared" si="380"/>
        <v>684.39</v>
      </c>
      <c r="G195" s="278">
        <v>0</v>
      </c>
      <c r="H195" s="240">
        <f t="shared" si="403"/>
        <v>0</v>
      </c>
      <c r="I195" s="241">
        <f t="shared" si="404"/>
        <v>0</v>
      </c>
      <c r="J195" s="419">
        <f t="shared" si="412"/>
        <v>21</v>
      </c>
      <c r="K195" s="242">
        <f t="shared" si="405"/>
        <v>684.3900000000001</v>
      </c>
      <c r="L195" s="243">
        <f t="shared" si="406"/>
        <v>1</v>
      </c>
      <c r="M195" s="240">
        <f t="shared" si="282"/>
        <v>21</v>
      </c>
      <c r="N195" s="240">
        <f t="shared" si="407"/>
        <v>684.3900000000001</v>
      </c>
      <c r="O195" s="244">
        <f t="shared" si="408"/>
        <v>1</v>
      </c>
      <c r="P195" s="211">
        <f t="shared" si="409"/>
        <v>0</v>
      </c>
      <c r="Q195" s="212">
        <f t="shared" si="410"/>
        <v>0</v>
      </c>
      <c r="R195" s="213">
        <f t="shared" si="411"/>
        <v>0</v>
      </c>
      <c r="S195" s="204">
        <f t="shared" si="392"/>
        <v>684.3900000000001</v>
      </c>
      <c r="T195" s="204">
        <f t="shared" si="393"/>
        <v>0</v>
      </c>
    </row>
    <row r="196" spans="1:20" s="2" customFormat="1" x14ac:dyDescent="0.3">
      <c r="A196" s="480" t="s">
        <v>450</v>
      </c>
      <c r="B196" s="452" t="s">
        <v>868</v>
      </c>
      <c r="C196" s="302" t="s">
        <v>92</v>
      </c>
      <c r="D196" s="303">
        <v>93.85</v>
      </c>
      <c r="E196" s="356">
        <v>40.75</v>
      </c>
      <c r="F196" s="356">
        <f t="shared" si="380"/>
        <v>3824.39</v>
      </c>
      <c r="G196" s="278">
        <v>0</v>
      </c>
      <c r="H196" s="240">
        <f t="shared" si="403"/>
        <v>0</v>
      </c>
      <c r="I196" s="241">
        <f t="shared" si="404"/>
        <v>0</v>
      </c>
      <c r="J196" s="419">
        <f t="shared" si="412"/>
        <v>93.85</v>
      </c>
      <c r="K196" s="242">
        <f t="shared" si="405"/>
        <v>3824.3874999999998</v>
      </c>
      <c r="L196" s="243">
        <f t="shared" si="406"/>
        <v>1</v>
      </c>
      <c r="M196" s="240">
        <f t="shared" si="282"/>
        <v>93.85</v>
      </c>
      <c r="N196" s="240">
        <f t="shared" si="407"/>
        <v>3824.3874999999998</v>
      </c>
      <c r="O196" s="244">
        <f t="shared" si="408"/>
        <v>1</v>
      </c>
      <c r="P196" s="211">
        <f t="shared" si="409"/>
        <v>0</v>
      </c>
      <c r="Q196" s="212">
        <f t="shared" si="410"/>
        <v>0</v>
      </c>
      <c r="R196" s="213">
        <f t="shared" si="411"/>
        <v>0</v>
      </c>
      <c r="S196" s="204">
        <f t="shared" si="392"/>
        <v>3824.3874999999998</v>
      </c>
      <c r="T196" s="204">
        <f t="shared" si="393"/>
        <v>2.5000000000545697E-3</v>
      </c>
    </row>
    <row r="197" spans="1:20" s="2" customFormat="1" x14ac:dyDescent="0.3">
      <c r="A197" s="480" t="s">
        <v>451</v>
      </c>
      <c r="B197" s="452" t="s">
        <v>869</v>
      </c>
      <c r="C197" s="302" t="s">
        <v>92</v>
      </c>
      <c r="D197" s="303">
        <v>50.1</v>
      </c>
      <c r="E197" s="356">
        <v>51.38</v>
      </c>
      <c r="F197" s="356">
        <f t="shared" si="380"/>
        <v>2574.14</v>
      </c>
      <c r="G197" s="278">
        <v>0</v>
      </c>
      <c r="H197" s="240">
        <f t="shared" si="403"/>
        <v>0</v>
      </c>
      <c r="I197" s="241">
        <f t="shared" si="404"/>
        <v>0</v>
      </c>
      <c r="J197" s="419">
        <f t="shared" si="412"/>
        <v>50.1</v>
      </c>
      <c r="K197" s="242">
        <f t="shared" si="405"/>
        <v>2574.1380000000004</v>
      </c>
      <c r="L197" s="243">
        <f t="shared" si="406"/>
        <v>1</v>
      </c>
      <c r="M197" s="240">
        <f t="shared" si="282"/>
        <v>50.1</v>
      </c>
      <c r="N197" s="240">
        <f t="shared" si="407"/>
        <v>2574.1380000000004</v>
      </c>
      <c r="O197" s="244">
        <f t="shared" si="408"/>
        <v>1</v>
      </c>
      <c r="P197" s="211">
        <f t="shared" si="409"/>
        <v>0</v>
      </c>
      <c r="Q197" s="212">
        <f t="shared" si="410"/>
        <v>0</v>
      </c>
      <c r="R197" s="213">
        <f t="shared" si="411"/>
        <v>0</v>
      </c>
      <c r="S197" s="204">
        <f t="shared" si="392"/>
        <v>2574.1380000000004</v>
      </c>
      <c r="T197" s="204">
        <f t="shared" si="393"/>
        <v>1.9999999994979589E-3</v>
      </c>
    </row>
    <row r="198" spans="1:20" s="2" customFormat="1" x14ac:dyDescent="0.3">
      <c r="A198" s="480" t="s">
        <v>452</v>
      </c>
      <c r="B198" s="452" t="s">
        <v>870</v>
      </c>
      <c r="C198" s="302" t="s">
        <v>94</v>
      </c>
      <c r="D198" s="303">
        <v>124.65</v>
      </c>
      <c r="E198" s="356">
        <v>14.93</v>
      </c>
      <c r="F198" s="356">
        <f t="shared" si="380"/>
        <v>1861.02</v>
      </c>
      <c r="G198" s="278">
        <v>0</v>
      </c>
      <c r="H198" s="240">
        <f t="shared" si="403"/>
        <v>0</v>
      </c>
      <c r="I198" s="241">
        <f t="shared" si="404"/>
        <v>0</v>
      </c>
      <c r="J198" s="419">
        <f t="shared" si="412"/>
        <v>124.65</v>
      </c>
      <c r="K198" s="242">
        <f t="shared" si="405"/>
        <v>1861.0245</v>
      </c>
      <c r="L198" s="243">
        <f t="shared" si="406"/>
        <v>1</v>
      </c>
      <c r="M198" s="240">
        <f t="shared" si="282"/>
        <v>124.65</v>
      </c>
      <c r="N198" s="240">
        <f t="shared" si="407"/>
        <v>1861.0245</v>
      </c>
      <c r="O198" s="244">
        <f t="shared" si="408"/>
        <v>1</v>
      </c>
      <c r="P198" s="211">
        <f t="shared" si="409"/>
        <v>0</v>
      </c>
      <c r="Q198" s="212">
        <f t="shared" si="410"/>
        <v>0</v>
      </c>
      <c r="R198" s="213">
        <f t="shared" si="411"/>
        <v>0</v>
      </c>
      <c r="S198" s="204">
        <f t="shared" si="392"/>
        <v>1861.0245</v>
      </c>
      <c r="T198" s="204">
        <f t="shared" si="393"/>
        <v>-4.500000000007276E-3</v>
      </c>
    </row>
    <row r="199" spans="1:20" s="2" customFormat="1" x14ac:dyDescent="0.3">
      <c r="A199" s="480" t="s">
        <v>453</v>
      </c>
      <c r="B199" s="452" t="s">
        <v>871</v>
      </c>
      <c r="C199" s="302" t="s">
        <v>92</v>
      </c>
      <c r="D199" s="303">
        <v>56.7</v>
      </c>
      <c r="E199" s="356">
        <v>53.33</v>
      </c>
      <c r="F199" s="356">
        <f t="shared" si="380"/>
        <v>3023.81</v>
      </c>
      <c r="G199" s="278">
        <v>0</v>
      </c>
      <c r="H199" s="240">
        <f t="shared" si="403"/>
        <v>0</v>
      </c>
      <c r="I199" s="241">
        <f t="shared" si="404"/>
        <v>0</v>
      </c>
      <c r="J199" s="419">
        <f t="shared" si="412"/>
        <v>56.7</v>
      </c>
      <c r="K199" s="242">
        <f t="shared" si="405"/>
        <v>3023.8110000000001</v>
      </c>
      <c r="L199" s="243">
        <f t="shared" si="406"/>
        <v>1</v>
      </c>
      <c r="M199" s="240">
        <f t="shared" si="282"/>
        <v>56.7</v>
      </c>
      <c r="N199" s="240">
        <f t="shared" si="407"/>
        <v>3023.8110000000001</v>
      </c>
      <c r="O199" s="244">
        <f t="shared" si="408"/>
        <v>1</v>
      </c>
      <c r="P199" s="211">
        <f t="shared" si="409"/>
        <v>0</v>
      </c>
      <c r="Q199" s="212">
        <f t="shared" si="410"/>
        <v>0</v>
      </c>
      <c r="R199" s="213">
        <f t="shared" si="411"/>
        <v>0</v>
      </c>
      <c r="S199" s="204">
        <f t="shared" si="392"/>
        <v>3023.8110000000001</v>
      </c>
      <c r="T199" s="204">
        <f t="shared" si="393"/>
        <v>-1.0000000002037268E-3</v>
      </c>
    </row>
    <row r="200" spans="1:20" s="2" customFormat="1" x14ac:dyDescent="0.3">
      <c r="A200" s="298" t="s">
        <v>454</v>
      </c>
      <c r="B200" s="300" t="s">
        <v>872</v>
      </c>
      <c r="C200" s="302" t="s">
        <v>92</v>
      </c>
      <c r="D200" s="303">
        <v>14.61</v>
      </c>
      <c r="E200" s="356">
        <v>53.33</v>
      </c>
      <c r="F200" s="356">
        <f t="shared" si="380"/>
        <v>779.15</v>
      </c>
      <c r="G200" s="278">
        <v>0</v>
      </c>
      <c r="H200" s="240">
        <f t="shared" si="403"/>
        <v>0</v>
      </c>
      <c r="I200" s="241">
        <f t="shared" si="404"/>
        <v>0</v>
      </c>
      <c r="J200" s="419"/>
      <c r="K200" s="242">
        <f t="shared" si="405"/>
        <v>0</v>
      </c>
      <c r="L200" s="243">
        <f t="shared" si="406"/>
        <v>0</v>
      </c>
      <c r="M200" s="240">
        <f t="shared" si="282"/>
        <v>0</v>
      </c>
      <c r="N200" s="240">
        <f t="shared" si="407"/>
        <v>0</v>
      </c>
      <c r="O200" s="244">
        <f t="shared" si="408"/>
        <v>0</v>
      </c>
      <c r="P200" s="211">
        <f t="shared" si="409"/>
        <v>14.61</v>
      </c>
      <c r="Q200" s="212">
        <f t="shared" si="410"/>
        <v>779.15129999999999</v>
      </c>
      <c r="R200" s="213">
        <f t="shared" si="411"/>
        <v>1</v>
      </c>
      <c r="S200" s="204">
        <f t="shared" si="392"/>
        <v>779.15129999999999</v>
      </c>
      <c r="T200" s="204">
        <f t="shared" si="393"/>
        <v>-1.3000000000147338E-3</v>
      </c>
    </row>
    <row r="201" spans="1:20" s="2" customFormat="1" x14ac:dyDescent="0.3">
      <c r="A201" s="298" t="s">
        <v>455</v>
      </c>
      <c r="B201" s="300" t="s">
        <v>873</v>
      </c>
      <c r="C201" s="302" t="s">
        <v>92</v>
      </c>
      <c r="D201" s="303">
        <v>17.190000000000001</v>
      </c>
      <c r="E201" s="358">
        <v>150.24</v>
      </c>
      <c r="F201" s="358">
        <f t="shared" si="380"/>
        <v>2582.63</v>
      </c>
      <c r="G201" s="278">
        <v>0</v>
      </c>
      <c r="H201" s="240">
        <f t="shared" si="403"/>
        <v>0</v>
      </c>
      <c r="I201" s="241">
        <f t="shared" si="404"/>
        <v>0</v>
      </c>
      <c r="J201" s="419"/>
      <c r="K201" s="242">
        <f t="shared" si="405"/>
        <v>0</v>
      </c>
      <c r="L201" s="243">
        <f t="shared" si="406"/>
        <v>0</v>
      </c>
      <c r="M201" s="240">
        <f t="shared" si="282"/>
        <v>0</v>
      </c>
      <c r="N201" s="240">
        <f t="shared" si="407"/>
        <v>0</v>
      </c>
      <c r="O201" s="244">
        <f t="shared" si="408"/>
        <v>0</v>
      </c>
      <c r="P201" s="211">
        <f t="shared" si="409"/>
        <v>17.190000000000001</v>
      </c>
      <c r="Q201" s="212">
        <f t="shared" si="410"/>
        <v>2582.6256000000003</v>
      </c>
      <c r="R201" s="213">
        <f t="shared" si="411"/>
        <v>1</v>
      </c>
      <c r="S201" s="204">
        <f t="shared" si="392"/>
        <v>2582.6256000000003</v>
      </c>
      <c r="T201" s="204">
        <f t="shared" si="393"/>
        <v>4.3999999998050043E-3</v>
      </c>
    </row>
    <row r="202" spans="1:20" s="2" customFormat="1" x14ac:dyDescent="0.3">
      <c r="A202" s="298" t="s">
        <v>456</v>
      </c>
      <c r="B202" s="300" t="s">
        <v>874</v>
      </c>
      <c r="C202" s="302" t="s">
        <v>92</v>
      </c>
      <c r="D202" s="303">
        <v>26.04</v>
      </c>
      <c r="E202" s="358">
        <v>120.18</v>
      </c>
      <c r="F202" s="358">
        <f t="shared" si="380"/>
        <v>3129.49</v>
      </c>
      <c r="G202" s="278">
        <v>0</v>
      </c>
      <c r="H202" s="240">
        <f t="shared" si="403"/>
        <v>0</v>
      </c>
      <c r="I202" s="241">
        <f t="shared" si="404"/>
        <v>0</v>
      </c>
      <c r="J202" s="419"/>
      <c r="K202" s="242">
        <f t="shared" si="405"/>
        <v>0</v>
      </c>
      <c r="L202" s="243">
        <f t="shared" si="406"/>
        <v>0</v>
      </c>
      <c r="M202" s="240">
        <f t="shared" si="282"/>
        <v>0</v>
      </c>
      <c r="N202" s="240">
        <f t="shared" si="407"/>
        <v>0</v>
      </c>
      <c r="O202" s="244">
        <f t="shared" si="408"/>
        <v>0</v>
      </c>
      <c r="P202" s="211">
        <f t="shared" si="409"/>
        <v>26.04</v>
      </c>
      <c r="Q202" s="212">
        <f t="shared" si="410"/>
        <v>3129.4872</v>
      </c>
      <c r="R202" s="213">
        <f t="shared" si="411"/>
        <v>1</v>
      </c>
      <c r="S202" s="204">
        <f t="shared" si="392"/>
        <v>3129.4872</v>
      </c>
      <c r="T202" s="204">
        <f t="shared" si="393"/>
        <v>2.7999999997518898E-3</v>
      </c>
    </row>
    <row r="203" spans="1:20" s="2" customFormat="1" x14ac:dyDescent="0.3">
      <c r="A203" s="298" t="s">
        <v>457</v>
      </c>
      <c r="B203" s="300" t="s">
        <v>875</v>
      </c>
      <c r="C203" s="302" t="s">
        <v>92</v>
      </c>
      <c r="D203" s="303">
        <v>10.5</v>
      </c>
      <c r="E203" s="356">
        <v>51.67</v>
      </c>
      <c r="F203" s="356">
        <f t="shared" si="380"/>
        <v>542.54</v>
      </c>
      <c r="G203" s="278">
        <v>0</v>
      </c>
      <c r="H203" s="240">
        <f t="shared" si="403"/>
        <v>0</v>
      </c>
      <c r="I203" s="241">
        <f t="shared" si="404"/>
        <v>0</v>
      </c>
      <c r="J203" s="419"/>
      <c r="K203" s="242">
        <f t="shared" si="405"/>
        <v>0</v>
      </c>
      <c r="L203" s="243">
        <f t="shared" si="406"/>
        <v>0</v>
      </c>
      <c r="M203" s="240">
        <f t="shared" si="282"/>
        <v>0</v>
      </c>
      <c r="N203" s="240">
        <f t="shared" si="407"/>
        <v>0</v>
      </c>
      <c r="O203" s="244">
        <f t="shared" si="408"/>
        <v>0</v>
      </c>
      <c r="P203" s="211">
        <f t="shared" si="409"/>
        <v>10.5</v>
      </c>
      <c r="Q203" s="212">
        <f t="shared" si="410"/>
        <v>542.53499999999997</v>
      </c>
      <c r="R203" s="213">
        <f t="shared" si="411"/>
        <v>1</v>
      </c>
      <c r="S203" s="204">
        <f t="shared" si="392"/>
        <v>542.53499999999997</v>
      </c>
      <c r="T203" s="204">
        <f t="shared" si="393"/>
        <v>4.9999999999954525E-3</v>
      </c>
    </row>
    <row r="204" spans="1:20" s="2" customFormat="1" x14ac:dyDescent="0.3">
      <c r="A204" s="298" t="s">
        <v>458</v>
      </c>
      <c r="B204" s="300" t="s">
        <v>876</v>
      </c>
      <c r="C204" s="302" t="s">
        <v>89</v>
      </c>
      <c r="D204" s="303">
        <v>2</v>
      </c>
      <c r="E204" s="356">
        <v>32.61</v>
      </c>
      <c r="F204" s="356">
        <f t="shared" si="380"/>
        <v>65.22</v>
      </c>
      <c r="G204" s="278">
        <v>0</v>
      </c>
      <c r="H204" s="240">
        <f>G204*E204</f>
        <v>0</v>
      </c>
      <c r="I204" s="241">
        <f t="shared" si="0"/>
        <v>0</v>
      </c>
      <c r="J204" s="419"/>
      <c r="K204" s="242">
        <f>J204*E204</f>
        <v>0</v>
      </c>
      <c r="L204" s="243">
        <f>+J204/D204</f>
        <v>0</v>
      </c>
      <c r="M204" s="240">
        <f t="shared" si="282"/>
        <v>0</v>
      </c>
      <c r="N204" s="240">
        <f>M204*E204</f>
        <v>0</v>
      </c>
      <c r="O204" s="244">
        <f>+M204/D204</f>
        <v>0</v>
      </c>
      <c r="P204" s="211">
        <f>+D204-M204</f>
        <v>2</v>
      </c>
      <c r="Q204" s="212">
        <f>P204*E204</f>
        <v>65.22</v>
      </c>
      <c r="R204" s="213">
        <f>+P204/D204</f>
        <v>1</v>
      </c>
      <c r="S204" s="204">
        <f>N204+Q204</f>
        <v>65.22</v>
      </c>
      <c r="T204" s="204">
        <f>F204-S204</f>
        <v>0</v>
      </c>
    </row>
    <row r="205" spans="1:20" s="2" customFormat="1" x14ac:dyDescent="0.3">
      <c r="A205" s="304" t="s">
        <v>459</v>
      </c>
      <c r="B205" s="305" t="s">
        <v>877</v>
      </c>
      <c r="C205" s="320" t="s">
        <v>160</v>
      </c>
      <c r="D205" s="321"/>
      <c r="E205" s="349"/>
      <c r="F205" s="350">
        <f>SUM(F206:F208)</f>
        <v>9705.5999999999985</v>
      </c>
      <c r="G205" s="308"/>
      <c r="H205" s="309" t="s">
        <v>110</v>
      </c>
      <c r="I205" s="323" t="s">
        <v>110</v>
      </c>
      <c r="J205" s="419"/>
      <c r="K205" s="309" t="s">
        <v>110</v>
      </c>
      <c r="L205" s="324" t="s">
        <v>110</v>
      </c>
      <c r="M205" s="309"/>
      <c r="N205" s="309" t="s">
        <v>110</v>
      </c>
      <c r="O205" s="324" t="s">
        <v>110</v>
      </c>
      <c r="P205" s="326" t="s">
        <v>110</v>
      </c>
      <c r="Q205" s="309" t="s">
        <v>110</v>
      </c>
      <c r="R205" s="324" t="s">
        <v>110</v>
      </c>
      <c r="S205" s="204" t="s">
        <v>110</v>
      </c>
      <c r="T205" s="204" t="s">
        <v>110</v>
      </c>
    </row>
    <row r="206" spans="1:20" s="2" customFormat="1" x14ac:dyDescent="0.3">
      <c r="A206" s="480" t="s">
        <v>460</v>
      </c>
      <c r="B206" s="452" t="s">
        <v>878</v>
      </c>
      <c r="C206" s="302" t="s">
        <v>92</v>
      </c>
      <c r="D206" s="303">
        <v>117.64</v>
      </c>
      <c r="E206" s="356">
        <v>60.99</v>
      </c>
      <c r="F206" s="356">
        <f t="shared" si="380"/>
        <v>7174.86</v>
      </c>
      <c r="G206" s="278">
        <v>0</v>
      </c>
      <c r="H206" s="240">
        <f t="shared" ref="H206:H208" si="413">G206*E206</f>
        <v>0</v>
      </c>
      <c r="I206" s="241">
        <f t="shared" ref="I206:I208" si="414">+G206/D206</f>
        <v>0</v>
      </c>
      <c r="J206" s="419">
        <f>+D206</f>
        <v>117.64</v>
      </c>
      <c r="K206" s="242">
        <f t="shared" ref="K206:K208" si="415">J206*E206</f>
        <v>7174.8636000000006</v>
      </c>
      <c r="L206" s="243">
        <f t="shared" ref="L206:L208" si="416">+J206/D206</f>
        <v>1</v>
      </c>
      <c r="M206" s="240">
        <f t="shared" si="282"/>
        <v>117.64</v>
      </c>
      <c r="N206" s="240">
        <f t="shared" ref="N206:N208" si="417">M206*E206</f>
        <v>7174.8636000000006</v>
      </c>
      <c r="O206" s="244">
        <f t="shared" ref="O206:O208" si="418">+M206/D206</f>
        <v>1</v>
      </c>
      <c r="P206" s="211">
        <f t="shared" ref="P206:P208" si="419">+D206-M206</f>
        <v>0</v>
      </c>
      <c r="Q206" s="212">
        <f t="shared" ref="Q206:Q208" si="420">P206*E206</f>
        <v>0</v>
      </c>
      <c r="R206" s="213">
        <f t="shared" ref="R206:R208" si="421">+P206/D206</f>
        <v>0</v>
      </c>
      <c r="S206" s="204">
        <f t="shared" ref="S206:S208" si="422">N206+Q206</f>
        <v>7174.8636000000006</v>
      </c>
      <c r="T206" s="204">
        <f t="shared" ref="T206:T208" si="423">F206-S206</f>
        <v>-3.6000000009153155E-3</v>
      </c>
    </row>
    <row r="207" spans="1:20" s="2" customFormat="1" x14ac:dyDescent="0.3">
      <c r="A207" s="298" t="s">
        <v>461</v>
      </c>
      <c r="B207" s="300" t="s">
        <v>879</v>
      </c>
      <c r="C207" s="302" t="s">
        <v>92</v>
      </c>
      <c r="D207" s="303">
        <v>1</v>
      </c>
      <c r="E207" s="356">
        <v>259.27999999999997</v>
      </c>
      <c r="F207" s="356">
        <f t="shared" si="380"/>
        <v>259.27999999999997</v>
      </c>
      <c r="G207" s="278">
        <v>0</v>
      </c>
      <c r="H207" s="240">
        <f t="shared" si="413"/>
        <v>0</v>
      </c>
      <c r="I207" s="241">
        <f t="shared" si="414"/>
        <v>0</v>
      </c>
      <c r="J207" s="419"/>
      <c r="K207" s="242">
        <f t="shared" si="415"/>
        <v>0</v>
      </c>
      <c r="L207" s="243">
        <f t="shared" si="416"/>
        <v>0</v>
      </c>
      <c r="M207" s="240">
        <f t="shared" si="282"/>
        <v>0</v>
      </c>
      <c r="N207" s="240">
        <f t="shared" si="417"/>
        <v>0</v>
      </c>
      <c r="O207" s="244">
        <f t="shared" si="418"/>
        <v>0</v>
      </c>
      <c r="P207" s="211">
        <f t="shared" si="419"/>
        <v>1</v>
      </c>
      <c r="Q207" s="212">
        <f t="shared" si="420"/>
        <v>259.27999999999997</v>
      </c>
      <c r="R207" s="213">
        <f t="shared" si="421"/>
        <v>1</v>
      </c>
      <c r="S207" s="204">
        <f t="shared" si="422"/>
        <v>259.27999999999997</v>
      </c>
      <c r="T207" s="204">
        <f t="shared" si="423"/>
        <v>0</v>
      </c>
    </row>
    <row r="208" spans="1:20" s="2" customFormat="1" x14ac:dyDescent="0.3">
      <c r="A208" s="298" t="s">
        <v>462</v>
      </c>
      <c r="B208" s="300" t="s">
        <v>880</v>
      </c>
      <c r="C208" s="302" t="s">
        <v>92</v>
      </c>
      <c r="D208" s="303">
        <v>12.46</v>
      </c>
      <c r="E208" s="358">
        <v>182.3</v>
      </c>
      <c r="F208" s="358">
        <f t="shared" si="380"/>
        <v>2271.46</v>
      </c>
      <c r="G208" s="278">
        <v>0</v>
      </c>
      <c r="H208" s="240">
        <f t="shared" si="413"/>
        <v>0</v>
      </c>
      <c r="I208" s="241">
        <f t="shared" si="414"/>
        <v>0</v>
      </c>
      <c r="J208" s="419"/>
      <c r="K208" s="242">
        <f t="shared" si="415"/>
        <v>0</v>
      </c>
      <c r="L208" s="243">
        <f t="shared" si="416"/>
        <v>0</v>
      </c>
      <c r="M208" s="240">
        <f t="shared" si="282"/>
        <v>0</v>
      </c>
      <c r="N208" s="240">
        <f t="shared" si="417"/>
        <v>0</v>
      </c>
      <c r="O208" s="244">
        <f t="shared" si="418"/>
        <v>0</v>
      </c>
      <c r="P208" s="211">
        <f t="shared" si="419"/>
        <v>12.46</v>
      </c>
      <c r="Q208" s="212">
        <f t="shared" si="420"/>
        <v>2271.4580000000001</v>
      </c>
      <c r="R208" s="213">
        <f t="shared" si="421"/>
        <v>1</v>
      </c>
      <c r="S208" s="204">
        <f t="shared" si="422"/>
        <v>2271.4580000000001</v>
      </c>
      <c r="T208" s="204">
        <f t="shared" si="423"/>
        <v>1.9999999999527063E-3</v>
      </c>
    </row>
    <row r="209" spans="1:20" s="2" customFormat="1" x14ac:dyDescent="0.3">
      <c r="A209" s="304" t="s">
        <v>463</v>
      </c>
      <c r="B209" s="305" t="s">
        <v>881</v>
      </c>
      <c r="C209" s="320" t="s">
        <v>160</v>
      </c>
      <c r="D209" s="321"/>
      <c r="E209" s="349"/>
      <c r="F209" s="350">
        <f>SUM(F210:F214)</f>
        <v>35749.46</v>
      </c>
      <c r="G209" s="308"/>
      <c r="H209" s="309" t="s">
        <v>110</v>
      </c>
      <c r="I209" s="323" t="s">
        <v>110</v>
      </c>
      <c r="J209" s="419"/>
      <c r="K209" s="309" t="s">
        <v>110</v>
      </c>
      <c r="L209" s="324" t="s">
        <v>110</v>
      </c>
      <c r="M209" s="309"/>
      <c r="N209" s="309" t="s">
        <v>110</v>
      </c>
      <c r="O209" s="324" t="s">
        <v>110</v>
      </c>
      <c r="P209" s="326" t="s">
        <v>110</v>
      </c>
      <c r="Q209" s="309" t="s">
        <v>110</v>
      </c>
      <c r="R209" s="324" t="s">
        <v>110</v>
      </c>
      <c r="S209" s="204" t="e">
        <f>N209+Q209</f>
        <v>#VALUE!</v>
      </c>
      <c r="T209" s="204" t="e">
        <f>F209-S209</f>
        <v>#VALUE!</v>
      </c>
    </row>
    <row r="210" spans="1:20" s="2" customFormat="1" x14ac:dyDescent="0.3">
      <c r="A210" s="298" t="s">
        <v>464</v>
      </c>
      <c r="B210" s="300" t="s">
        <v>882</v>
      </c>
      <c r="C210" s="302" t="s">
        <v>92</v>
      </c>
      <c r="D210" s="303">
        <v>121.73</v>
      </c>
      <c r="E210" s="356">
        <v>31.63</v>
      </c>
      <c r="F210" s="356">
        <f t="shared" si="380"/>
        <v>3850.32</v>
      </c>
      <c r="G210" s="278">
        <v>0</v>
      </c>
      <c r="H210" s="240">
        <f t="shared" ref="H210:H214" si="424">G210*E210</f>
        <v>0</v>
      </c>
      <c r="I210" s="241">
        <f t="shared" ref="I210:I214" si="425">+G210/D210</f>
        <v>0</v>
      </c>
      <c r="J210" s="419"/>
      <c r="K210" s="242">
        <f t="shared" ref="K210:K214" si="426">J210*E210</f>
        <v>0</v>
      </c>
      <c r="L210" s="243">
        <f t="shared" ref="L210:L214" si="427">+J210/D210</f>
        <v>0</v>
      </c>
      <c r="M210" s="240">
        <f t="shared" si="282"/>
        <v>0</v>
      </c>
      <c r="N210" s="240">
        <f t="shared" ref="N210:N214" si="428">M210*E210</f>
        <v>0</v>
      </c>
      <c r="O210" s="244">
        <f t="shared" ref="O210:O214" si="429">+M210/D210</f>
        <v>0</v>
      </c>
      <c r="P210" s="211">
        <f t="shared" ref="P210:P214" si="430">+D210-M210</f>
        <v>121.73</v>
      </c>
      <c r="Q210" s="212">
        <f t="shared" ref="Q210:Q214" si="431">P210*E210</f>
        <v>3850.3199</v>
      </c>
      <c r="R210" s="213">
        <f t="shared" ref="R210:R214" si="432">+P210/D210</f>
        <v>1</v>
      </c>
      <c r="S210" s="204">
        <f t="shared" ref="S210:S214" si="433">N210+Q210</f>
        <v>3850.3199</v>
      </c>
      <c r="T210" s="204">
        <f t="shared" ref="T210:T214" si="434">F210-S210</f>
        <v>1.0000000020227162E-4</v>
      </c>
    </row>
    <row r="211" spans="1:20" s="2" customFormat="1" x14ac:dyDescent="0.3">
      <c r="A211" s="298" t="s">
        <v>465</v>
      </c>
      <c r="B211" s="300" t="s">
        <v>883</v>
      </c>
      <c r="C211" s="302" t="s">
        <v>92</v>
      </c>
      <c r="D211" s="303">
        <v>74.64</v>
      </c>
      <c r="E211" s="358">
        <v>86.41</v>
      </c>
      <c r="F211" s="358">
        <f t="shared" si="380"/>
        <v>6449.64</v>
      </c>
      <c r="G211" s="278">
        <v>0</v>
      </c>
      <c r="H211" s="240">
        <f t="shared" si="424"/>
        <v>0</v>
      </c>
      <c r="I211" s="241">
        <f t="shared" si="425"/>
        <v>0</v>
      </c>
      <c r="J211" s="419"/>
      <c r="K211" s="242">
        <f t="shared" si="426"/>
        <v>0</v>
      </c>
      <c r="L211" s="243">
        <f t="shared" si="427"/>
        <v>0</v>
      </c>
      <c r="M211" s="240">
        <f t="shared" ref="M211:M274" si="435">+G211+J211</f>
        <v>0</v>
      </c>
      <c r="N211" s="240">
        <f t="shared" si="428"/>
        <v>0</v>
      </c>
      <c r="O211" s="244">
        <f t="shared" si="429"/>
        <v>0</v>
      </c>
      <c r="P211" s="211">
        <f t="shared" si="430"/>
        <v>74.64</v>
      </c>
      <c r="Q211" s="212">
        <f t="shared" si="431"/>
        <v>6449.6423999999997</v>
      </c>
      <c r="R211" s="213">
        <f t="shared" si="432"/>
        <v>1</v>
      </c>
      <c r="S211" s="204">
        <f t="shared" si="433"/>
        <v>6449.6423999999997</v>
      </c>
      <c r="T211" s="204">
        <f t="shared" si="434"/>
        <v>-2.3999999993975507E-3</v>
      </c>
    </row>
    <row r="212" spans="1:20" s="2" customFormat="1" x14ac:dyDescent="0.3">
      <c r="A212" s="298" t="s">
        <v>466</v>
      </c>
      <c r="B212" s="300" t="s">
        <v>884</v>
      </c>
      <c r="C212" s="302" t="s">
        <v>92</v>
      </c>
      <c r="D212" s="303">
        <v>47.09</v>
      </c>
      <c r="E212" s="356">
        <v>75.930000000000007</v>
      </c>
      <c r="F212" s="356">
        <f t="shared" si="380"/>
        <v>3575.54</v>
      </c>
      <c r="G212" s="278">
        <v>0</v>
      </c>
      <c r="H212" s="240">
        <f t="shared" si="424"/>
        <v>0</v>
      </c>
      <c r="I212" s="241">
        <f t="shared" si="425"/>
        <v>0</v>
      </c>
      <c r="J212" s="419"/>
      <c r="K212" s="242">
        <f t="shared" si="426"/>
        <v>0</v>
      </c>
      <c r="L212" s="243">
        <f t="shared" si="427"/>
        <v>0</v>
      </c>
      <c r="M212" s="240">
        <f t="shared" si="435"/>
        <v>0</v>
      </c>
      <c r="N212" s="240">
        <f t="shared" si="428"/>
        <v>0</v>
      </c>
      <c r="O212" s="244">
        <f t="shared" si="429"/>
        <v>0</v>
      </c>
      <c r="P212" s="211">
        <f t="shared" si="430"/>
        <v>47.09</v>
      </c>
      <c r="Q212" s="212">
        <f t="shared" si="431"/>
        <v>3575.5437000000006</v>
      </c>
      <c r="R212" s="213">
        <f t="shared" si="432"/>
        <v>1</v>
      </c>
      <c r="S212" s="204">
        <f t="shared" si="433"/>
        <v>3575.5437000000006</v>
      </c>
      <c r="T212" s="204">
        <f t="shared" si="434"/>
        <v>-3.7000000006628397E-3</v>
      </c>
    </row>
    <row r="213" spans="1:20" s="2" customFormat="1" x14ac:dyDescent="0.3">
      <c r="A213" s="298" t="s">
        <v>467</v>
      </c>
      <c r="B213" s="300" t="s">
        <v>885</v>
      </c>
      <c r="C213" s="302" t="s">
        <v>92</v>
      </c>
      <c r="D213" s="303">
        <v>30.1</v>
      </c>
      <c r="E213" s="356">
        <v>368.92</v>
      </c>
      <c r="F213" s="356">
        <f t="shared" si="380"/>
        <v>11104.49</v>
      </c>
      <c r="G213" s="278">
        <v>0</v>
      </c>
      <c r="H213" s="240">
        <f t="shared" si="424"/>
        <v>0</v>
      </c>
      <c r="I213" s="241">
        <f t="shared" si="425"/>
        <v>0</v>
      </c>
      <c r="J213" s="419"/>
      <c r="K213" s="242">
        <f t="shared" si="426"/>
        <v>0</v>
      </c>
      <c r="L213" s="243">
        <f t="shared" si="427"/>
        <v>0</v>
      </c>
      <c r="M213" s="240">
        <f t="shared" si="435"/>
        <v>0</v>
      </c>
      <c r="N213" s="240">
        <f t="shared" si="428"/>
        <v>0</v>
      </c>
      <c r="O213" s="244">
        <f t="shared" si="429"/>
        <v>0</v>
      </c>
      <c r="P213" s="211">
        <f t="shared" si="430"/>
        <v>30.1</v>
      </c>
      <c r="Q213" s="212">
        <f t="shared" si="431"/>
        <v>11104.492</v>
      </c>
      <c r="R213" s="213">
        <f t="shared" si="432"/>
        <v>1</v>
      </c>
      <c r="S213" s="204">
        <f t="shared" si="433"/>
        <v>11104.492</v>
      </c>
      <c r="T213" s="204">
        <f t="shared" si="434"/>
        <v>-2.0000000004074536E-3</v>
      </c>
    </row>
    <row r="214" spans="1:20" s="2" customFormat="1" x14ac:dyDescent="0.3">
      <c r="A214" s="298" t="s">
        <v>468</v>
      </c>
      <c r="B214" s="300" t="s">
        <v>886</v>
      </c>
      <c r="C214" s="302" t="s">
        <v>92</v>
      </c>
      <c r="D214" s="303">
        <v>134.4</v>
      </c>
      <c r="E214" s="356">
        <v>80.13</v>
      </c>
      <c r="F214" s="356">
        <f t="shared" si="380"/>
        <v>10769.47</v>
      </c>
      <c r="G214" s="278">
        <v>0</v>
      </c>
      <c r="H214" s="240">
        <f t="shared" si="424"/>
        <v>0</v>
      </c>
      <c r="I214" s="241">
        <f t="shared" si="425"/>
        <v>0</v>
      </c>
      <c r="J214" s="419"/>
      <c r="K214" s="242">
        <f t="shared" si="426"/>
        <v>0</v>
      </c>
      <c r="L214" s="243">
        <f t="shared" si="427"/>
        <v>0</v>
      </c>
      <c r="M214" s="240">
        <f t="shared" si="435"/>
        <v>0</v>
      </c>
      <c r="N214" s="240">
        <f t="shared" si="428"/>
        <v>0</v>
      </c>
      <c r="O214" s="244">
        <f t="shared" si="429"/>
        <v>0</v>
      </c>
      <c r="P214" s="211">
        <f t="shared" si="430"/>
        <v>134.4</v>
      </c>
      <c r="Q214" s="212">
        <f t="shared" si="431"/>
        <v>10769.472</v>
      </c>
      <c r="R214" s="213">
        <f t="shared" si="432"/>
        <v>1</v>
      </c>
      <c r="S214" s="204">
        <f t="shared" si="433"/>
        <v>10769.472</v>
      </c>
      <c r="T214" s="204">
        <f t="shared" si="434"/>
        <v>-2.0000000004074536E-3</v>
      </c>
    </row>
    <row r="215" spans="1:20" s="2" customFormat="1" x14ac:dyDescent="0.3">
      <c r="A215" s="304" t="s">
        <v>469</v>
      </c>
      <c r="B215" s="305" t="s">
        <v>887</v>
      </c>
      <c r="C215" s="320" t="s">
        <v>160</v>
      </c>
      <c r="D215" s="321"/>
      <c r="E215" s="349"/>
      <c r="F215" s="350">
        <f>SUM(F216:F219)</f>
        <v>4112.0200000000004</v>
      </c>
      <c r="G215" s="308"/>
      <c r="H215" s="309" t="s">
        <v>110</v>
      </c>
      <c r="I215" s="323" t="s">
        <v>110</v>
      </c>
      <c r="J215" s="419"/>
      <c r="K215" s="309" t="s">
        <v>110</v>
      </c>
      <c r="L215" s="324" t="s">
        <v>110</v>
      </c>
      <c r="M215" s="309"/>
      <c r="N215" s="309" t="s">
        <v>110</v>
      </c>
      <c r="O215" s="324" t="s">
        <v>110</v>
      </c>
      <c r="P215" s="326" t="s">
        <v>110</v>
      </c>
      <c r="Q215" s="309" t="s">
        <v>110</v>
      </c>
      <c r="R215" s="324" t="s">
        <v>110</v>
      </c>
      <c r="S215" s="204" t="e">
        <f t="shared" ref="S215:S219" si="436">N215+Q215</f>
        <v>#VALUE!</v>
      </c>
      <c r="T215" s="204" t="e">
        <f t="shared" ref="T215:T219" si="437">F215-S215</f>
        <v>#VALUE!</v>
      </c>
    </row>
    <row r="216" spans="1:20" s="2" customFormat="1" x14ac:dyDescent="0.3">
      <c r="A216" s="298" t="s">
        <v>470</v>
      </c>
      <c r="B216" s="300" t="s">
        <v>888</v>
      </c>
      <c r="C216" s="302" t="s">
        <v>92</v>
      </c>
      <c r="D216" s="303">
        <v>21.82</v>
      </c>
      <c r="E216" s="358">
        <v>87.25</v>
      </c>
      <c r="F216" s="358">
        <f t="shared" si="380"/>
        <v>1903.8</v>
      </c>
      <c r="G216" s="278">
        <v>0</v>
      </c>
      <c r="H216" s="240">
        <f t="shared" ref="H216:H219" si="438">G216*E216</f>
        <v>0</v>
      </c>
      <c r="I216" s="241">
        <f t="shared" ref="I216:I219" si="439">+G216/D216</f>
        <v>0</v>
      </c>
      <c r="J216" s="419"/>
      <c r="K216" s="242">
        <f t="shared" ref="K216:K219" si="440">J216*E216</f>
        <v>0</v>
      </c>
      <c r="L216" s="243">
        <f t="shared" ref="L216:L219" si="441">+J216/D216</f>
        <v>0</v>
      </c>
      <c r="M216" s="240">
        <f t="shared" si="435"/>
        <v>0</v>
      </c>
      <c r="N216" s="240">
        <f t="shared" ref="N216:N219" si="442">M216*E216</f>
        <v>0</v>
      </c>
      <c r="O216" s="244">
        <f t="shared" ref="O216:O219" si="443">+M216/D216</f>
        <v>0</v>
      </c>
      <c r="P216" s="211">
        <f t="shared" ref="P216:P219" si="444">+D216-M216</f>
        <v>21.82</v>
      </c>
      <c r="Q216" s="212">
        <f t="shared" ref="Q216:Q219" si="445">P216*E216</f>
        <v>1903.7950000000001</v>
      </c>
      <c r="R216" s="213">
        <f t="shared" ref="R216:R219" si="446">+P216/D216</f>
        <v>1</v>
      </c>
      <c r="S216" s="204">
        <f t="shared" si="436"/>
        <v>1903.7950000000001</v>
      </c>
      <c r="T216" s="204">
        <f t="shared" si="437"/>
        <v>4.9999999998817657E-3</v>
      </c>
    </row>
    <row r="217" spans="1:20" s="2" customFormat="1" x14ac:dyDescent="0.3">
      <c r="A217" s="298" t="s">
        <v>471</v>
      </c>
      <c r="B217" s="300" t="s">
        <v>889</v>
      </c>
      <c r="C217" s="302" t="s">
        <v>94</v>
      </c>
      <c r="D217" s="303">
        <v>49.15</v>
      </c>
      <c r="E217" s="356">
        <v>15.63</v>
      </c>
      <c r="F217" s="356">
        <f t="shared" si="380"/>
        <v>768.21</v>
      </c>
      <c r="G217" s="278">
        <v>0</v>
      </c>
      <c r="H217" s="240">
        <f t="shared" si="438"/>
        <v>0</v>
      </c>
      <c r="I217" s="241">
        <f t="shared" si="439"/>
        <v>0</v>
      </c>
      <c r="J217" s="419"/>
      <c r="K217" s="242">
        <f t="shared" si="440"/>
        <v>0</v>
      </c>
      <c r="L217" s="243">
        <f t="shared" si="441"/>
        <v>0</v>
      </c>
      <c r="M217" s="240">
        <f t="shared" si="435"/>
        <v>0</v>
      </c>
      <c r="N217" s="240">
        <f t="shared" si="442"/>
        <v>0</v>
      </c>
      <c r="O217" s="244">
        <f t="shared" si="443"/>
        <v>0</v>
      </c>
      <c r="P217" s="211">
        <f t="shared" si="444"/>
        <v>49.15</v>
      </c>
      <c r="Q217" s="212">
        <f t="shared" si="445"/>
        <v>768.21450000000004</v>
      </c>
      <c r="R217" s="213">
        <f t="shared" si="446"/>
        <v>1</v>
      </c>
      <c r="S217" s="204">
        <f t="shared" si="436"/>
        <v>768.21450000000004</v>
      </c>
      <c r="T217" s="204">
        <f t="shared" si="437"/>
        <v>-4.500000000007276E-3</v>
      </c>
    </row>
    <row r="218" spans="1:20" s="2" customFormat="1" x14ac:dyDescent="0.3">
      <c r="A218" s="298" t="s">
        <v>472</v>
      </c>
      <c r="B218" s="300" t="s">
        <v>890</v>
      </c>
      <c r="C218" s="302" t="s">
        <v>94</v>
      </c>
      <c r="D218" s="303">
        <v>28.75</v>
      </c>
      <c r="E218" s="356">
        <v>14.58</v>
      </c>
      <c r="F218" s="356">
        <f t="shared" si="380"/>
        <v>419.18</v>
      </c>
      <c r="G218" s="278">
        <v>0</v>
      </c>
      <c r="H218" s="240">
        <f t="shared" si="438"/>
        <v>0</v>
      </c>
      <c r="I218" s="241">
        <f t="shared" si="439"/>
        <v>0</v>
      </c>
      <c r="J218" s="419"/>
      <c r="K218" s="242">
        <f t="shared" si="440"/>
        <v>0</v>
      </c>
      <c r="L218" s="243">
        <f t="shared" si="441"/>
        <v>0</v>
      </c>
      <c r="M218" s="240">
        <f t="shared" si="435"/>
        <v>0</v>
      </c>
      <c r="N218" s="240">
        <f t="shared" si="442"/>
        <v>0</v>
      </c>
      <c r="O218" s="244">
        <f t="shared" si="443"/>
        <v>0</v>
      </c>
      <c r="P218" s="211">
        <f t="shared" si="444"/>
        <v>28.75</v>
      </c>
      <c r="Q218" s="212">
        <f t="shared" si="445"/>
        <v>419.17500000000001</v>
      </c>
      <c r="R218" s="213">
        <f t="shared" si="446"/>
        <v>1</v>
      </c>
      <c r="S218" s="204">
        <f t="shared" si="436"/>
        <v>419.17500000000001</v>
      </c>
      <c r="T218" s="204">
        <f t="shared" si="437"/>
        <v>4.9999999999954525E-3</v>
      </c>
    </row>
    <row r="219" spans="1:20" s="2" customFormat="1" x14ac:dyDescent="0.3">
      <c r="A219" s="298" t="s">
        <v>473</v>
      </c>
      <c r="B219" s="300" t="s">
        <v>891</v>
      </c>
      <c r="C219" s="302" t="s">
        <v>92</v>
      </c>
      <c r="D219" s="303">
        <v>11.7</v>
      </c>
      <c r="E219" s="358">
        <v>87.25</v>
      </c>
      <c r="F219" s="358">
        <f t="shared" si="380"/>
        <v>1020.83</v>
      </c>
      <c r="G219" s="278">
        <v>0</v>
      </c>
      <c r="H219" s="240">
        <f t="shared" si="438"/>
        <v>0</v>
      </c>
      <c r="I219" s="241">
        <f t="shared" si="439"/>
        <v>0</v>
      </c>
      <c r="J219" s="419"/>
      <c r="K219" s="242">
        <f t="shared" si="440"/>
        <v>0</v>
      </c>
      <c r="L219" s="243">
        <f t="shared" si="441"/>
        <v>0</v>
      </c>
      <c r="M219" s="240">
        <f t="shared" si="435"/>
        <v>0</v>
      </c>
      <c r="N219" s="240">
        <f t="shared" si="442"/>
        <v>0</v>
      </c>
      <c r="O219" s="244">
        <f t="shared" si="443"/>
        <v>0</v>
      </c>
      <c r="P219" s="211">
        <f t="shared" si="444"/>
        <v>11.7</v>
      </c>
      <c r="Q219" s="212">
        <f t="shared" si="445"/>
        <v>1020.8249999999999</v>
      </c>
      <c r="R219" s="213">
        <f t="shared" si="446"/>
        <v>1</v>
      </c>
      <c r="S219" s="204">
        <f t="shared" si="436"/>
        <v>1020.8249999999999</v>
      </c>
      <c r="T219" s="204">
        <f t="shared" si="437"/>
        <v>5.0000000001091394E-3</v>
      </c>
    </row>
    <row r="220" spans="1:20" s="2" customFormat="1" x14ac:dyDescent="0.3">
      <c r="A220" s="304" t="s">
        <v>474</v>
      </c>
      <c r="B220" s="305" t="s">
        <v>892</v>
      </c>
      <c r="C220" s="320" t="s">
        <v>160</v>
      </c>
      <c r="D220" s="321"/>
      <c r="E220" s="349"/>
      <c r="F220" s="350">
        <f>SUM(F221:F223)</f>
        <v>3703.4</v>
      </c>
      <c r="G220" s="308"/>
      <c r="H220" s="309" t="s">
        <v>110</v>
      </c>
      <c r="I220" s="323" t="s">
        <v>110</v>
      </c>
      <c r="J220" s="419"/>
      <c r="K220" s="309" t="s">
        <v>110</v>
      </c>
      <c r="L220" s="324" t="s">
        <v>110</v>
      </c>
      <c r="M220" s="309"/>
      <c r="N220" s="309" t="s">
        <v>110</v>
      </c>
      <c r="O220" s="324" t="s">
        <v>110</v>
      </c>
      <c r="P220" s="326" t="s">
        <v>110</v>
      </c>
      <c r="Q220" s="309" t="s">
        <v>110</v>
      </c>
      <c r="R220" s="324" t="s">
        <v>110</v>
      </c>
      <c r="S220" s="204" t="s">
        <v>110</v>
      </c>
      <c r="T220" s="204" t="s">
        <v>110</v>
      </c>
    </row>
    <row r="221" spans="1:20" s="2" customFormat="1" x14ac:dyDescent="0.3">
      <c r="A221" s="298" t="s">
        <v>475</v>
      </c>
      <c r="B221" s="300" t="s">
        <v>893</v>
      </c>
      <c r="C221" s="302" t="s">
        <v>89</v>
      </c>
      <c r="D221" s="303">
        <v>2</v>
      </c>
      <c r="E221" s="358">
        <v>925.85</v>
      </c>
      <c r="F221" s="358">
        <f t="shared" si="380"/>
        <v>1851.7</v>
      </c>
      <c r="G221" s="278">
        <v>0</v>
      </c>
      <c r="H221" s="240">
        <f t="shared" ref="H221:H223" si="447">G221*E221</f>
        <v>0</v>
      </c>
      <c r="I221" s="241">
        <f t="shared" ref="I221:I223" si="448">+G221/D221</f>
        <v>0</v>
      </c>
      <c r="J221" s="419"/>
      <c r="K221" s="242">
        <f t="shared" ref="K221:K223" si="449">J221*E221</f>
        <v>0</v>
      </c>
      <c r="L221" s="243">
        <f t="shared" ref="L221:L223" si="450">+J221/D221</f>
        <v>0</v>
      </c>
      <c r="M221" s="240">
        <f t="shared" si="435"/>
        <v>0</v>
      </c>
      <c r="N221" s="240">
        <f t="shared" ref="N221:N223" si="451">M221*E221</f>
        <v>0</v>
      </c>
      <c r="O221" s="244">
        <f t="shared" ref="O221:O223" si="452">+M221/D221</f>
        <v>0</v>
      </c>
      <c r="P221" s="211">
        <f t="shared" ref="P221:P223" si="453">+D221-M221</f>
        <v>2</v>
      </c>
      <c r="Q221" s="212">
        <f t="shared" ref="Q221:Q223" si="454">P221*E221</f>
        <v>1851.7</v>
      </c>
      <c r="R221" s="213">
        <f t="shared" ref="R221:R223" si="455">+P221/D221</f>
        <v>1</v>
      </c>
      <c r="S221" s="204">
        <f t="shared" ref="S221:S223" si="456">N221+Q221</f>
        <v>1851.7</v>
      </c>
      <c r="T221" s="204">
        <f t="shared" ref="T221:T223" si="457">F221-S221</f>
        <v>0</v>
      </c>
    </row>
    <row r="222" spans="1:20" s="2" customFormat="1" x14ac:dyDescent="0.3">
      <c r="A222" s="298" t="s">
        <v>476</v>
      </c>
      <c r="B222" s="300" t="s">
        <v>894</v>
      </c>
      <c r="C222" s="302" t="s">
        <v>89</v>
      </c>
      <c r="D222" s="303">
        <v>1</v>
      </c>
      <c r="E222" s="358">
        <v>925.85</v>
      </c>
      <c r="F222" s="358">
        <f t="shared" si="380"/>
        <v>925.85</v>
      </c>
      <c r="G222" s="278">
        <v>0</v>
      </c>
      <c r="H222" s="240">
        <f t="shared" si="447"/>
        <v>0</v>
      </c>
      <c r="I222" s="241">
        <f t="shared" si="448"/>
        <v>0</v>
      </c>
      <c r="J222" s="419"/>
      <c r="K222" s="242">
        <f t="shared" si="449"/>
        <v>0</v>
      </c>
      <c r="L222" s="243">
        <f t="shared" si="450"/>
        <v>0</v>
      </c>
      <c r="M222" s="240">
        <f t="shared" si="435"/>
        <v>0</v>
      </c>
      <c r="N222" s="240">
        <f t="shared" si="451"/>
        <v>0</v>
      </c>
      <c r="O222" s="244">
        <f t="shared" si="452"/>
        <v>0</v>
      </c>
      <c r="P222" s="211">
        <f t="shared" si="453"/>
        <v>1</v>
      </c>
      <c r="Q222" s="212">
        <f t="shared" si="454"/>
        <v>925.85</v>
      </c>
      <c r="R222" s="213">
        <f t="shared" si="455"/>
        <v>1</v>
      </c>
      <c r="S222" s="204">
        <f t="shared" si="456"/>
        <v>925.85</v>
      </c>
      <c r="T222" s="204">
        <f t="shared" si="457"/>
        <v>0</v>
      </c>
    </row>
    <row r="223" spans="1:20" s="2" customFormat="1" x14ac:dyDescent="0.3">
      <c r="A223" s="298" t="s">
        <v>477</v>
      </c>
      <c r="B223" s="300" t="s">
        <v>895</v>
      </c>
      <c r="C223" s="302" t="s">
        <v>89</v>
      </c>
      <c r="D223" s="303">
        <v>1</v>
      </c>
      <c r="E223" s="358">
        <v>925.85</v>
      </c>
      <c r="F223" s="358">
        <f t="shared" si="380"/>
        <v>925.85</v>
      </c>
      <c r="G223" s="278">
        <v>0</v>
      </c>
      <c r="H223" s="240">
        <f t="shared" si="447"/>
        <v>0</v>
      </c>
      <c r="I223" s="241">
        <f t="shared" si="448"/>
        <v>0</v>
      </c>
      <c r="J223" s="419"/>
      <c r="K223" s="242">
        <f t="shared" si="449"/>
        <v>0</v>
      </c>
      <c r="L223" s="243">
        <f t="shared" si="450"/>
        <v>0</v>
      </c>
      <c r="M223" s="240">
        <f t="shared" si="435"/>
        <v>0</v>
      </c>
      <c r="N223" s="240">
        <f t="shared" si="451"/>
        <v>0</v>
      </c>
      <c r="O223" s="244">
        <f t="shared" si="452"/>
        <v>0</v>
      </c>
      <c r="P223" s="211">
        <f t="shared" si="453"/>
        <v>1</v>
      </c>
      <c r="Q223" s="212">
        <f t="shared" si="454"/>
        <v>925.85</v>
      </c>
      <c r="R223" s="213">
        <f t="shared" si="455"/>
        <v>1</v>
      </c>
      <c r="S223" s="204">
        <f t="shared" si="456"/>
        <v>925.85</v>
      </c>
      <c r="T223" s="204">
        <f t="shared" si="457"/>
        <v>0</v>
      </c>
    </row>
    <row r="224" spans="1:20" s="2" customFormat="1" x14ac:dyDescent="0.3">
      <c r="A224" s="304" t="s">
        <v>478</v>
      </c>
      <c r="B224" s="305" t="s">
        <v>896</v>
      </c>
      <c r="C224" s="320" t="s">
        <v>160</v>
      </c>
      <c r="D224" s="321"/>
      <c r="E224" s="349"/>
      <c r="F224" s="350">
        <f>SUM(F225:F234)</f>
        <v>8001.6399999999985</v>
      </c>
      <c r="G224" s="308"/>
      <c r="H224" s="309" t="s">
        <v>110</v>
      </c>
      <c r="I224" s="323" t="s">
        <v>110</v>
      </c>
      <c r="J224" s="419"/>
      <c r="K224" s="309" t="s">
        <v>110</v>
      </c>
      <c r="L224" s="324" t="s">
        <v>110</v>
      </c>
      <c r="M224" s="309"/>
      <c r="N224" s="309" t="s">
        <v>110</v>
      </c>
      <c r="O224" s="324" t="s">
        <v>110</v>
      </c>
      <c r="P224" s="326" t="s">
        <v>110</v>
      </c>
      <c r="Q224" s="309" t="s">
        <v>110</v>
      </c>
      <c r="R224" s="324" t="s">
        <v>110</v>
      </c>
      <c r="S224" s="204" t="e">
        <f>N224+Q224</f>
        <v>#VALUE!</v>
      </c>
      <c r="T224" s="204" t="e">
        <f>F224-S224</f>
        <v>#VALUE!</v>
      </c>
    </row>
    <row r="225" spans="1:20" s="2" customFormat="1" x14ac:dyDescent="0.3">
      <c r="A225" s="298" t="s">
        <v>479</v>
      </c>
      <c r="B225" s="300" t="s">
        <v>897</v>
      </c>
      <c r="C225" s="302" t="s">
        <v>94</v>
      </c>
      <c r="D225" s="303">
        <v>3</v>
      </c>
      <c r="E225" s="356">
        <v>171.15</v>
      </c>
      <c r="F225" s="356">
        <f t="shared" si="380"/>
        <v>513.45000000000005</v>
      </c>
      <c r="G225" s="278">
        <v>0</v>
      </c>
      <c r="H225" s="240">
        <f t="shared" ref="H225:H234" si="458">G225*E225</f>
        <v>0</v>
      </c>
      <c r="I225" s="241">
        <f t="shared" ref="I225:I234" si="459">+G225/D225</f>
        <v>0</v>
      </c>
      <c r="J225" s="419"/>
      <c r="K225" s="242">
        <f t="shared" ref="K225:K234" si="460">J225*E225</f>
        <v>0</v>
      </c>
      <c r="L225" s="243">
        <f t="shared" ref="L225:L234" si="461">+J225/D225</f>
        <v>0</v>
      </c>
      <c r="M225" s="240">
        <f t="shared" si="435"/>
        <v>0</v>
      </c>
      <c r="N225" s="240">
        <f t="shared" ref="N225:N234" si="462">M225*E225</f>
        <v>0</v>
      </c>
      <c r="O225" s="244">
        <f t="shared" ref="O225:O234" si="463">+M225/D225</f>
        <v>0</v>
      </c>
      <c r="P225" s="211">
        <f t="shared" ref="P225:P234" si="464">+D225-M225</f>
        <v>3</v>
      </c>
      <c r="Q225" s="212">
        <f t="shared" ref="Q225:Q234" si="465">P225*E225</f>
        <v>513.45000000000005</v>
      </c>
      <c r="R225" s="213">
        <f t="shared" ref="R225:R234" si="466">+P225/D225</f>
        <v>1</v>
      </c>
      <c r="S225" s="204">
        <f t="shared" ref="S225:S234" si="467">N225+Q225</f>
        <v>513.45000000000005</v>
      </c>
      <c r="T225" s="204">
        <f t="shared" ref="T225:T234" si="468">F225-S225</f>
        <v>0</v>
      </c>
    </row>
    <row r="226" spans="1:20" s="2" customFormat="1" x14ac:dyDescent="0.3">
      <c r="A226" s="298" t="s">
        <v>480</v>
      </c>
      <c r="B226" s="300" t="s">
        <v>898</v>
      </c>
      <c r="C226" s="302" t="s">
        <v>94</v>
      </c>
      <c r="D226" s="303">
        <v>6</v>
      </c>
      <c r="E226" s="356">
        <v>4.8099999999999996</v>
      </c>
      <c r="F226" s="356">
        <f t="shared" si="380"/>
        <v>28.86</v>
      </c>
      <c r="G226" s="278">
        <v>0</v>
      </c>
      <c r="H226" s="240">
        <f t="shared" si="458"/>
        <v>0</v>
      </c>
      <c r="I226" s="241">
        <f t="shared" si="459"/>
        <v>0</v>
      </c>
      <c r="J226" s="419"/>
      <c r="K226" s="242">
        <f t="shared" si="460"/>
        <v>0</v>
      </c>
      <c r="L226" s="243">
        <f t="shared" si="461"/>
        <v>0</v>
      </c>
      <c r="M226" s="240">
        <f t="shared" si="435"/>
        <v>0</v>
      </c>
      <c r="N226" s="240">
        <f t="shared" si="462"/>
        <v>0</v>
      </c>
      <c r="O226" s="244">
        <f t="shared" si="463"/>
        <v>0</v>
      </c>
      <c r="P226" s="211">
        <f t="shared" si="464"/>
        <v>6</v>
      </c>
      <c r="Q226" s="212">
        <f t="shared" si="465"/>
        <v>28.86</v>
      </c>
      <c r="R226" s="213">
        <f t="shared" si="466"/>
        <v>1</v>
      </c>
      <c r="S226" s="204">
        <f t="shared" si="467"/>
        <v>28.86</v>
      </c>
      <c r="T226" s="204">
        <f t="shared" si="468"/>
        <v>0</v>
      </c>
    </row>
    <row r="227" spans="1:20" s="2" customFormat="1" x14ac:dyDescent="0.3">
      <c r="A227" s="298" t="s">
        <v>481</v>
      </c>
      <c r="B227" s="300" t="s">
        <v>899</v>
      </c>
      <c r="C227" s="302" t="s">
        <v>89</v>
      </c>
      <c r="D227" s="303">
        <v>2</v>
      </c>
      <c r="E227" s="356">
        <v>265.43</v>
      </c>
      <c r="F227" s="356">
        <f t="shared" si="380"/>
        <v>530.86</v>
      </c>
      <c r="G227" s="278">
        <v>0</v>
      </c>
      <c r="H227" s="240">
        <f t="shared" si="458"/>
        <v>0</v>
      </c>
      <c r="I227" s="241">
        <f t="shared" si="459"/>
        <v>0</v>
      </c>
      <c r="J227" s="419"/>
      <c r="K227" s="242">
        <f t="shared" si="460"/>
        <v>0</v>
      </c>
      <c r="L227" s="243">
        <f t="shared" si="461"/>
        <v>0</v>
      </c>
      <c r="M227" s="240">
        <f t="shared" si="435"/>
        <v>0</v>
      </c>
      <c r="N227" s="240">
        <f t="shared" si="462"/>
        <v>0</v>
      </c>
      <c r="O227" s="244">
        <f t="shared" si="463"/>
        <v>0</v>
      </c>
      <c r="P227" s="211">
        <f t="shared" si="464"/>
        <v>2</v>
      </c>
      <c r="Q227" s="212">
        <f t="shared" si="465"/>
        <v>530.86</v>
      </c>
      <c r="R227" s="213">
        <f t="shared" si="466"/>
        <v>1</v>
      </c>
      <c r="S227" s="204">
        <f t="shared" si="467"/>
        <v>530.86</v>
      </c>
      <c r="T227" s="204">
        <f t="shared" si="468"/>
        <v>0</v>
      </c>
    </row>
    <row r="228" spans="1:20" s="2" customFormat="1" x14ac:dyDescent="0.3">
      <c r="A228" s="298" t="s">
        <v>482</v>
      </c>
      <c r="B228" s="300" t="s">
        <v>900</v>
      </c>
      <c r="C228" s="302" t="s">
        <v>89</v>
      </c>
      <c r="D228" s="303">
        <v>2</v>
      </c>
      <c r="E228" s="356">
        <v>278.49</v>
      </c>
      <c r="F228" s="356">
        <f t="shared" si="380"/>
        <v>556.98</v>
      </c>
      <c r="G228" s="278">
        <v>0</v>
      </c>
      <c r="H228" s="240">
        <f t="shared" si="458"/>
        <v>0</v>
      </c>
      <c r="I228" s="241">
        <f t="shared" si="459"/>
        <v>0</v>
      </c>
      <c r="J228" s="419"/>
      <c r="K228" s="242">
        <f t="shared" si="460"/>
        <v>0</v>
      </c>
      <c r="L228" s="243">
        <f t="shared" si="461"/>
        <v>0</v>
      </c>
      <c r="M228" s="240">
        <f t="shared" si="435"/>
        <v>0</v>
      </c>
      <c r="N228" s="240">
        <f t="shared" si="462"/>
        <v>0</v>
      </c>
      <c r="O228" s="244">
        <f t="shared" si="463"/>
        <v>0</v>
      </c>
      <c r="P228" s="211">
        <f t="shared" si="464"/>
        <v>2</v>
      </c>
      <c r="Q228" s="212">
        <f t="shared" si="465"/>
        <v>556.98</v>
      </c>
      <c r="R228" s="213">
        <f t="shared" si="466"/>
        <v>1</v>
      </c>
      <c r="S228" s="204">
        <f t="shared" si="467"/>
        <v>556.98</v>
      </c>
      <c r="T228" s="204">
        <f t="shared" si="468"/>
        <v>0</v>
      </c>
    </row>
    <row r="229" spans="1:20" s="2" customFormat="1" x14ac:dyDescent="0.3">
      <c r="A229" s="298" t="s">
        <v>483</v>
      </c>
      <c r="B229" s="300" t="s">
        <v>901</v>
      </c>
      <c r="C229" s="302" t="s">
        <v>89</v>
      </c>
      <c r="D229" s="303">
        <v>1</v>
      </c>
      <c r="E229" s="356">
        <v>1670.76</v>
      </c>
      <c r="F229" s="356">
        <f t="shared" si="380"/>
        <v>1670.76</v>
      </c>
      <c r="G229" s="278">
        <v>0</v>
      </c>
      <c r="H229" s="240">
        <f t="shared" si="458"/>
        <v>0</v>
      </c>
      <c r="I229" s="241">
        <f t="shared" si="459"/>
        <v>0</v>
      </c>
      <c r="J229" s="419"/>
      <c r="K229" s="242">
        <f t="shared" si="460"/>
        <v>0</v>
      </c>
      <c r="L229" s="243">
        <f t="shared" si="461"/>
        <v>0</v>
      </c>
      <c r="M229" s="240">
        <f t="shared" si="435"/>
        <v>0</v>
      </c>
      <c r="N229" s="240">
        <f t="shared" si="462"/>
        <v>0</v>
      </c>
      <c r="O229" s="244">
        <f t="shared" si="463"/>
        <v>0</v>
      </c>
      <c r="P229" s="211">
        <f t="shared" si="464"/>
        <v>1</v>
      </c>
      <c r="Q229" s="212">
        <f t="shared" si="465"/>
        <v>1670.76</v>
      </c>
      <c r="R229" s="213">
        <f t="shared" si="466"/>
        <v>1</v>
      </c>
      <c r="S229" s="204">
        <f t="shared" si="467"/>
        <v>1670.76</v>
      </c>
      <c r="T229" s="204">
        <f t="shared" si="468"/>
        <v>0</v>
      </c>
    </row>
    <row r="230" spans="1:20" s="2" customFormat="1" x14ac:dyDescent="0.3">
      <c r="A230" s="298" t="s">
        <v>484</v>
      </c>
      <c r="B230" s="300" t="s">
        <v>902</v>
      </c>
      <c r="C230" s="302" t="s">
        <v>89</v>
      </c>
      <c r="D230" s="303">
        <v>7</v>
      </c>
      <c r="E230" s="358">
        <v>116.88</v>
      </c>
      <c r="F230" s="358">
        <f t="shared" si="380"/>
        <v>818.16</v>
      </c>
      <c r="G230" s="278">
        <v>0</v>
      </c>
      <c r="H230" s="240">
        <f t="shared" si="458"/>
        <v>0</v>
      </c>
      <c r="I230" s="241">
        <f t="shared" si="459"/>
        <v>0</v>
      </c>
      <c r="J230" s="419"/>
      <c r="K230" s="242">
        <f t="shared" si="460"/>
        <v>0</v>
      </c>
      <c r="L230" s="243">
        <f t="shared" si="461"/>
        <v>0</v>
      </c>
      <c r="M230" s="240">
        <f t="shared" si="435"/>
        <v>0</v>
      </c>
      <c r="N230" s="240">
        <f t="shared" si="462"/>
        <v>0</v>
      </c>
      <c r="O230" s="244">
        <f t="shared" si="463"/>
        <v>0</v>
      </c>
      <c r="P230" s="211">
        <f t="shared" si="464"/>
        <v>7</v>
      </c>
      <c r="Q230" s="212">
        <f t="shared" si="465"/>
        <v>818.16</v>
      </c>
      <c r="R230" s="213">
        <f t="shared" si="466"/>
        <v>1</v>
      </c>
      <c r="S230" s="204">
        <f t="shared" si="467"/>
        <v>818.16</v>
      </c>
      <c r="T230" s="204">
        <f t="shared" si="468"/>
        <v>0</v>
      </c>
    </row>
    <row r="231" spans="1:20" s="2" customFormat="1" x14ac:dyDescent="0.3">
      <c r="A231" s="298" t="s">
        <v>485</v>
      </c>
      <c r="B231" s="300" t="s">
        <v>903</v>
      </c>
      <c r="C231" s="302" t="s">
        <v>89</v>
      </c>
      <c r="D231" s="303">
        <v>1</v>
      </c>
      <c r="E231" s="356">
        <v>240.65</v>
      </c>
      <c r="F231" s="356">
        <f t="shared" si="380"/>
        <v>240.65</v>
      </c>
      <c r="G231" s="278">
        <v>0</v>
      </c>
      <c r="H231" s="240">
        <f t="shared" si="458"/>
        <v>0</v>
      </c>
      <c r="I231" s="241">
        <f t="shared" si="459"/>
        <v>0</v>
      </c>
      <c r="J231" s="419"/>
      <c r="K231" s="242">
        <f t="shared" si="460"/>
        <v>0</v>
      </c>
      <c r="L231" s="243">
        <f t="shared" si="461"/>
        <v>0</v>
      </c>
      <c r="M231" s="240">
        <f t="shared" si="435"/>
        <v>0</v>
      </c>
      <c r="N231" s="240">
        <f t="shared" si="462"/>
        <v>0</v>
      </c>
      <c r="O231" s="244">
        <f t="shared" si="463"/>
        <v>0</v>
      </c>
      <c r="P231" s="211">
        <f t="shared" si="464"/>
        <v>1</v>
      </c>
      <c r="Q231" s="212">
        <f t="shared" si="465"/>
        <v>240.65</v>
      </c>
      <c r="R231" s="213">
        <f t="shared" si="466"/>
        <v>1</v>
      </c>
      <c r="S231" s="204">
        <f t="shared" si="467"/>
        <v>240.65</v>
      </c>
      <c r="T231" s="204">
        <f t="shared" si="468"/>
        <v>0</v>
      </c>
    </row>
    <row r="232" spans="1:20" s="2" customFormat="1" x14ac:dyDescent="0.3">
      <c r="A232" s="298" t="s">
        <v>486</v>
      </c>
      <c r="B232" s="300" t="s">
        <v>904</v>
      </c>
      <c r="C232" s="302" t="s">
        <v>89</v>
      </c>
      <c r="D232" s="303">
        <v>4</v>
      </c>
      <c r="E232" s="358">
        <v>673.39</v>
      </c>
      <c r="F232" s="358">
        <f t="shared" si="380"/>
        <v>2693.56</v>
      </c>
      <c r="G232" s="278">
        <v>0</v>
      </c>
      <c r="H232" s="240">
        <f t="shared" si="458"/>
        <v>0</v>
      </c>
      <c r="I232" s="241">
        <f t="shared" si="459"/>
        <v>0</v>
      </c>
      <c r="J232" s="419"/>
      <c r="K232" s="242">
        <f t="shared" si="460"/>
        <v>0</v>
      </c>
      <c r="L232" s="243">
        <f t="shared" si="461"/>
        <v>0</v>
      </c>
      <c r="M232" s="240">
        <f t="shared" si="435"/>
        <v>0</v>
      </c>
      <c r="N232" s="240">
        <f t="shared" si="462"/>
        <v>0</v>
      </c>
      <c r="O232" s="244">
        <f t="shared" si="463"/>
        <v>0</v>
      </c>
      <c r="P232" s="211">
        <f t="shared" si="464"/>
        <v>4</v>
      </c>
      <c r="Q232" s="212">
        <f t="shared" si="465"/>
        <v>2693.56</v>
      </c>
      <c r="R232" s="213">
        <f t="shared" si="466"/>
        <v>1</v>
      </c>
      <c r="S232" s="204">
        <f t="shared" si="467"/>
        <v>2693.56</v>
      </c>
      <c r="T232" s="204">
        <f t="shared" si="468"/>
        <v>0</v>
      </c>
    </row>
    <row r="233" spans="1:20" s="2" customFormat="1" x14ac:dyDescent="0.3">
      <c r="A233" s="298" t="s">
        <v>487</v>
      </c>
      <c r="B233" s="300" t="s">
        <v>905</v>
      </c>
      <c r="C233" s="302" t="s">
        <v>94</v>
      </c>
      <c r="D233" s="303">
        <v>12.8</v>
      </c>
      <c r="E233" s="356">
        <v>33.270000000000003</v>
      </c>
      <c r="F233" s="356">
        <f t="shared" si="380"/>
        <v>425.86</v>
      </c>
      <c r="G233" s="278">
        <v>0</v>
      </c>
      <c r="H233" s="240">
        <f t="shared" si="458"/>
        <v>0</v>
      </c>
      <c r="I233" s="241">
        <f t="shared" si="459"/>
        <v>0</v>
      </c>
      <c r="J233" s="419"/>
      <c r="K233" s="242">
        <f t="shared" si="460"/>
        <v>0</v>
      </c>
      <c r="L233" s="243">
        <f t="shared" si="461"/>
        <v>0</v>
      </c>
      <c r="M233" s="240">
        <f t="shared" si="435"/>
        <v>0</v>
      </c>
      <c r="N233" s="240">
        <f t="shared" si="462"/>
        <v>0</v>
      </c>
      <c r="O233" s="244">
        <f t="shared" si="463"/>
        <v>0</v>
      </c>
      <c r="P233" s="211">
        <f t="shared" si="464"/>
        <v>12.8</v>
      </c>
      <c r="Q233" s="212">
        <f t="shared" si="465"/>
        <v>425.85600000000005</v>
      </c>
      <c r="R233" s="213">
        <f t="shared" si="466"/>
        <v>1</v>
      </c>
      <c r="S233" s="204">
        <f t="shared" si="467"/>
        <v>425.85600000000005</v>
      </c>
      <c r="T233" s="204">
        <f t="shared" si="468"/>
        <v>3.999999999962256E-3</v>
      </c>
    </row>
    <row r="234" spans="1:20" s="2" customFormat="1" x14ac:dyDescent="0.3">
      <c r="A234" s="298" t="s">
        <v>488</v>
      </c>
      <c r="B234" s="300" t="s">
        <v>906</v>
      </c>
      <c r="C234" s="302" t="s">
        <v>89</v>
      </c>
      <c r="D234" s="303">
        <v>1</v>
      </c>
      <c r="E234" s="358">
        <v>522.5</v>
      </c>
      <c r="F234" s="358">
        <f t="shared" si="380"/>
        <v>522.5</v>
      </c>
      <c r="G234" s="278">
        <v>0</v>
      </c>
      <c r="H234" s="240">
        <f t="shared" si="458"/>
        <v>0</v>
      </c>
      <c r="I234" s="241">
        <f t="shared" si="459"/>
        <v>0</v>
      </c>
      <c r="J234" s="419"/>
      <c r="K234" s="242">
        <f t="shared" si="460"/>
        <v>0</v>
      </c>
      <c r="L234" s="243">
        <f t="shared" si="461"/>
        <v>0</v>
      </c>
      <c r="M234" s="240">
        <f t="shared" si="435"/>
        <v>0</v>
      </c>
      <c r="N234" s="240">
        <f t="shared" si="462"/>
        <v>0</v>
      </c>
      <c r="O234" s="244">
        <f t="shared" si="463"/>
        <v>0</v>
      </c>
      <c r="P234" s="211">
        <f t="shared" si="464"/>
        <v>1</v>
      </c>
      <c r="Q234" s="212">
        <f t="shared" si="465"/>
        <v>522.5</v>
      </c>
      <c r="R234" s="213">
        <f t="shared" si="466"/>
        <v>1</v>
      </c>
      <c r="S234" s="204">
        <f t="shared" si="467"/>
        <v>522.5</v>
      </c>
      <c r="T234" s="204">
        <f t="shared" si="468"/>
        <v>0</v>
      </c>
    </row>
    <row r="235" spans="1:20" s="2" customFormat="1" x14ac:dyDescent="0.3">
      <c r="A235" s="304" t="s">
        <v>489</v>
      </c>
      <c r="B235" s="305" t="s">
        <v>907</v>
      </c>
      <c r="C235" s="320" t="s">
        <v>160</v>
      </c>
      <c r="D235" s="321"/>
      <c r="E235" s="349"/>
      <c r="F235" s="350">
        <f>SUM(F236:F246)</f>
        <v>27649.880000000005</v>
      </c>
      <c r="G235" s="308"/>
      <c r="H235" s="309" t="s">
        <v>110</v>
      </c>
      <c r="I235" s="323" t="s">
        <v>110</v>
      </c>
      <c r="J235" s="419"/>
      <c r="K235" s="309" t="s">
        <v>110</v>
      </c>
      <c r="L235" s="324" t="s">
        <v>110</v>
      </c>
      <c r="M235" s="309"/>
      <c r="N235" s="309" t="s">
        <v>110</v>
      </c>
      <c r="O235" s="324" t="s">
        <v>110</v>
      </c>
      <c r="P235" s="326" t="s">
        <v>110</v>
      </c>
      <c r="Q235" s="309" t="s">
        <v>110</v>
      </c>
      <c r="R235" s="324" t="s">
        <v>110</v>
      </c>
      <c r="S235" s="204" t="e">
        <f t="shared" ref="S235:S249" si="469">N235+Q235</f>
        <v>#VALUE!</v>
      </c>
      <c r="T235" s="204" t="e">
        <f t="shared" ref="T235:T249" si="470">F235-S235</f>
        <v>#VALUE!</v>
      </c>
    </row>
    <row r="236" spans="1:20" s="2" customFormat="1" x14ac:dyDescent="0.3">
      <c r="A236" s="298" t="s">
        <v>490</v>
      </c>
      <c r="B236" s="300" t="s">
        <v>908</v>
      </c>
      <c r="C236" s="302" t="s">
        <v>89</v>
      </c>
      <c r="D236" s="303">
        <v>2</v>
      </c>
      <c r="E236" s="358">
        <v>2642.98</v>
      </c>
      <c r="F236" s="358">
        <f t="shared" si="380"/>
        <v>5285.96</v>
      </c>
      <c r="G236" s="278">
        <v>0</v>
      </c>
      <c r="H236" s="240">
        <f t="shared" ref="H236:H249" si="471">G236*E236</f>
        <v>0</v>
      </c>
      <c r="I236" s="241">
        <f t="shared" ref="I236:I249" si="472">+G236/D236</f>
        <v>0</v>
      </c>
      <c r="J236" s="419"/>
      <c r="K236" s="242">
        <f t="shared" ref="K236:K249" si="473">J236*E236</f>
        <v>0</v>
      </c>
      <c r="L236" s="243">
        <f t="shared" ref="L236:L249" si="474">+J236/D236</f>
        <v>0</v>
      </c>
      <c r="M236" s="240">
        <f t="shared" si="435"/>
        <v>0</v>
      </c>
      <c r="N236" s="240">
        <f t="shared" ref="N236:N249" si="475">M236*E236</f>
        <v>0</v>
      </c>
      <c r="O236" s="244">
        <f t="shared" ref="O236:O249" si="476">+M236/D236</f>
        <v>0</v>
      </c>
      <c r="P236" s="211">
        <f t="shared" ref="P236:P249" si="477">+D236-M236</f>
        <v>2</v>
      </c>
      <c r="Q236" s="212">
        <f t="shared" ref="Q236:Q249" si="478">P236*E236</f>
        <v>5285.96</v>
      </c>
      <c r="R236" s="213">
        <f t="shared" ref="R236:R249" si="479">+P236/D236</f>
        <v>1</v>
      </c>
      <c r="S236" s="204">
        <f t="shared" si="469"/>
        <v>5285.96</v>
      </c>
      <c r="T236" s="204">
        <f t="shared" si="470"/>
        <v>0</v>
      </c>
    </row>
    <row r="237" spans="1:20" s="2" customFormat="1" x14ac:dyDescent="0.3">
      <c r="A237" s="298" t="s">
        <v>491</v>
      </c>
      <c r="B237" s="300" t="s">
        <v>909</v>
      </c>
      <c r="C237" s="302" t="s">
        <v>89</v>
      </c>
      <c r="D237" s="303">
        <v>1</v>
      </c>
      <c r="E237" s="358">
        <v>1090.75</v>
      </c>
      <c r="F237" s="358">
        <f t="shared" si="380"/>
        <v>1090.75</v>
      </c>
      <c r="G237" s="278">
        <v>0</v>
      </c>
      <c r="H237" s="240">
        <f t="shared" si="471"/>
        <v>0</v>
      </c>
      <c r="I237" s="241">
        <f t="shared" si="472"/>
        <v>0</v>
      </c>
      <c r="J237" s="419"/>
      <c r="K237" s="242">
        <f t="shared" si="473"/>
        <v>0</v>
      </c>
      <c r="L237" s="243">
        <f t="shared" si="474"/>
        <v>0</v>
      </c>
      <c r="M237" s="240">
        <f t="shared" si="435"/>
        <v>0</v>
      </c>
      <c r="N237" s="240">
        <f t="shared" si="475"/>
        <v>0</v>
      </c>
      <c r="O237" s="244">
        <f t="shared" si="476"/>
        <v>0</v>
      </c>
      <c r="P237" s="211">
        <f t="shared" si="477"/>
        <v>1</v>
      </c>
      <c r="Q237" s="212">
        <f t="shared" si="478"/>
        <v>1090.75</v>
      </c>
      <c r="R237" s="213">
        <f t="shared" si="479"/>
        <v>1</v>
      </c>
      <c r="S237" s="204">
        <f t="shared" si="469"/>
        <v>1090.75</v>
      </c>
      <c r="T237" s="204">
        <f t="shared" si="470"/>
        <v>0</v>
      </c>
    </row>
    <row r="238" spans="1:20" s="2" customFormat="1" x14ac:dyDescent="0.3">
      <c r="A238" s="298" t="s">
        <v>492</v>
      </c>
      <c r="B238" s="300" t="s">
        <v>910</v>
      </c>
      <c r="C238" s="302" t="s">
        <v>89</v>
      </c>
      <c r="D238" s="303">
        <v>1</v>
      </c>
      <c r="E238" s="358">
        <v>2768.83</v>
      </c>
      <c r="F238" s="358">
        <f t="shared" si="380"/>
        <v>2768.83</v>
      </c>
      <c r="G238" s="278">
        <v>0</v>
      </c>
      <c r="H238" s="240">
        <f t="shared" si="471"/>
        <v>0</v>
      </c>
      <c r="I238" s="241">
        <f t="shared" si="472"/>
        <v>0</v>
      </c>
      <c r="J238" s="419"/>
      <c r="K238" s="242">
        <f t="shared" si="473"/>
        <v>0</v>
      </c>
      <c r="L238" s="243">
        <f t="shared" si="474"/>
        <v>0</v>
      </c>
      <c r="M238" s="240">
        <f t="shared" si="435"/>
        <v>0</v>
      </c>
      <c r="N238" s="240">
        <f t="shared" si="475"/>
        <v>0</v>
      </c>
      <c r="O238" s="244">
        <f t="shared" si="476"/>
        <v>0</v>
      </c>
      <c r="P238" s="211">
        <f t="shared" si="477"/>
        <v>1</v>
      </c>
      <c r="Q238" s="212">
        <f t="shared" si="478"/>
        <v>2768.83</v>
      </c>
      <c r="R238" s="213">
        <f t="shared" si="479"/>
        <v>1</v>
      </c>
      <c r="S238" s="204">
        <f t="shared" si="469"/>
        <v>2768.83</v>
      </c>
      <c r="T238" s="204">
        <f t="shared" si="470"/>
        <v>0</v>
      </c>
    </row>
    <row r="239" spans="1:20" s="2" customFormat="1" x14ac:dyDescent="0.3">
      <c r="A239" s="298" t="s">
        <v>493</v>
      </c>
      <c r="B239" s="300" t="s">
        <v>911</v>
      </c>
      <c r="C239" s="302" t="s">
        <v>89</v>
      </c>
      <c r="D239" s="303">
        <v>1</v>
      </c>
      <c r="E239" s="358">
        <v>4027.39</v>
      </c>
      <c r="F239" s="358">
        <f t="shared" si="380"/>
        <v>4027.39</v>
      </c>
      <c r="G239" s="278">
        <v>0</v>
      </c>
      <c r="H239" s="240">
        <f t="shared" si="471"/>
        <v>0</v>
      </c>
      <c r="I239" s="241">
        <f t="shared" si="472"/>
        <v>0</v>
      </c>
      <c r="J239" s="419"/>
      <c r="K239" s="242">
        <f t="shared" si="473"/>
        <v>0</v>
      </c>
      <c r="L239" s="243">
        <f t="shared" si="474"/>
        <v>0</v>
      </c>
      <c r="M239" s="240">
        <f t="shared" si="435"/>
        <v>0</v>
      </c>
      <c r="N239" s="240">
        <f t="shared" si="475"/>
        <v>0</v>
      </c>
      <c r="O239" s="244">
        <f t="shared" si="476"/>
        <v>0</v>
      </c>
      <c r="P239" s="211">
        <f t="shared" si="477"/>
        <v>1</v>
      </c>
      <c r="Q239" s="212">
        <f t="shared" si="478"/>
        <v>4027.39</v>
      </c>
      <c r="R239" s="213">
        <f t="shared" si="479"/>
        <v>1</v>
      </c>
      <c r="S239" s="204">
        <f t="shared" si="469"/>
        <v>4027.39</v>
      </c>
      <c r="T239" s="204">
        <f t="shared" si="470"/>
        <v>0</v>
      </c>
    </row>
    <row r="240" spans="1:20" s="2" customFormat="1" x14ac:dyDescent="0.3">
      <c r="A240" s="298" t="s">
        <v>494</v>
      </c>
      <c r="B240" s="300" t="s">
        <v>912</v>
      </c>
      <c r="C240" s="302" t="s">
        <v>89</v>
      </c>
      <c r="D240" s="303">
        <v>1</v>
      </c>
      <c r="E240" s="358">
        <v>1006.85</v>
      </c>
      <c r="F240" s="358">
        <f t="shared" si="380"/>
        <v>1006.85</v>
      </c>
      <c r="G240" s="278">
        <v>0</v>
      </c>
      <c r="H240" s="240">
        <f t="shared" si="471"/>
        <v>0</v>
      </c>
      <c r="I240" s="241">
        <f t="shared" si="472"/>
        <v>0</v>
      </c>
      <c r="J240" s="419"/>
      <c r="K240" s="242">
        <f t="shared" si="473"/>
        <v>0</v>
      </c>
      <c r="L240" s="243">
        <f t="shared" si="474"/>
        <v>0</v>
      </c>
      <c r="M240" s="240">
        <f t="shared" si="435"/>
        <v>0</v>
      </c>
      <c r="N240" s="240">
        <f t="shared" si="475"/>
        <v>0</v>
      </c>
      <c r="O240" s="244">
        <f t="shared" si="476"/>
        <v>0</v>
      </c>
      <c r="P240" s="211">
        <f t="shared" si="477"/>
        <v>1</v>
      </c>
      <c r="Q240" s="212">
        <f t="shared" si="478"/>
        <v>1006.85</v>
      </c>
      <c r="R240" s="213">
        <f t="shared" si="479"/>
        <v>1</v>
      </c>
      <c r="S240" s="204">
        <f t="shared" si="469"/>
        <v>1006.85</v>
      </c>
      <c r="T240" s="204">
        <f t="shared" si="470"/>
        <v>0</v>
      </c>
    </row>
    <row r="241" spans="1:20" s="2" customFormat="1" x14ac:dyDescent="0.3">
      <c r="A241" s="298" t="s">
        <v>495</v>
      </c>
      <c r="B241" s="300" t="s">
        <v>913</v>
      </c>
      <c r="C241" s="302" t="s">
        <v>89</v>
      </c>
      <c r="D241" s="303">
        <v>2</v>
      </c>
      <c r="E241" s="358">
        <v>545.38</v>
      </c>
      <c r="F241" s="358">
        <f t="shared" si="380"/>
        <v>1090.76</v>
      </c>
      <c r="G241" s="278">
        <v>0</v>
      </c>
      <c r="H241" s="240">
        <f t="shared" si="471"/>
        <v>0</v>
      </c>
      <c r="I241" s="241">
        <f t="shared" si="472"/>
        <v>0</v>
      </c>
      <c r="J241" s="419"/>
      <c r="K241" s="242">
        <f t="shared" si="473"/>
        <v>0</v>
      </c>
      <c r="L241" s="243">
        <f t="shared" si="474"/>
        <v>0</v>
      </c>
      <c r="M241" s="240">
        <f t="shared" si="435"/>
        <v>0</v>
      </c>
      <c r="N241" s="240">
        <f t="shared" si="475"/>
        <v>0</v>
      </c>
      <c r="O241" s="244">
        <f t="shared" si="476"/>
        <v>0</v>
      </c>
      <c r="P241" s="211">
        <f t="shared" si="477"/>
        <v>2</v>
      </c>
      <c r="Q241" s="212">
        <f t="shared" si="478"/>
        <v>1090.76</v>
      </c>
      <c r="R241" s="213">
        <f t="shared" si="479"/>
        <v>1</v>
      </c>
      <c r="S241" s="204">
        <f t="shared" si="469"/>
        <v>1090.76</v>
      </c>
      <c r="T241" s="204">
        <f t="shared" si="470"/>
        <v>0</v>
      </c>
    </row>
    <row r="242" spans="1:20" s="2" customFormat="1" x14ac:dyDescent="0.3">
      <c r="A242" s="298" t="s">
        <v>496</v>
      </c>
      <c r="B242" s="300" t="s">
        <v>914</v>
      </c>
      <c r="C242" s="302" t="s">
        <v>89</v>
      </c>
      <c r="D242" s="303">
        <v>1</v>
      </c>
      <c r="E242" s="358">
        <v>1887.84</v>
      </c>
      <c r="F242" s="358">
        <f t="shared" si="380"/>
        <v>1887.84</v>
      </c>
      <c r="G242" s="278">
        <v>0</v>
      </c>
      <c r="H242" s="240">
        <f t="shared" si="471"/>
        <v>0</v>
      </c>
      <c r="I242" s="241">
        <f t="shared" si="472"/>
        <v>0</v>
      </c>
      <c r="J242" s="419"/>
      <c r="K242" s="242">
        <f t="shared" si="473"/>
        <v>0</v>
      </c>
      <c r="L242" s="243">
        <f t="shared" si="474"/>
        <v>0</v>
      </c>
      <c r="M242" s="240">
        <f t="shared" si="435"/>
        <v>0</v>
      </c>
      <c r="N242" s="240">
        <f t="shared" si="475"/>
        <v>0</v>
      </c>
      <c r="O242" s="244">
        <f t="shared" si="476"/>
        <v>0</v>
      </c>
      <c r="P242" s="211">
        <f t="shared" si="477"/>
        <v>1</v>
      </c>
      <c r="Q242" s="212">
        <f t="shared" si="478"/>
        <v>1887.84</v>
      </c>
      <c r="R242" s="213">
        <f t="shared" si="479"/>
        <v>1</v>
      </c>
      <c r="S242" s="204">
        <f t="shared" si="469"/>
        <v>1887.84</v>
      </c>
      <c r="T242" s="204">
        <f t="shared" si="470"/>
        <v>0</v>
      </c>
    </row>
    <row r="243" spans="1:20" s="2" customFormat="1" x14ac:dyDescent="0.3">
      <c r="A243" s="298" t="s">
        <v>497</v>
      </c>
      <c r="B243" s="300" t="s">
        <v>915</v>
      </c>
      <c r="C243" s="302" t="s">
        <v>89</v>
      </c>
      <c r="D243" s="303">
        <v>1</v>
      </c>
      <c r="E243" s="358">
        <v>1975.24</v>
      </c>
      <c r="F243" s="358">
        <f t="shared" si="380"/>
        <v>1975.24</v>
      </c>
      <c r="G243" s="278">
        <v>0</v>
      </c>
      <c r="H243" s="240">
        <f t="shared" si="471"/>
        <v>0</v>
      </c>
      <c r="I243" s="241">
        <f t="shared" si="472"/>
        <v>0</v>
      </c>
      <c r="J243" s="419"/>
      <c r="K243" s="242">
        <f t="shared" si="473"/>
        <v>0</v>
      </c>
      <c r="L243" s="243">
        <f t="shared" si="474"/>
        <v>0</v>
      </c>
      <c r="M243" s="240">
        <f t="shared" si="435"/>
        <v>0</v>
      </c>
      <c r="N243" s="240">
        <f t="shared" si="475"/>
        <v>0</v>
      </c>
      <c r="O243" s="244">
        <f t="shared" si="476"/>
        <v>0</v>
      </c>
      <c r="P243" s="211">
        <f t="shared" si="477"/>
        <v>1</v>
      </c>
      <c r="Q243" s="212">
        <f t="shared" si="478"/>
        <v>1975.24</v>
      </c>
      <c r="R243" s="213">
        <f t="shared" si="479"/>
        <v>1</v>
      </c>
      <c r="S243" s="204">
        <f t="shared" si="469"/>
        <v>1975.24</v>
      </c>
      <c r="T243" s="204">
        <f t="shared" si="470"/>
        <v>0</v>
      </c>
    </row>
    <row r="244" spans="1:20" s="2" customFormat="1" x14ac:dyDescent="0.3">
      <c r="A244" s="298" t="s">
        <v>498</v>
      </c>
      <c r="B244" s="300" t="s">
        <v>916</v>
      </c>
      <c r="C244" s="302" t="s">
        <v>89</v>
      </c>
      <c r="D244" s="303">
        <v>8</v>
      </c>
      <c r="E244" s="358">
        <v>340.86</v>
      </c>
      <c r="F244" s="358">
        <f t="shared" si="380"/>
        <v>2726.88</v>
      </c>
      <c r="G244" s="278">
        <v>0</v>
      </c>
      <c r="H244" s="240">
        <f t="shared" si="471"/>
        <v>0</v>
      </c>
      <c r="I244" s="241">
        <f t="shared" si="472"/>
        <v>0</v>
      </c>
      <c r="J244" s="419"/>
      <c r="K244" s="242">
        <f t="shared" si="473"/>
        <v>0</v>
      </c>
      <c r="L244" s="243">
        <f t="shared" si="474"/>
        <v>0</v>
      </c>
      <c r="M244" s="240">
        <f t="shared" si="435"/>
        <v>0</v>
      </c>
      <c r="N244" s="240">
        <f t="shared" si="475"/>
        <v>0</v>
      </c>
      <c r="O244" s="244">
        <f t="shared" si="476"/>
        <v>0</v>
      </c>
      <c r="P244" s="211">
        <f t="shared" si="477"/>
        <v>8</v>
      </c>
      <c r="Q244" s="212">
        <f t="shared" si="478"/>
        <v>2726.88</v>
      </c>
      <c r="R244" s="213">
        <f t="shared" si="479"/>
        <v>1</v>
      </c>
      <c r="S244" s="204">
        <f t="shared" si="469"/>
        <v>2726.88</v>
      </c>
      <c r="T244" s="204">
        <f t="shared" si="470"/>
        <v>0</v>
      </c>
    </row>
    <row r="245" spans="1:20" s="2" customFormat="1" x14ac:dyDescent="0.3">
      <c r="A245" s="298" t="s">
        <v>499</v>
      </c>
      <c r="B245" s="300" t="s">
        <v>917</v>
      </c>
      <c r="C245" s="302" t="s">
        <v>89</v>
      </c>
      <c r="D245" s="303">
        <v>1</v>
      </c>
      <c r="E245" s="358">
        <v>2936.64</v>
      </c>
      <c r="F245" s="358">
        <f t="shared" si="380"/>
        <v>2936.64</v>
      </c>
      <c r="G245" s="278">
        <v>0</v>
      </c>
      <c r="H245" s="240">
        <f t="shared" si="471"/>
        <v>0</v>
      </c>
      <c r="I245" s="241">
        <f t="shared" si="472"/>
        <v>0</v>
      </c>
      <c r="J245" s="419"/>
      <c r="K245" s="242">
        <f t="shared" si="473"/>
        <v>0</v>
      </c>
      <c r="L245" s="243">
        <f t="shared" si="474"/>
        <v>0</v>
      </c>
      <c r="M245" s="240">
        <f t="shared" si="435"/>
        <v>0</v>
      </c>
      <c r="N245" s="240">
        <f t="shared" si="475"/>
        <v>0</v>
      </c>
      <c r="O245" s="244">
        <f t="shared" si="476"/>
        <v>0</v>
      </c>
      <c r="P245" s="211">
        <f t="shared" si="477"/>
        <v>1</v>
      </c>
      <c r="Q245" s="212">
        <f t="shared" si="478"/>
        <v>2936.64</v>
      </c>
      <c r="R245" s="213">
        <f t="shared" si="479"/>
        <v>1</v>
      </c>
      <c r="S245" s="204">
        <f t="shared" si="469"/>
        <v>2936.64</v>
      </c>
      <c r="T245" s="204">
        <f t="shared" si="470"/>
        <v>0</v>
      </c>
    </row>
    <row r="246" spans="1:20" s="2" customFormat="1" x14ac:dyDescent="0.3">
      <c r="A246" s="298" t="s">
        <v>500</v>
      </c>
      <c r="B246" s="300" t="s">
        <v>918</v>
      </c>
      <c r="C246" s="302" t="s">
        <v>89</v>
      </c>
      <c r="D246" s="303">
        <v>1</v>
      </c>
      <c r="E246" s="358">
        <v>2852.74</v>
      </c>
      <c r="F246" s="358">
        <f t="shared" si="380"/>
        <v>2852.74</v>
      </c>
      <c r="G246" s="278">
        <v>0</v>
      </c>
      <c r="H246" s="240">
        <f t="shared" si="471"/>
        <v>0</v>
      </c>
      <c r="I246" s="241">
        <f t="shared" si="472"/>
        <v>0</v>
      </c>
      <c r="J246" s="419"/>
      <c r="K246" s="242">
        <f t="shared" si="473"/>
        <v>0</v>
      </c>
      <c r="L246" s="243">
        <f t="shared" si="474"/>
        <v>0</v>
      </c>
      <c r="M246" s="240">
        <f t="shared" si="435"/>
        <v>0</v>
      </c>
      <c r="N246" s="240">
        <f t="shared" si="475"/>
        <v>0</v>
      </c>
      <c r="O246" s="244">
        <f t="shared" si="476"/>
        <v>0</v>
      </c>
      <c r="P246" s="211">
        <f t="shared" si="477"/>
        <v>1</v>
      </c>
      <c r="Q246" s="212">
        <f t="shared" si="478"/>
        <v>2852.74</v>
      </c>
      <c r="R246" s="213">
        <f t="shared" si="479"/>
        <v>1</v>
      </c>
      <c r="S246" s="204">
        <f t="shared" si="469"/>
        <v>2852.74</v>
      </c>
      <c r="T246" s="204">
        <f t="shared" si="470"/>
        <v>0</v>
      </c>
    </row>
    <row r="247" spans="1:20" s="2" customFormat="1" x14ac:dyDescent="0.3">
      <c r="A247" s="304" t="s">
        <v>501</v>
      </c>
      <c r="B247" s="305" t="s">
        <v>919</v>
      </c>
      <c r="C247" s="306" t="s">
        <v>160</v>
      </c>
      <c r="D247" s="307"/>
      <c r="E247" s="349"/>
      <c r="F247" s="350">
        <f>SUM(F248:F249)</f>
        <v>8141.11</v>
      </c>
      <c r="G247" s="308"/>
      <c r="H247" s="309"/>
      <c r="I247" s="323"/>
      <c r="J247" s="419"/>
      <c r="K247" s="309"/>
      <c r="L247" s="324"/>
      <c r="M247" s="309"/>
      <c r="N247" s="309"/>
      <c r="O247" s="324"/>
      <c r="P247" s="326"/>
      <c r="Q247" s="309"/>
      <c r="R247" s="324"/>
      <c r="S247" s="204">
        <f t="shared" si="469"/>
        <v>0</v>
      </c>
      <c r="T247" s="204">
        <f t="shared" si="470"/>
        <v>8141.11</v>
      </c>
    </row>
    <row r="248" spans="1:20" s="2" customFormat="1" x14ac:dyDescent="0.3">
      <c r="A248" s="298" t="s">
        <v>502</v>
      </c>
      <c r="B248" s="300" t="s">
        <v>920</v>
      </c>
      <c r="C248" s="302" t="s">
        <v>92</v>
      </c>
      <c r="D248" s="303">
        <v>336.71</v>
      </c>
      <c r="E248" s="356">
        <v>18.48</v>
      </c>
      <c r="F248" s="356">
        <f t="shared" ref="F248:F256" si="480">+ROUND((D248*E248),2)</f>
        <v>6222.4</v>
      </c>
      <c r="G248" s="278">
        <v>0</v>
      </c>
      <c r="H248" s="240">
        <f t="shared" si="471"/>
        <v>0</v>
      </c>
      <c r="I248" s="241">
        <f t="shared" si="472"/>
        <v>0</v>
      </c>
      <c r="J248" s="419"/>
      <c r="K248" s="242">
        <f t="shared" si="473"/>
        <v>0</v>
      </c>
      <c r="L248" s="243">
        <f t="shared" si="474"/>
        <v>0</v>
      </c>
      <c r="M248" s="240">
        <f t="shared" si="435"/>
        <v>0</v>
      </c>
      <c r="N248" s="240">
        <f t="shared" si="475"/>
        <v>0</v>
      </c>
      <c r="O248" s="244">
        <f t="shared" si="476"/>
        <v>0</v>
      </c>
      <c r="P248" s="211">
        <f t="shared" si="477"/>
        <v>336.71</v>
      </c>
      <c r="Q248" s="212">
        <f t="shared" si="478"/>
        <v>6222.4007999999994</v>
      </c>
      <c r="R248" s="213">
        <f t="shared" si="479"/>
        <v>1</v>
      </c>
      <c r="S248" s="204">
        <f t="shared" si="469"/>
        <v>6222.4007999999994</v>
      </c>
      <c r="T248" s="204">
        <f t="shared" si="470"/>
        <v>-7.9999999979918357E-4</v>
      </c>
    </row>
    <row r="249" spans="1:20" s="2" customFormat="1" x14ac:dyDescent="0.3">
      <c r="A249" s="298" t="s">
        <v>503</v>
      </c>
      <c r="B249" s="300" t="s">
        <v>921</v>
      </c>
      <c r="C249" s="302" t="s">
        <v>92</v>
      </c>
      <c r="D249" s="303">
        <v>117.64</v>
      </c>
      <c r="E249" s="358">
        <v>16.309999999999999</v>
      </c>
      <c r="F249" s="358">
        <f t="shared" si="480"/>
        <v>1918.71</v>
      </c>
      <c r="G249" s="278">
        <v>0</v>
      </c>
      <c r="H249" s="240">
        <f t="shared" si="471"/>
        <v>0</v>
      </c>
      <c r="I249" s="241">
        <f t="shared" si="472"/>
        <v>0</v>
      </c>
      <c r="J249" s="419"/>
      <c r="K249" s="242">
        <f t="shared" si="473"/>
        <v>0</v>
      </c>
      <c r="L249" s="243">
        <f t="shared" si="474"/>
        <v>0</v>
      </c>
      <c r="M249" s="240">
        <f t="shared" si="435"/>
        <v>0</v>
      </c>
      <c r="N249" s="240">
        <f t="shared" si="475"/>
        <v>0</v>
      </c>
      <c r="O249" s="244">
        <f t="shared" si="476"/>
        <v>0</v>
      </c>
      <c r="P249" s="211">
        <f t="shared" si="477"/>
        <v>117.64</v>
      </c>
      <c r="Q249" s="212">
        <f t="shared" si="478"/>
        <v>1918.7083999999998</v>
      </c>
      <c r="R249" s="213">
        <f t="shared" si="479"/>
        <v>1</v>
      </c>
      <c r="S249" s="204">
        <f t="shared" si="469"/>
        <v>1918.7083999999998</v>
      </c>
      <c r="T249" s="204">
        <f t="shared" si="470"/>
        <v>1.6000000002804882E-3</v>
      </c>
    </row>
    <row r="250" spans="1:20" s="2" customFormat="1" x14ac:dyDescent="0.3">
      <c r="A250" s="304" t="s">
        <v>504</v>
      </c>
      <c r="B250" s="305" t="s">
        <v>922</v>
      </c>
      <c r="C250" s="320" t="s">
        <v>160</v>
      </c>
      <c r="D250" s="321"/>
      <c r="E250" s="349"/>
      <c r="F250" s="350">
        <f>SUM(F251:F256)</f>
        <v>44184.82</v>
      </c>
      <c r="G250" s="308"/>
      <c r="H250" s="309" t="s">
        <v>110</v>
      </c>
      <c r="I250" s="323" t="s">
        <v>110</v>
      </c>
      <c r="J250" s="419"/>
      <c r="K250" s="309" t="s">
        <v>110</v>
      </c>
      <c r="L250" s="324" t="s">
        <v>110</v>
      </c>
      <c r="M250" s="309"/>
      <c r="N250" s="309" t="s">
        <v>110</v>
      </c>
      <c r="O250" s="324" t="s">
        <v>110</v>
      </c>
      <c r="P250" s="326" t="s">
        <v>110</v>
      </c>
      <c r="Q250" s="309" t="s">
        <v>110</v>
      </c>
      <c r="R250" s="324" t="s">
        <v>110</v>
      </c>
      <c r="S250" s="204" t="e">
        <f>N250+Q250</f>
        <v>#VALUE!</v>
      </c>
      <c r="T250" s="204" t="e">
        <f>F250-S250</f>
        <v>#VALUE!</v>
      </c>
    </row>
    <row r="251" spans="1:20" s="2" customFormat="1" x14ac:dyDescent="0.3">
      <c r="A251" s="298" t="s">
        <v>505</v>
      </c>
      <c r="B251" s="300" t="s">
        <v>923</v>
      </c>
      <c r="C251" s="302" t="s">
        <v>89</v>
      </c>
      <c r="D251" s="303">
        <v>1</v>
      </c>
      <c r="E251" s="356">
        <v>5823.03</v>
      </c>
      <c r="F251" s="356">
        <f t="shared" si="480"/>
        <v>5823.03</v>
      </c>
      <c r="G251" s="278">
        <v>0</v>
      </c>
      <c r="H251" s="240">
        <f t="shared" ref="H251:H256" si="481">G251*E251</f>
        <v>0</v>
      </c>
      <c r="I251" s="241">
        <f t="shared" ref="I251:I256" si="482">+G251/D251</f>
        <v>0</v>
      </c>
      <c r="J251" s="419"/>
      <c r="K251" s="242">
        <f t="shared" ref="K251:K256" si="483">J251*E251</f>
        <v>0</v>
      </c>
      <c r="L251" s="243">
        <f t="shared" ref="L251:L256" si="484">+J251/D251</f>
        <v>0</v>
      </c>
      <c r="M251" s="240">
        <f t="shared" si="435"/>
        <v>0</v>
      </c>
      <c r="N251" s="240">
        <f t="shared" ref="N251:N256" si="485">M251*E251</f>
        <v>0</v>
      </c>
      <c r="O251" s="244">
        <f t="shared" ref="O251:O256" si="486">+M251/D251</f>
        <v>0</v>
      </c>
      <c r="P251" s="211">
        <f t="shared" ref="P251:P256" si="487">+D251-M251</f>
        <v>1</v>
      </c>
      <c r="Q251" s="212">
        <f t="shared" ref="Q251:Q256" si="488">P251*E251</f>
        <v>5823.03</v>
      </c>
      <c r="R251" s="213">
        <f t="shared" ref="R251:R256" si="489">+P251/D251</f>
        <v>1</v>
      </c>
      <c r="S251" s="204">
        <f t="shared" ref="S251:S256" si="490">N251+Q251</f>
        <v>5823.03</v>
      </c>
      <c r="T251" s="204">
        <f t="shared" ref="T251:T256" si="491">F251-S251</f>
        <v>0</v>
      </c>
    </row>
    <row r="252" spans="1:20" s="2" customFormat="1" x14ac:dyDescent="0.3">
      <c r="A252" s="298" t="s">
        <v>506</v>
      </c>
      <c r="B252" s="300" t="s">
        <v>924</v>
      </c>
      <c r="C252" s="302" t="s">
        <v>89</v>
      </c>
      <c r="D252" s="303">
        <v>2</v>
      </c>
      <c r="E252" s="356">
        <v>7138.3</v>
      </c>
      <c r="F252" s="356">
        <f t="shared" si="480"/>
        <v>14276.6</v>
      </c>
      <c r="G252" s="278">
        <v>0</v>
      </c>
      <c r="H252" s="240">
        <f t="shared" si="481"/>
        <v>0</v>
      </c>
      <c r="I252" s="241">
        <f t="shared" si="482"/>
        <v>0</v>
      </c>
      <c r="J252" s="419"/>
      <c r="K252" s="242">
        <f t="shared" si="483"/>
        <v>0</v>
      </c>
      <c r="L252" s="243">
        <f t="shared" si="484"/>
        <v>0</v>
      </c>
      <c r="M252" s="240">
        <f t="shared" si="435"/>
        <v>0</v>
      </c>
      <c r="N252" s="240">
        <f t="shared" si="485"/>
        <v>0</v>
      </c>
      <c r="O252" s="244">
        <f t="shared" si="486"/>
        <v>0</v>
      </c>
      <c r="P252" s="211">
        <f t="shared" si="487"/>
        <v>2</v>
      </c>
      <c r="Q252" s="212">
        <f t="shared" si="488"/>
        <v>14276.6</v>
      </c>
      <c r="R252" s="213">
        <f t="shared" si="489"/>
        <v>1</v>
      </c>
      <c r="S252" s="204">
        <f t="shared" si="490"/>
        <v>14276.6</v>
      </c>
      <c r="T252" s="204">
        <f t="shared" si="491"/>
        <v>0</v>
      </c>
    </row>
    <row r="253" spans="1:20" s="2" customFormat="1" x14ac:dyDescent="0.3">
      <c r="A253" s="298" t="s">
        <v>507</v>
      </c>
      <c r="B253" s="300" t="s">
        <v>925</v>
      </c>
      <c r="C253" s="302" t="s">
        <v>89</v>
      </c>
      <c r="D253" s="303">
        <v>2</v>
      </c>
      <c r="E253" s="356">
        <v>5238.3</v>
      </c>
      <c r="F253" s="356">
        <f t="shared" si="480"/>
        <v>10476.6</v>
      </c>
      <c r="G253" s="278">
        <v>0</v>
      </c>
      <c r="H253" s="240">
        <f t="shared" si="481"/>
        <v>0</v>
      </c>
      <c r="I253" s="241">
        <f t="shared" si="482"/>
        <v>0</v>
      </c>
      <c r="J253" s="419"/>
      <c r="K253" s="242">
        <f t="shared" si="483"/>
        <v>0</v>
      </c>
      <c r="L253" s="243">
        <f t="shared" si="484"/>
        <v>0</v>
      </c>
      <c r="M253" s="240">
        <f t="shared" si="435"/>
        <v>0</v>
      </c>
      <c r="N253" s="240">
        <f t="shared" si="485"/>
        <v>0</v>
      </c>
      <c r="O253" s="244">
        <f t="shared" si="486"/>
        <v>0</v>
      </c>
      <c r="P253" s="211">
        <f t="shared" si="487"/>
        <v>2</v>
      </c>
      <c r="Q253" s="212">
        <f t="shared" si="488"/>
        <v>10476.6</v>
      </c>
      <c r="R253" s="213">
        <f t="shared" si="489"/>
        <v>1</v>
      </c>
      <c r="S253" s="204">
        <f t="shared" si="490"/>
        <v>10476.6</v>
      </c>
      <c r="T253" s="204">
        <f t="shared" si="491"/>
        <v>0</v>
      </c>
    </row>
    <row r="254" spans="1:20" s="2" customFormat="1" x14ac:dyDescent="0.3">
      <c r="A254" s="298" t="s">
        <v>508</v>
      </c>
      <c r="B254" s="300" t="s">
        <v>926</v>
      </c>
      <c r="C254" s="302" t="s">
        <v>89</v>
      </c>
      <c r="D254" s="303">
        <v>3</v>
      </c>
      <c r="E254" s="356">
        <v>3338.3</v>
      </c>
      <c r="F254" s="356">
        <f t="shared" si="480"/>
        <v>10014.9</v>
      </c>
      <c r="G254" s="278">
        <v>0</v>
      </c>
      <c r="H254" s="240">
        <f t="shared" si="481"/>
        <v>0</v>
      </c>
      <c r="I254" s="241">
        <f t="shared" si="482"/>
        <v>0</v>
      </c>
      <c r="J254" s="419"/>
      <c r="K254" s="242">
        <f t="shared" si="483"/>
        <v>0</v>
      </c>
      <c r="L254" s="243">
        <f t="shared" si="484"/>
        <v>0</v>
      </c>
      <c r="M254" s="240">
        <f t="shared" si="435"/>
        <v>0</v>
      </c>
      <c r="N254" s="240">
        <f t="shared" si="485"/>
        <v>0</v>
      </c>
      <c r="O254" s="244">
        <f t="shared" si="486"/>
        <v>0</v>
      </c>
      <c r="P254" s="211">
        <f t="shared" si="487"/>
        <v>3</v>
      </c>
      <c r="Q254" s="212">
        <f t="shared" si="488"/>
        <v>10014.900000000001</v>
      </c>
      <c r="R254" s="213">
        <f t="shared" si="489"/>
        <v>1</v>
      </c>
      <c r="S254" s="204">
        <f t="shared" si="490"/>
        <v>10014.900000000001</v>
      </c>
      <c r="T254" s="204">
        <f t="shared" si="491"/>
        <v>0</v>
      </c>
    </row>
    <row r="255" spans="1:20" s="2" customFormat="1" x14ac:dyDescent="0.3">
      <c r="A255" s="298" t="s">
        <v>509</v>
      </c>
      <c r="B255" s="300" t="s">
        <v>927</v>
      </c>
      <c r="C255" s="302" t="s">
        <v>90</v>
      </c>
      <c r="D255" s="303">
        <v>1</v>
      </c>
      <c r="E255" s="356">
        <v>2296.35</v>
      </c>
      <c r="F255" s="356">
        <f t="shared" si="480"/>
        <v>2296.35</v>
      </c>
      <c r="G255" s="278">
        <v>0</v>
      </c>
      <c r="H255" s="240">
        <f t="shared" si="481"/>
        <v>0</v>
      </c>
      <c r="I255" s="241">
        <f t="shared" si="482"/>
        <v>0</v>
      </c>
      <c r="J255" s="419"/>
      <c r="K255" s="242">
        <f t="shared" si="483"/>
        <v>0</v>
      </c>
      <c r="L255" s="243">
        <f t="shared" si="484"/>
        <v>0</v>
      </c>
      <c r="M255" s="240">
        <f t="shared" si="435"/>
        <v>0</v>
      </c>
      <c r="N255" s="240">
        <f t="shared" si="485"/>
        <v>0</v>
      </c>
      <c r="O255" s="244">
        <f t="shared" si="486"/>
        <v>0</v>
      </c>
      <c r="P255" s="211">
        <f t="shared" si="487"/>
        <v>1</v>
      </c>
      <c r="Q255" s="212">
        <f t="shared" si="488"/>
        <v>2296.35</v>
      </c>
      <c r="R255" s="213">
        <f t="shared" si="489"/>
        <v>1</v>
      </c>
      <c r="S255" s="204">
        <f t="shared" si="490"/>
        <v>2296.35</v>
      </c>
      <c r="T255" s="204">
        <f t="shared" si="491"/>
        <v>0</v>
      </c>
    </row>
    <row r="256" spans="1:20" s="2" customFormat="1" x14ac:dyDescent="0.3">
      <c r="A256" s="298" t="s">
        <v>510</v>
      </c>
      <c r="B256" s="300" t="s">
        <v>928</v>
      </c>
      <c r="C256" s="302" t="s">
        <v>90</v>
      </c>
      <c r="D256" s="303">
        <v>1</v>
      </c>
      <c r="E256" s="356">
        <v>1297.3399999999999</v>
      </c>
      <c r="F256" s="356">
        <f t="shared" si="480"/>
        <v>1297.3399999999999</v>
      </c>
      <c r="G256" s="278">
        <v>0</v>
      </c>
      <c r="H256" s="240">
        <f t="shared" si="481"/>
        <v>0</v>
      </c>
      <c r="I256" s="241">
        <f t="shared" si="482"/>
        <v>0</v>
      </c>
      <c r="J256" s="419"/>
      <c r="K256" s="242">
        <f t="shared" si="483"/>
        <v>0</v>
      </c>
      <c r="L256" s="243">
        <f t="shared" si="484"/>
        <v>0</v>
      </c>
      <c r="M256" s="240">
        <f t="shared" si="435"/>
        <v>0</v>
      </c>
      <c r="N256" s="240">
        <f t="shared" si="485"/>
        <v>0</v>
      </c>
      <c r="O256" s="244">
        <f t="shared" si="486"/>
        <v>0</v>
      </c>
      <c r="P256" s="211">
        <f t="shared" si="487"/>
        <v>1</v>
      </c>
      <c r="Q256" s="212">
        <f t="shared" si="488"/>
        <v>1297.3399999999999</v>
      </c>
      <c r="R256" s="213">
        <f t="shared" si="489"/>
        <v>1</v>
      </c>
      <c r="S256" s="204">
        <f t="shared" si="490"/>
        <v>1297.3399999999999</v>
      </c>
      <c r="T256" s="204">
        <f t="shared" si="491"/>
        <v>0</v>
      </c>
    </row>
    <row r="257" spans="1:20" s="2" customFormat="1" x14ac:dyDescent="0.3">
      <c r="A257" s="304" t="s">
        <v>511</v>
      </c>
      <c r="B257" s="305" t="s">
        <v>929</v>
      </c>
      <c r="C257" s="320" t="s">
        <v>160</v>
      </c>
      <c r="D257" s="321"/>
      <c r="E257" s="349"/>
      <c r="F257" s="350">
        <f>+F258+F260</f>
        <v>33561.75</v>
      </c>
      <c r="G257" s="308"/>
      <c r="H257" s="309" t="s">
        <v>110</v>
      </c>
      <c r="I257" s="323" t="s">
        <v>110</v>
      </c>
      <c r="J257" s="419"/>
      <c r="K257" s="309" t="s">
        <v>110</v>
      </c>
      <c r="L257" s="324" t="s">
        <v>110</v>
      </c>
      <c r="M257" s="309"/>
      <c r="N257" s="309" t="s">
        <v>110</v>
      </c>
      <c r="O257" s="324" t="s">
        <v>110</v>
      </c>
      <c r="P257" s="326" t="s">
        <v>110</v>
      </c>
      <c r="Q257" s="309" t="s">
        <v>110</v>
      </c>
      <c r="R257" s="324" t="s">
        <v>110</v>
      </c>
      <c r="S257" s="204" t="e">
        <f t="shared" ref="S257:S262" si="492">N257+Q257</f>
        <v>#VALUE!</v>
      </c>
      <c r="T257" s="204" t="e">
        <f t="shared" ref="T257:T262" si="493">F257-S257</f>
        <v>#VALUE!</v>
      </c>
    </row>
    <row r="258" spans="1:20" s="2" customFormat="1" x14ac:dyDescent="0.3">
      <c r="A258" s="304" t="s">
        <v>512</v>
      </c>
      <c r="B258" s="305" t="s">
        <v>930</v>
      </c>
      <c r="C258" s="320" t="s">
        <v>160</v>
      </c>
      <c r="D258" s="321"/>
      <c r="E258" s="353"/>
      <c r="F258" s="354">
        <f>+F259</f>
        <v>31071.96</v>
      </c>
      <c r="G258" s="308"/>
      <c r="H258" s="309" t="s">
        <v>110</v>
      </c>
      <c r="I258" s="323" t="s">
        <v>110</v>
      </c>
      <c r="J258" s="419"/>
      <c r="K258" s="309" t="s">
        <v>110</v>
      </c>
      <c r="L258" s="324" t="s">
        <v>110</v>
      </c>
      <c r="M258" s="309"/>
      <c r="N258" s="309" t="s">
        <v>110</v>
      </c>
      <c r="O258" s="324" t="s">
        <v>110</v>
      </c>
      <c r="P258" s="326" t="s">
        <v>110</v>
      </c>
      <c r="Q258" s="309" t="s">
        <v>110</v>
      </c>
      <c r="R258" s="324" t="s">
        <v>110</v>
      </c>
      <c r="S258" s="204" t="e">
        <f t="shared" si="492"/>
        <v>#VALUE!</v>
      </c>
      <c r="T258" s="204" t="e">
        <f t="shared" si="493"/>
        <v>#VALUE!</v>
      </c>
    </row>
    <row r="259" spans="1:20" s="2" customFormat="1" x14ac:dyDescent="0.3">
      <c r="A259" s="298" t="s">
        <v>513</v>
      </c>
      <c r="B259" s="300" t="s">
        <v>931</v>
      </c>
      <c r="C259" s="302" t="s">
        <v>89</v>
      </c>
      <c r="D259" s="303">
        <v>1</v>
      </c>
      <c r="E259" s="356">
        <v>31071.96</v>
      </c>
      <c r="F259" s="356">
        <f>+ROUND((D259*E259),2)</f>
        <v>31071.96</v>
      </c>
      <c r="G259" s="278">
        <v>0</v>
      </c>
      <c r="H259" s="240">
        <f t="shared" ref="H259" si="494">G259*E259</f>
        <v>0</v>
      </c>
      <c r="I259" s="241">
        <f t="shared" ref="I259" si="495">+G259/D259</f>
        <v>0</v>
      </c>
      <c r="J259" s="420"/>
      <c r="K259" s="242">
        <f t="shared" ref="K259" si="496">J259*E259</f>
        <v>0</v>
      </c>
      <c r="L259" s="243">
        <f t="shared" ref="L259" si="497">+J259/D259</f>
        <v>0</v>
      </c>
      <c r="M259" s="240">
        <f t="shared" si="435"/>
        <v>0</v>
      </c>
      <c r="N259" s="240">
        <f t="shared" ref="N259" si="498">M259*E259</f>
        <v>0</v>
      </c>
      <c r="O259" s="244">
        <f t="shared" ref="O259" si="499">+M259/D259</f>
        <v>0</v>
      </c>
      <c r="P259" s="211">
        <f t="shared" ref="P259" si="500">+D259-M259</f>
        <v>1</v>
      </c>
      <c r="Q259" s="212">
        <f t="shared" ref="Q259" si="501">P259*E259</f>
        <v>31071.96</v>
      </c>
      <c r="R259" s="213">
        <f t="shared" ref="R259" si="502">+P259/D259</f>
        <v>1</v>
      </c>
      <c r="S259" s="204">
        <f t="shared" si="492"/>
        <v>31071.96</v>
      </c>
      <c r="T259" s="204">
        <f t="shared" si="493"/>
        <v>0</v>
      </c>
    </row>
    <row r="260" spans="1:20" s="2" customFormat="1" x14ac:dyDescent="0.3">
      <c r="A260" s="304" t="s">
        <v>514</v>
      </c>
      <c r="B260" s="305" t="s">
        <v>932</v>
      </c>
      <c r="C260" s="320" t="s">
        <v>160</v>
      </c>
      <c r="D260" s="321"/>
      <c r="E260" s="353"/>
      <c r="F260" s="354">
        <f>SUM(F261:F262)</f>
        <v>2489.79</v>
      </c>
      <c r="G260" s="308"/>
      <c r="H260" s="309" t="s">
        <v>110</v>
      </c>
      <c r="I260" s="323" t="s">
        <v>110</v>
      </c>
      <c r="J260" s="419"/>
      <c r="K260" s="309" t="s">
        <v>110</v>
      </c>
      <c r="L260" s="324" t="s">
        <v>110</v>
      </c>
      <c r="M260" s="309"/>
      <c r="N260" s="309" t="s">
        <v>110</v>
      </c>
      <c r="O260" s="324" t="s">
        <v>110</v>
      </c>
      <c r="P260" s="326" t="s">
        <v>110</v>
      </c>
      <c r="Q260" s="309" t="s">
        <v>110</v>
      </c>
      <c r="R260" s="324" t="s">
        <v>110</v>
      </c>
      <c r="S260" s="204" t="e">
        <f t="shared" si="492"/>
        <v>#VALUE!</v>
      </c>
      <c r="T260" s="204" t="e">
        <f t="shared" si="493"/>
        <v>#VALUE!</v>
      </c>
    </row>
    <row r="261" spans="1:20" s="2" customFormat="1" x14ac:dyDescent="0.3">
      <c r="A261" s="298" t="s">
        <v>515</v>
      </c>
      <c r="B261" s="300" t="s">
        <v>933</v>
      </c>
      <c r="C261" s="302" t="s">
        <v>89</v>
      </c>
      <c r="D261" s="303">
        <v>1</v>
      </c>
      <c r="E261" s="358">
        <v>2116.52</v>
      </c>
      <c r="F261" s="358">
        <f>+ROUND((D261*E261),2)</f>
        <v>2116.52</v>
      </c>
      <c r="G261" s="278">
        <v>0</v>
      </c>
      <c r="H261" s="240">
        <f t="shared" ref="H261:H262" si="503">G261*E261</f>
        <v>0</v>
      </c>
      <c r="I261" s="241">
        <f t="shared" ref="I261:I262" si="504">+G261/D261</f>
        <v>0</v>
      </c>
      <c r="J261" s="419"/>
      <c r="K261" s="242">
        <f t="shared" ref="K261:K262" si="505">J261*E261</f>
        <v>0</v>
      </c>
      <c r="L261" s="243">
        <f t="shared" ref="L261:L262" si="506">+J261/D261</f>
        <v>0</v>
      </c>
      <c r="M261" s="240">
        <f t="shared" si="435"/>
        <v>0</v>
      </c>
      <c r="N261" s="240">
        <f t="shared" ref="N261:N262" si="507">M261*E261</f>
        <v>0</v>
      </c>
      <c r="O261" s="244">
        <f t="shared" ref="O261:O262" si="508">+M261/D261</f>
        <v>0</v>
      </c>
      <c r="P261" s="211">
        <f t="shared" ref="P261:P262" si="509">+D261-M261</f>
        <v>1</v>
      </c>
      <c r="Q261" s="212">
        <f t="shared" ref="Q261:Q262" si="510">P261*E261</f>
        <v>2116.52</v>
      </c>
      <c r="R261" s="213">
        <f t="shared" ref="R261:R262" si="511">+P261/D261</f>
        <v>1</v>
      </c>
      <c r="S261" s="204">
        <f t="shared" si="492"/>
        <v>2116.52</v>
      </c>
      <c r="T261" s="204">
        <f t="shared" si="493"/>
        <v>0</v>
      </c>
    </row>
    <row r="262" spans="1:20" s="2" customFormat="1" x14ac:dyDescent="0.3">
      <c r="A262" s="298" t="s">
        <v>516</v>
      </c>
      <c r="B262" s="300" t="s">
        <v>934</v>
      </c>
      <c r="C262" s="302" t="s">
        <v>89</v>
      </c>
      <c r="D262" s="303">
        <v>1</v>
      </c>
      <c r="E262" s="358">
        <v>373.27</v>
      </c>
      <c r="F262" s="358">
        <f>+ROUND((D262*E262),2)</f>
        <v>373.27</v>
      </c>
      <c r="G262" s="278">
        <v>0</v>
      </c>
      <c r="H262" s="240">
        <f t="shared" si="503"/>
        <v>0</v>
      </c>
      <c r="I262" s="241">
        <f t="shared" si="504"/>
        <v>0</v>
      </c>
      <c r="J262" s="419"/>
      <c r="K262" s="242">
        <f t="shared" si="505"/>
        <v>0</v>
      </c>
      <c r="L262" s="243">
        <f t="shared" si="506"/>
        <v>0</v>
      </c>
      <c r="M262" s="240">
        <f t="shared" si="435"/>
        <v>0</v>
      </c>
      <c r="N262" s="240">
        <f t="shared" si="507"/>
        <v>0</v>
      </c>
      <c r="O262" s="244">
        <f t="shared" si="508"/>
        <v>0</v>
      </c>
      <c r="P262" s="211">
        <f t="shared" si="509"/>
        <v>1</v>
      </c>
      <c r="Q262" s="212">
        <f t="shared" si="510"/>
        <v>373.27</v>
      </c>
      <c r="R262" s="213">
        <f t="shared" si="511"/>
        <v>1</v>
      </c>
      <c r="S262" s="204">
        <f t="shared" si="492"/>
        <v>373.27</v>
      </c>
      <c r="T262" s="204">
        <f t="shared" si="493"/>
        <v>0</v>
      </c>
    </row>
    <row r="263" spans="1:20" s="2" customFormat="1" x14ac:dyDescent="0.3">
      <c r="A263" s="304" t="s">
        <v>517</v>
      </c>
      <c r="B263" s="305" t="s">
        <v>935</v>
      </c>
      <c r="C263" s="320" t="s">
        <v>160</v>
      </c>
      <c r="D263" s="321"/>
      <c r="E263" s="349"/>
      <c r="F263" s="350">
        <f>+F264+F266+F270</f>
        <v>2530.0299999999997</v>
      </c>
      <c r="G263" s="308"/>
      <c r="H263" s="309" t="s">
        <v>110</v>
      </c>
      <c r="I263" s="323" t="s">
        <v>110</v>
      </c>
      <c r="J263" s="419"/>
      <c r="K263" s="309" t="s">
        <v>110</v>
      </c>
      <c r="L263" s="324" t="s">
        <v>110</v>
      </c>
      <c r="M263" s="309"/>
      <c r="N263" s="309" t="s">
        <v>110</v>
      </c>
      <c r="O263" s="324" t="s">
        <v>110</v>
      </c>
      <c r="P263" s="326" t="s">
        <v>110</v>
      </c>
      <c r="Q263" s="309" t="s">
        <v>110</v>
      </c>
      <c r="R263" s="324" t="s">
        <v>110</v>
      </c>
      <c r="S263" s="204" t="e">
        <f>N263+Q263</f>
        <v>#VALUE!</v>
      </c>
      <c r="T263" s="204" t="e">
        <f>F263-S263</f>
        <v>#VALUE!</v>
      </c>
    </row>
    <row r="264" spans="1:20" s="2" customFormat="1" x14ac:dyDescent="0.3">
      <c r="A264" s="304" t="s">
        <v>518</v>
      </c>
      <c r="B264" s="305" t="s">
        <v>936</v>
      </c>
      <c r="C264" s="320" t="s">
        <v>160</v>
      </c>
      <c r="D264" s="321"/>
      <c r="E264" s="353"/>
      <c r="F264" s="354">
        <f>+F265</f>
        <v>47.63</v>
      </c>
      <c r="G264" s="308"/>
      <c r="H264" s="309" t="s">
        <v>110</v>
      </c>
      <c r="I264" s="323" t="s">
        <v>110</v>
      </c>
      <c r="J264" s="419"/>
      <c r="K264" s="309" t="s">
        <v>110</v>
      </c>
      <c r="L264" s="324" t="s">
        <v>110</v>
      </c>
      <c r="M264" s="309"/>
      <c r="N264" s="309" t="s">
        <v>110</v>
      </c>
      <c r="O264" s="324" t="s">
        <v>110</v>
      </c>
      <c r="P264" s="326" t="s">
        <v>110</v>
      </c>
      <c r="Q264" s="309" t="s">
        <v>110</v>
      </c>
      <c r="R264" s="324" t="s">
        <v>110</v>
      </c>
      <c r="S264" s="204" t="e">
        <f>N264+Q264</f>
        <v>#VALUE!</v>
      </c>
      <c r="T264" s="204" t="e">
        <f>F264-S264</f>
        <v>#VALUE!</v>
      </c>
    </row>
    <row r="265" spans="1:20" s="2" customFormat="1" x14ac:dyDescent="0.3">
      <c r="A265" s="298" t="s">
        <v>519</v>
      </c>
      <c r="B265" s="300" t="s">
        <v>937</v>
      </c>
      <c r="C265" s="302" t="s">
        <v>89</v>
      </c>
      <c r="D265" s="303">
        <v>1</v>
      </c>
      <c r="E265" s="356">
        <v>47.63</v>
      </c>
      <c r="F265" s="356">
        <f>+ROUND((D265*E265),2)</f>
        <v>47.63</v>
      </c>
      <c r="G265" s="278">
        <v>0</v>
      </c>
      <c r="H265" s="240">
        <f t="shared" ref="H265" si="512">G265*E265</f>
        <v>0</v>
      </c>
      <c r="I265" s="241">
        <f t="shared" ref="I265" si="513">+G265/D265</f>
        <v>0</v>
      </c>
      <c r="J265" s="419"/>
      <c r="K265" s="242">
        <f t="shared" ref="K265" si="514">J265*E265</f>
        <v>0</v>
      </c>
      <c r="L265" s="243">
        <f t="shared" ref="L265" si="515">+J265/D265</f>
        <v>0</v>
      </c>
      <c r="M265" s="240">
        <f t="shared" si="435"/>
        <v>0</v>
      </c>
      <c r="N265" s="240">
        <f t="shared" ref="N265" si="516">M265*E265</f>
        <v>0</v>
      </c>
      <c r="O265" s="244">
        <f t="shared" ref="O265" si="517">+M265/D265</f>
        <v>0</v>
      </c>
      <c r="P265" s="211">
        <f t="shared" ref="P265" si="518">+D265-M265</f>
        <v>1</v>
      </c>
      <c r="Q265" s="212">
        <f t="shared" ref="Q265" si="519">P265*E265</f>
        <v>47.63</v>
      </c>
      <c r="R265" s="213">
        <f t="shared" ref="R265" si="520">+P265/D265</f>
        <v>1</v>
      </c>
      <c r="S265" s="204">
        <f t="shared" ref="S265" si="521">N265+Q265</f>
        <v>47.63</v>
      </c>
      <c r="T265" s="204">
        <f t="shared" ref="T265" si="522">F265-S265</f>
        <v>0</v>
      </c>
    </row>
    <row r="266" spans="1:20" s="2" customFormat="1" x14ac:dyDescent="0.3">
      <c r="A266" s="304" t="s">
        <v>520</v>
      </c>
      <c r="B266" s="305" t="s">
        <v>938</v>
      </c>
      <c r="C266" s="320" t="s">
        <v>160</v>
      </c>
      <c r="D266" s="321"/>
      <c r="E266" s="353"/>
      <c r="F266" s="354">
        <f>SUM(F267:F269)</f>
        <v>2042.66</v>
      </c>
      <c r="G266" s="308"/>
      <c r="H266" s="309" t="s">
        <v>110</v>
      </c>
      <c r="I266" s="323" t="s">
        <v>110</v>
      </c>
      <c r="J266" s="419"/>
      <c r="K266" s="309" t="s">
        <v>110</v>
      </c>
      <c r="L266" s="324" t="s">
        <v>110</v>
      </c>
      <c r="M266" s="309"/>
      <c r="N266" s="309" t="s">
        <v>110</v>
      </c>
      <c r="O266" s="324" t="s">
        <v>110</v>
      </c>
      <c r="P266" s="326" t="s">
        <v>110</v>
      </c>
      <c r="Q266" s="309" t="s">
        <v>110</v>
      </c>
      <c r="R266" s="324" t="s">
        <v>110</v>
      </c>
      <c r="S266" s="204" t="e">
        <f>N266+Q266</f>
        <v>#VALUE!</v>
      </c>
      <c r="T266" s="204" t="e">
        <f>F266-S266</f>
        <v>#VALUE!</v>
      </c>
    </row>
    <row r="267" spans="1:20" s="2" customFormat="1" x14ac:dyDescent="0.3">
      <c r="A267" s="298" t="s">
        <v>521</v>
      </c>
      <c r="B267" s="300" t="s">
        <v>939</v>
      </c>
      <c r="C267" s="302" t="s">
        <v>89</v>
      </c>
      <c r="D267" s="303">
        <v>1</v>
      </c>
      <c r="E267" s="356">
        <v>257.43</v>
      </c>
      <c r="F267" s="356">
        <f t="shared" ref="F267:F288" si="523">+ROUND((D267*E267),2)</f>
        <v>257.43</v>
      </c>
      <c r="G267" s="278">
        <v>0</v>
      </c>
      <c r="H267" s="240">
        <f t="shared" ref="H267:H269" si="524">G267*E267</f>
        <v>0</v>
      </c>
      <c r="I267" s="241">
        <f t="shared" ref="I267:I269" si="525">+G267/D267</f>
        <v>0</v>
      </c>
      <c r="J267" s="419"/>
      <c r="K267" s="242">
        <f t="shared" ref="K267:K269" si="526">J267*E267</f>
        <v>0</v>
      </c>
      <c r="L267" s="243">
        <f t="shared" ref="L267:L269" si="527">+J267/D267</f>
        <v>0</v>
      </c>
      <c r="M267" s="240">
        <f t="shared" si="435"/>
        <v>0</v>
      </c>
      <c r="N267" s="240">
        <f t="shared" ref="N267:N269" si="528">M267*E267</f>
        <v>0</v>
      </c>
      <c r="O267" s="244">
        <f t="shared" ref="O267:O269" si="529">+M267/D267</f>
        <v>0</v>
      </c>
      <c r="P267" s="211">
        <f t="shared" ref="P267:P269" si="530">+D267-M267</f>
        <v>1</v>
      </c>
      <c r="Q267" s="212">
        <f t="shared" ref="Q267:Q269" si="531">P267*E267</f>
        <v>257.43</v>
      </c>
      <c r="R267" s="213">
        <f t="shared" ref="R267:R269" si="532">+P267/D267</f>
        <v>1</v>
      </c>
      <c r="S267" s="204">
        <f t="shared" ref="S267:S269" si="533">N267+Q267</f>
        <v>257.43</v>
      </c>
      <c r="T267" s="204">
        <f t="shared" ref="T267:T269" si="534">F267-S267</f>
        <v>0</v>
      </c>
    </row>
    <row r="268" spans="1:20" s="2" customFormat="1" x14ac:dyDescent="0.3">
      <c r="A268" s="298" t="s">
        <v>522</v>
      </c>
      <c r="B268" s="300" t="s">
        <v>940</v>
      </c>
      <c r="C268" s="302" t="s">
        <v>89</v>
      </c>
      <c r="D268" s="303">
        <v>1</v>
      </c>
      <c r="E268" s="356">
        <v>867.21</v>
      </c>
      <c r="F268" s="356">
        <f t="shared" si="523"/>
        <v>867.21</v>
      </c>
      <c r="G268" s="278">
        <v>0</v>
      </c>
      <c r="H268" s="240">
        <f t="shared" si="524"/>
        <v>0</v>
      </c>
      <c r="I268" s="241">
        <f t="shared" si="525"/>
        <v>0</v>
      </c>
      <c r="J268" s="419"/>
      <c r="K268" s="242">
        <f t="shared" si="526"/>
        <v>0</v>
      </c>
      <c r="L268" s="243">
        <f t="shared" si="527"/>
        <v>0</v>
      </c>
      <c r="M268" s="240">
        <f t="shared" si="435"/>
        <v>0</v>
      </c>
      <c r="N268" s="240">
        <f t="shared" si="528"/>
        <v>0</v>
      </c>
      <c r="O268" s="244">
        <f t="shared" si="529"/>
        <v>0</v>
      </c>
      <c r="P268" s="211">
        <f t="shared" si="530"/>
        <v>1</v>
      </c>
      <c r="Q268" s="212">
        <f t="shared" si="531"/>
        <v>867.21</v>
      </c>
      <c r="R268" s="213">
        <f t="shared" si="532"/>
        <v>1</v>
      </c>
      <c r="S268" s="204">
        <f t="shared" si="533"/>
        <v>867.21</v>
      </c>
      <c r="T268" s="204">
        <f t="shared" si="534"/>
        <v>0</v>
      </c>
    </row>
    <row r="269" spans="1:20" s="2" customFormat="1" x14ac:dyDescent="0.3">
      <c r="A269" s="298" t="s">
        <v>523</v>
      </c>
      <c r="B269" s="300" t="s">
        <v>941</v>
      </c>
      <c r="C269" s="302" t="s">
        <v>89</v>
      </c>
      <c r="D269" s="303">
        <v>1</v>
      </c>
      <c r="E269" s="356">
        <v>918.02</v>
      </c>
      <c r="F269" s="356">
        <f t="shared" si="523"/>
        <v>918.02</v>
      </c>
      <c r="G269" s="278">
        <v>0</v>
      </c>
      <c r="H269" s="240">
        <f t="shared" si="524"/>
        <v>0</v>
      </c>
      <c r="I269" s="241">
        <f t="shared" si="525"/>
        <v>0</v>
      </c>
      <c r="J269" s="419"/>
      <c r="K269" s="242">
        <f t="shared" si="526"/>
        <v>0</v>
      </c>
      <c r="L269" s="243">
        <f t="shared" si="527"/>
        <v>0</v>
      </c>
      <c r="M269" s="240">
        <f t="shared" si="435"/>
        <v>0</v>
      </c>
      <c r="N269" s="240">
        <f t="shared" si="528"/>
        <v>0</v>
      </c>
      <c r="O269" s="244">
        <f t="shared" si="529"/>
        <v>0</v>
      </c>
      <c r="P269" s="211">
        <f t="shared" si="530"/>
        <v>1</v>
      </c>
      <c r="Q269" s="212">
        <f t="shared" si="531"/>
        <v>918.02</v>
      </c>
      <c r="R269" s="213">
        <f t="shared" si="532"/>
        <v>1</v>
      </c>
      <c r="S269" s="204">
        <f t="shared" si="533"/>
        <v>918.02</v>
      </c>
      <c r="T269" s="204">
        <f t="shared" si="534"/>
        <v>0</v>
      </c>
    </row>
    <row r="270" spans="1:20" s="2" customFormat="1" x14ac:dyDescent="0.3">
      <c r="A270" s="304" t="s">
        <v>524</v>
      </c>
      <c r="B270" s="305" t="s">
        <v>942</v>
      </c>
      <c r="C270" s="320" t="s">
        <v>160</v>
      </c>
      <c r="D270" s="321"/>
      <c r="E270" s="353"/>
      <c r="F270" s="354">
        <f>SUM(F271:F288)</f>
        <v>439.73999999999995</v>
      </c>
      <c r="G270" s="308"/>
      <c r="H270" s="309" t="s">
        <v>110</v>
      </c>
      <c r="I270" s="323" t="s">
        <v>110</v>
      </c>
      <c r="J270" s="419"/>
      <c r="K270" s="309" t="s">
        <v>110</v>
      </c>
      <c r="L270" s="324" t="s">
        <v>110</v>
      </c>
      <c r="M270" s="309"/>
      <c r="N270" s="309" t="s">
        <v>110</v>
      </c>
      <c r="O270" s="324" t="s">
        <v>110</v>
      </c>
      <c r="P270" s="326" t="s">
        <v>110</v>
      </c>
      <c r="Q270" s="309" t="s">
        <v>110</v>
      </c>
      <c r="R270" s="324" t="s">
        <v>110</v>
      </c>
      <c r="S270" s="204" t="e">
        <f>N270+Q270</f>
        <v>#VALUE!</v>
      </c>
      <c r="T270" s="204" t="e">
        <f>F270-S270</f>
        <v>#VALUE!</v>
      </c>
    </row>
    <row r="271" spans="1:20" s="2" customFormat="1" x14ac:dyDescent="0.3">
      <c r="A271" s="298" t="s">
        <v>525</v>
      </c>
      <c r="B271" s="300" t="s">
        <v>943</v>
      </c>
      <c r="C271" s="302" t="s">
        <v>89</v>
      </c>
      <c r="D271" s="303">
        <v>5</v>
      </c>
      <c r="E271" s="358">
        <v>7.38</v>
      </c>
      <c r="F271" s="358">
        <f t="shared" si="523"/>
        <v>36.9</v>
      </c>
      <c r="G271" s="278">
        <v>0</v>
      </c>
      <c r="H271" s="240">
        <f t="shared" ref="H271:H288" si="535">G271*E271</f>
        <v>0</v>
      </c>
      <c r="I271" s="241">
        <f t="shared" ref="I271:I288" si="536">+G271/D271</f>
        <v>0</v>
      </c>
      <c r="J271" s="419"/>
      <c r="K271" s="242">
        <f t="shared" ref="K271:K288" si="537">J271*E271</f>
        <v>0</v>
      </c>
      <c r="L271" s="243">
        <f t="shared" ref="L271:L288" si="538">+J271/D271</f>
        <v>0</v>
      </c>
      <c r="M271" s="240">
        <f t="shared" si="435"/>
        <v>0</v>
      </c>
      <c r="N271" s="240">
        <f t="shared" ref="N271:N288" si="539">M271*E271</f>
        <v>0</v>
      </c>
      <c r="O271" s="244">
        <f t="shared" ref="O271:O288" si="540">+M271/D271</f>
        <v>0</v>
      </c>
      <c r="P271" s="211">
        <f t="shared" ref="P271:P288" si="541">+D271-M271</f>
        <v>5</v>
      </c>
      <c r="Q271" s="212">
        <f t="shared" ref="Q271:Q288" si="542">P271*E271</f>
        <v>36.9</v>
      </c>
      <c r="R271" s="213">
        <f t="shared" ref="R271:R288" si="543">+P271/D271</f>
        <v>1</v>
      </c>
      <c r="S271" s="204">
        <f t="shared" ref="S271:S288" si="544">N271+Q271</f>
        <v>36.9</v>
      </c>
      <c r="T271" s="204">
        <f t="shared" ref="T271:T288" si="545">F271-S271</f>
        <v>0</v>
      </c>
    </row>
    <row r="272" spans="1:20" s="2" customFormat="1" x14ac:dyDescent="0.3">
      <c r="A272" s="298" t="s">
        <v>526</v>
      </c>
      <c r="B272" s="300" t="s">
        <v>944</v>
      </c>
      <c r="C272" s="302" t="s">
        <v>89</v>
      </c>
      <c r="D272" s="303">
        <v>1</v>
      </c>
      <c r="E272" s="358">
        <v>7.38</v>
      </c>
      <c r="F272" s="358">
        <f t="shared" si="523"/>
        <v>7.38</v>
      </c>
      <c r="G272" s="278">
        <v>0</v>
      </c>
      <c r="H272" s="240">
        <f t="shared" si="535"/>
        <v>0</v>
      </c>
      <c r="I272" s="241">
        <f t="shared" si="536"/>
        <v>0</v>
      </c>
      <c r="J272" s="419"/>
      <c r="K272" s="242">
        <f t="shared" si="537"/>
        <v>0</v>
      </c>
      <c r="L272" s="243">
        <f t="shared" si="538"/>
        <v>0</v>
      </c>
      <c r="M272" s="240">
        <f t="shared" si="435"/>
        <v>0</v>
      </c>
      <c r="N272" s="240">
        <f t="shared" si="539"/>
        <v>0</v>
      </c>
      <c r="O272" s="244">
        <f t="shared" si="540"/>
        <v>0</v>
      </c>
      <c r="P272" s="211">
        <f t="shared" si="541"/>
        <v>1</v>
      </c>
      <c r="Q272" s="212">
        <f t="shared" si="542"/>
        <v>7.38</v>
      </c>
      <c r="R272" s="213">
        <f t="shared" si="543"/>
        <v>1</v>
      </c>
      <c r="S272" s="204">
        <f t="shared" si="544"/>
        <v>7.38</v>
      </c>
      <c r="T272" s="204">
        <f t="shared" si="545"/>
        <v>0</v>
      </c>
    </row>
    <row r="273" spans="1:20" s="2" customFormat="1" x14ac:dyDescent="0.3">
      <c r="A273" s="298" t="s">
        <v>527</v>
      </c>
      <c r="B273" s="300" t="s">
        <v>945</v>
      </c>
      <c r="C273" s="302" t="s">
        <v>89</v>
      </c>
      <c r="D273" s="303">
        <v>4</v>
      </c>
      <c r="E273" s="358">
        <v>7.38</v>
      </c>
      <c r="F273" s="358">
        <f t="shared" si="523"/>
        <v>29.52</v>
      </c>
      <c r="G273" s="278">
        <v>0</v>
      </c>
      <c r="H273" s="240">
        <f t="shared" si="535"/>
        <v>0</v>
      </c>
      <c r="I273" s="241">
        <f t="shared" si="536"/>
        <v>0</v>
      </c>
      <c r="J273" s="419"/>
      <c r="K273" s="242">
        <f t="shared" si="537"/>
        <v>0</v>
      </c>
      <c r="L273" s="243">
        <f t="shared" si="538"/>
        <v>0</v>
      </c>
      <c r="M273" s="240">
        <f t="shared" si="435"/>
        <v>0</v>
      </c>
      <c r="N273" s="240">
        <f t="shared" si="539"/>
        <v>0</v>
      </c>
      <c r="O273" s="244">
        <f t="shared" si="540"/>
        <v>0</v>
      </c>
      <c r="P273" s="211">
        <f t="shared" si="541"/>
        <v>4</v>
      </c>
      <c r="Q273" s="212">
        <f t="shared" si="542"/>
        <v>29.52</v>
      </c>
      <c r="R273" s="213">
        <f t="shared" si="543"/>
        <v>1</v>
      </c>
      <c r="S273" s="204">
        <f t="shared" si="544"/>
        <v>29.52</v>
      </c>
      <c r="T273" s="204">
        <f t="shared" si="545"/>
        <v>0</v>
      </c>
    </row>
    <row r="274" spans="1:20" s="2" customFormat="1" x14ac:dyDescent="0.3">
      <c r="A274" s="298" t="s">
        <v>528</v>
      </c>
      <c r="B274" s="300" t="s">
        <v>946</v>
      </c>
      <c r="C274" s="302" t="s">
        <v>89</v>
      </c>
      <c r="D274" s="303">
        <v>3</v>
      </c>
      <c r="E274" s="358">
        <v>7.38</v>
      </c>
      <c r="F274" s="358">
        <f t="shared" si="523"/>
        <v>22.14</v>
      </c>
      <c r="G274" s="278">
        <v>0</v>
      </c>
      <c r="H274" s="240">
        <f t="shared" si="535"/>
        <v>0</v>
      </c>
      <c r="I274" s="241">
        <f t="shared" si="536"/>
        <v>0</v>
      </c>
      <c r="J274" s="419"/>
      <c r="K274" s="242">
        <f t="shared" si="537"/>
        <v>0</v>
      </c>
      <c r="L274" s="243">
        <f t="shared" si="538"/>
        <v>0</v>
      </c>
      <c r="M274" s="240">
        <f t="shared" si="435"/>
        <v>0</v>
      </c>
      <c r="N274" s="240">
        <f t="shared" si="539"/>
        <v>0</v>
      </c>
      <c r="O274" s="244">
        <f t="shared" si="540"/>
        <v>0</v>
      </c>
      <c r="P274" s="211">
        <f t="shared" si="541"/>
        <v>3</v>
      </c>
      <c r="Q274" s="212">
        <f t="shared" si="542"/>
        <v>22.14</v>
      </c>
      <c r="R274" s="213">
        <f t="shared" si="543"/>
        <v>1</v>
      </c>
      <c r="S274" s="204">
        <f t="shared" si="544"/>
        <v>22.14</v>
      </c>
      <c r="T274" s="204">
        <f t="shared" si="545"/>
        <v>0</v>
      </c>
    </row>
    <row r="275" spans="1:20" s="2" customFormat="1" x14ac:dyDescent="0.3">
      <c r="A275" s="298" t="s">
        <v>529</v>
      </c>
      <c r="B275" s="300" t="s">
        <v>947</v>
      </c>
      <c r="C275" s="302" t="s">
        <v>89</v>
      </c>
      <c r="D275" s="303">
        <v>3</v>
      </c>
      <c r="E275" s="358">
        <v>7.38</v>
      </c>
      <c r="F275" s="358">
        <f t="shared" si="523"/>
        <v>22.14</v>
      </c>
      <c r="G275" s="278">
        <v>0</v>
      </c>
      <c r="H275" s="240">
        <f t="shared" si="535"/>
        <v>0</v>
      </c>
      <c r="I275" s="241">
        <f t="shared" si="536"/>
        <v>0</v>
      </c>
      <c r="J275" s="419"/>
      <c r="K275" s="242">
        <f t="shared" si="537"/>
        <v>0</v>
      </c>
      <c r="L275" s="243">
        <f t="shared" si="538"/>
        <v>0</v>
      </c>
      <c r="M275" s="240">
        <f t="shared" ref="M275:M338" si="546">+G275+J275</f>
        <v>0</v>
      </c>
      <c r="N275" s="240">
        <f t="shared" si="539"/>
        <v>0</v>
      </c>
      <c r="O275" s="244">
        <f t="shared" si="540"/>
        <v>0</v>
      </c>
      <c r="P275" s="211">
        <f t="shared" si="541"/>
        <v>3</v>
      </c>
      <c r="Q275" s="212">
        <f t="shared" si="542"/>
        <v>22.14</v>
      </c>
      <c r="R275" s="213">
        <f t="shared" si="543"/>
        <v>1</v>
      </c>
      <c r="S275" s="204">
        <f t="shared" si="544"/>
        <v>22.14</v>
      </c>
      <c r="T275" s="204">
        <f t="shared" si="545"/>
        <v>0</v>
      </c>
    </row>
    <row r="276" spans="1:20" s="2" customFormat="1" x14ac:dyDescent="0.3">
      <c r="A276" s="298" t="s">
        <v>530</v>
      </c>
      <c r="B276" s="300" t="s">
        <v>948</v>
      </c>
      <c r="C276" s="302" t="s">
        <v>89</v>
      </c>
      <c r="D276" s="303">
        <v>2</v>
      </c>
      <c r="E276" s="358">
        <v>7.38</v>
      </c>
      <c r="F276" s="358">
        <f t="shared" si="523"/>
        <v>14.76</v>
      </c>
      <c r="G276" s="278">
        <v>0</v>
      </c>
      <c r="H276" s="240">
        <f t="shared" si="535"/>
        <v>0</v>
      </c>
      <c r="I276" s="241">
        <f t="shared" si="536"/>
        <v>0</v>
      </c>
      <c r="J276" s="419"/>
      <c r="K276" s="242">
        <f t="shared" si="537"/>
        <v>0</v>
      </c>
      <c r="L276" s="243">
        <f t="shared" si="538"/>
        <v>0</v>
      </c>
      <c r="M276" s="240">
        <f t="shared" si="546"/>
        <v>0</v>
      </c>
      <c r="N276" s="240">
        <f t="shared" si="539"/>
        <v>0</v>
      </c>
      <c r="O276" s="244">
        <f t="shared" si="540"/>
        <v>0</v>
      </c>
      <c r="P276" s="211">
        <f t="shared" si="541"/>
        <v>2</v>
      </c>
      <c r="Q276" s="212">
        <f t="shared" si="542"/>
        <v>14.76</v>
      </c>
      <c r="R276" s="213">
        <f t="shared" si="543"/>
        <v>1</v>
      </c>
      <c r="S276" s="204">
        <f t="shared" si="544"/>
        <v>14.76</v>
      </c>
      <c r="T276" s="204">
        <f t="shared" si="545"/>
        <v>0</v>
      </c>
    </row>
    <row r="277" spans="1:20" s="2" customFormat="1" x14ac:dyDescent="0.3">
      <c r="A277" s="298" t="s">
        <v>531</v>
      </c>
      <c r="B277" s="300" t="s">
        <v>949</v>
      </c>
      <c r="C277" s="302" t="s">
        <v>89</v>
      </c>
      <c r="D277" s="303">
        <v>4</v>
      </c>
      <c r="E277" s="358">
        <v>7.38</v>
      </c>
      <c r="F277" s="358">
        <f t="shared" si="523"/>
        <v>29.52</v>
      </c>
      <c r="G277" s="278">
        <v>0</v>
      </c>
      <c r="H277" s="240">
        <f t="shared" si="535"/>
        <v>0</v>
      </c>
      <c r="I277" s="241">
        <f t="shared" si="536"/>
        <v>0</v>
      </c>
      <c r="J277" s="419"/>
      <c r="K277" s="242">
        <f t="shared" si="537"/>
        <v>0</v>
      </c>
      <c r="L277" s="243">
        <f t="shared" si="538"/>
        <v>0</v>
      </c>
      <c r="M277" s="240">
        <f t="shared" si="546"/>
        <v>0</v>
      </c>
      <c r="N277" s="240">
        <f t="shared" si="539"/>
        <v>0</v>
      </c>
      <c r="O277" s="244">
        <f t="shared" si="540"/>
        <v>0</v>
      </c>
      <c r="P277" s="211">
        <f t="shared" si="541"/>
        <v>4</v>
      </c>
      <c r="Q277" s="212">
        <f t="shared" si="542"/>
        <v>29.52</v>
      </c>
      <c r="R277" s="213">
        <f t="shared" si="543"/>
        <v>1</v>
      </c>
      <c r="S277" s="204">
        <f t="shared" si="544"/>
        <v>29.52</v>
      </c>
      <c r="T277" s="204">
        <f t="shared" si="545"/>
        <v>0</v>
      </c>
    </row>
    <row r="278" spans="1:20" s="2" customFormat="1" x14ac:dyDescent="0.3">
      <c r="A278" s="298" t="s">
        <v>532</v>
      </c>
      <c r="B278" s="300" t="s">
        <v>950</v>
      </c>
      <c r="C278" s="302" t="s">
        <v>89</v>
      </c>
      <c r="D278" s="303">
        <v>2</v>
      </c>
      <c r="E278" s="358">
        <v>7.38</v>
      </c>
      <c r="F278" s="358">
        <f t="shared" si="523"/>
        <v>14.76</v>
      </c>
      <c r="G278" s="278">
        <v>0</v>
      </c>
      <c r="H278" s="240">
        <f t="shared" si="535"/>
        <v>0</v>
      </c>
      <c r="I278" s="241">
        <f t="shared" si="536"/>
        <v>0</v>
      </c>
      <c r="J278" s="419"/>
      <c r="K278" s="242">
        <f t="shared" si="537"/>
        <v>0</v>
      </c>
      <c r="L278" s="243">
        <f t="shared" si="538"/>
        <v>0</v>
      </c>
      <c r="M278" s="240">
        <f t="shared" si="546"/>
        <v>0</v>
      </c>
      <c r="N278" s="240">
        <f t="shared" si="539"/>
        <v>0</v>
      </c>
      <c r="O278" s="244">
        <f t="shared" si="540"/>
        <v>0</v>
      </c>
      <c r="P278" s="211">
        <f t="shared" si="541"/>
        <v>2</v>
      </c>
      <c r="Q278" s="212">
        <f t="shared" si="542"/>
        <v>14.76</v>
      </c>
      <c r="R278" s="213">
        <f t="shared" si="543"/>
        <v>1</v>
      </c>
      <c r="S278" s="204">
        <f t="shared" si="544"/>
        <v>14.76</v>
      </c>
      <c r="T278" s="204">
        <f t="shared" si="545"/>
        <v>0</v>
      </c>
    </row>
    <row r="279" spans="1:20" s="2" customFormat="1" x14ac:dyDescent="0.3">
      <c r="A279" s="298" t="s">
        <v>533</v>
      </c>
      <c r="B279" s="300" t="s">
        <v>951</v>
      </c>
      <c r="C279" s="302" t="s">
        <v>89</v>
      </c>
      <c r="D279" s="303">
        <v>1</v>
      </c>
      <c r="E279" s="358">
        <v>7.38</v>
      </c>
      <c r="F279" s="358">
        <f t="shared" si="523"/>
        <v>7.38</v>
      </c>
      <c r="G279" s="278">
        <v>0</v>
      </c>
      <c r="H279" s="240">
        <f t="shared" si="535"/>
        <v>0</v>
      </c>
      <c r="I279" s="241">
        <f t="shared" si="536"/>
        <v>0</v>
      </c>
      <c r="J279" s="419"/>
      <c r="K279" s="242">
        <f t="shared" si="537"/>
        <v>0</v>
      </c>
      <c r="L279" s="243">
        <f t="shared" si="538"/>
        <v>0</v>
      </c>
      <c r="M279" s="240">
        <f t="shared" si="546"/>
        <v>0</v>
      </c>
      <c r="N279" s="240">
        <f t="shared" si="539"/>
        <v>0</v>
      </c>
      <c r="O279" s="244">
        <f t="shared" si="540"/>
        <v>0</v>
      </c>
      <c r="P279" s="211">
        <f t="shared" si="541"/>
        <v>1</v>
      </c>
      <c r="Q279" s="212">
        <f t="shared" si="542"/>
        <v>7.38</v>
      </c>
      <c r="R279" s="213">
        <f t="shared" si="543"/>
        <v>1</v>
      </c>
      <c r="S279" s="204">
        <f t="shared" si="544"/>
        <v>7.38</v>
      </c>
      <c r="T279" s="204">
        <f t="shared" si="545"/>
        <v>0</v>
      </c>
    </row>
    <row r="280" spans="1:20" s="2" customFormat="1" x14ac:dyDescent="0.3">
      <c r="A280" s="298" t="s">
        <v>534</v>
      </c>
      <c r="B280" s="300" t="s">
        <v>952</v>
      </c>
      <c r="C280" s="302" t="s">
        <v>89</v>
      </c>
      <c r="D280" s="303">
        <v>3</v>
      </c>
      <c r="E280" s="358">
        <v>7.38</v>
      </c>
      <c r="F280" s="358">
        <f t="shared" si="523"/>
        <v>22.14</v>
      </c>
      <c r="G280" s="278">
        <v>0</v>
      </c>
      <c r="H280" s="240">
        <f t="shared" si="535"/>
        <v>0</v>
      </c>
      <c r="I280" s="241">
        <f t="shared" si="536"/>
        <v>0</v>
      </c>
      <c r="J280" s="419"/>
      <c r="K280" s="242">
        <f t="shared" si="537"/>
        <v>0</v>
      </c>
      <c r="L280" s="243">
        <f t="shared" si="538"/>
        <v>0</v>
      </c>
      <c r="M280" s="240">
        <f t="shared" si="546"/>
        <v>0</v>
      </c>
      <c r="N280" s="240">
        <f t="shared" si="539"/>
        <v>0</v>
      </c>
      <c r="O280" s="244">
        <f t="shared" si="540"/>
        <v>0</v>
      </c>
      <c r="P280" s="211">
        <f t="shared" si="541"/>
        <v>3</v>
      </c>
      <c r="Q280" s="212">
        <f t="shared" si="542"/>
        <v>22.14</v>
      </c>
      <c r="R280" s="213">
        <f t="shared" si="543"/>
        <v>1</v>
      </c>
      <c r="S280" s="204">
        <f t="shared" si="544"/>
        <v>22.14</v>
      </c>
      <c r="T280" s="204">
        <f t="shared" si="545"/>
        <v>0</v>
      </c>
    </row>
    <row r="281" spans="1:20" s="2" customFormat="1" x14ac:dyDescent="0.3">
      <c r="A281" s="298" t="s">
        <v>535</v>
      </c>
      <c r="B281" s="300" t="s">
        <v>953</v>
      </c>
      <c r="C281" s="302" t="s">
        <v>89</v>
      </c>
      <c r="D281" s="303">
        <v>1</v>
      </c>
      <c r="E281" s="358">
        <v>7.38</v>
      </c>
      <c r="F281" s="358">
        <f t="shared" si="523"/>
        <v>7.38</v>
      </c>
      <c r="G281" s="278">
        <v>0</v>
      </c>
      <c r="H281" s="240">
        <f t="shared" si="535"/>
        <v>0</v>
      </c>
      <c r="I281" s="241">
        <f t="shared" si="536"/>
        <v>0</v>
      </c>
      <c r="J281" s="419"/>
      <c r="K281" s="242">
        <f t="shared" si="537"/>
        <v>0</v>
      </c>
      <c r="L281" s="243">
        <f t="shared" si="538"/>
        <v>0</v>
      </c>
      <c r="M281" s="240">
        <f t="shared" si="546"/>
        <v>0</v>
      </c>
      <c r="N281" s="240">
        <f t="shared" si="539"/>
        <v>0</v>
      </c>
      <c r="O281" s="244">
        <f t="shared" si="540"/>
        <v>0</v>
      </c>
      <c r="P281" s="211">
        <f t="shared" si="541"/>
        <v>1</v>
      </c>
      <c r="Q281" s="212">
        <f t="shared" si="542"/>
        <v>7.38</v>
      </c>
      <c r="R281" s="213">
        <f t="shared" si="543"/>
        <v>1</v>
      </c>
      <c r="S281" s="204">
        <f t="shared" si="544"/>
        <v>7.38</v>
      </c>
      <c r="T281" s="204">
        <f t="shared" si="545"/>
        <v>0</v>
      </c>
    </row>
    <row r="282" spans="1:20" s="2" customFormat="1" x14ac:dyDescent="0.3">
      <c r="A282" s="298" t="s">
        <v>536</v>
      </c>
      <c r="B282" s="300" t="s">
        <v>954</v>
      </c>
      <c r="C282" s="302" t="s">
        <v>89</v>
      </c>
      <c r="D282" s="303">
        <v>4</v>
      </c>
      <c r="E282" s="358">
        <v>7.38</v>
      </c>
      <c r="F282" s="358">
        <f t="shared" si="523"/>
        <v>29.52</v>
      </c>
      <c r="G282" s="278">
        <v>0</v>
      </c>
      <c r="H282" s="240">
        <f t="shared" si="535"/>
        <v>0</v>
      </c>
      <c r="I282" s="241">
        <f t="shared" si="536"/>
        <v>0</v>
      </c>
      <c r="J282" s="419"/>
      <c r="K282" s="242">
        <f t="shared" si="537"/>
        <v>0</v>
      </c>
      <c r="L282" s="243">
        <f t="shared" si="538"/>
        <v>0</v>
      </c>
      <c r="M282" s="240">
        <f t="shared" si="546"/>
        <v>0</v>
      </c>
      <c r="N282" s="240">
        <f t="shared" si="539"/>
        <v>0</v>
      </c>
      <c r="O282" s="244">
        <f t="shared" si="540"/>
        <v>0</v>
      </c>
      <c r="P282" s="211">
        <f t="shared" si="541"/>
        <v>4</v>
      </c>
      <c r="Q282" s="212">
        <f t="shared" si="542"/>
        <v>29.52</v>
      </c>
      <c r="R282" s="213">
        <f t="shared" si="543"/>
        <v>1</v>
      </c>
      <c r="S282" s="204">
        <f t="shared" si="544"/>
        <v>29.52</v>
      </c>
      <c r="T282" s="204">
        <f t="shared" si="545"/>
        <v>0</v>
      </c>
    </row>
    <row r="283" spans="1:20" s="2" customFormat="1" x14ac:dyDescent="0.3">
      <c r="A283" s="298" t="s">
        <v>537</v>
      </c>
      <c r="B283" s="300" t="s">
        <v>955</v>
      </c>
      <c r="C283" s="302" t="s">
        <v>89</v>
      </c>
      <c r="D283" s="303">
        <v>7</v>
      </c>
      <c r="E283" s="358">
        <v>7.38</v>
      </c>
      <c r="F283" s="358">
        <f t="shared" si="523"/>
        <v>51.66</v>
      </c>
      <c r="G283" s="278">
        <v>0</v>
      </c>
      <c r="H283" s="240">
        <f t="shared" si="535"/>
        <v>0</v>
      </c>
      <c r="I283" s="241">
        <f t="shared" si="536"/>
        <v>0</v>
      </c>
      <c r="J283" s="419"/>
      <c r="K283" s="242">
        <f t="shared" si="537"/>
        <v>0</v>
      </c>
      <c r="L283" s="243">
        <f t="shared" si="538"/>
        <v>0</v>
      </c>
      <c r="M283" s="240">
        <f t="shared" si="546"/>
        <v>0</v>
      </c>
      <c r="N283" s="240">
        <f t="shared" si="539"/>
        <v>0</v>
      </c>
      <c r="O283" s="244">
        <f t="shared" si="540"/>
        <v>0</v>
      </c>
      <c r="P283" s="211">
        <f t="shared" si="541"/>
        <v>7</v>
      </c>
      <c r="Q283" s="212">
        <f t="shared" si="542"/>
        <v>51.66</v>
      </c>
      <c r="R283" s="213">
        <f t="shared" si="543"/>
        <v>1</v>
      </c>
      <c r="S283" s="204">
        <f t="shared" si="544"/>
        <v>51.66</v>
      </c>
      <c r="T283" s="204">
        <f t="shared" si="545"/>
        <v>0</v>
      </c>
    </row>
    <row r="284" spans="1:20" s="2" customFormat="1" x14ac:dyDescent="0.3">
      <c r="A284" s="298" t="s">
        <v>538</v>
      </c>
      <c r="B284" s="300" t="s">
        <v>956</v>
      </c>
      <c r="C284" s="302" t="s">
        <v>89</v>
      </c>
      <c r="D284" s="303">
        <v>1</v>
      </c>
      <c r="E284" s="358">
        <v>12.24</v>
      </c>
      <c r="F284" s="358">
        <f t="shared" si="523"/>
        <v>12.24</v>
      </c>
      <c r="G284" s="278">
        <v>0</v>
      </c>
      <c r="H284" s="240">
        <f t="shared" si="535"/>
        <v>0</v>
      </c>
      <c r="I284" s="241">
        <f t="shared" si="536"/>
        <v>0</v>
      </c>
      <c r="J284" s="419"/>
      <c r="K284" s="242">
        <f t="shared" si="537"/>
        <v>0</v>
      </c>
      <c r="L284" s="243">
        <f t="shared" si="538"/>
        <v>0</v>
      </c>
      <c r="M284" s="240">
        <f t="shared" si="546"/>
        <v>0</v>
      </c>
      <c r="N284" s="240">
        <f t="shared" si="539"/>
        <v>0</v>
      </c>
      <c r="O284" s="244">
        <f t="shared" si="540"/>
        <v>0</v>
      </c>
      <c r="P284" s="211">
        <f t="shared" si="541"/>
        <v>1</v>
      </c>
      <c r="Q284" s="212">
        <f t="shared" si="542"/>
        <v>12.24</v>
      </c>
      <c r="R284" s="213">
        <f t="shared" si="543"/>
        <v>1</v>
      </c>
      <c r="S284" s="204">
        <f t="shared" si="544"/>
        <v>12.24</v>
      </c>
      <c r="T284" s="204">
        <f t="shared" si="545"/>
        <v>0</v>
      </c>
    </row>
    <row r="285" spans="1:20" s="2" customFormat="1" x14ac:dyDescent="0.3">
      <c r="A285" s="298" t="s">
        <v>539</v>
      </c>
      <c r="B285" s="300" t="s">
        <v>957</v>
      </c>
      <c r="C285" s="302" t="s">
        <v>89</v>
      </c>
      <c r="D285" s="303">
        <v>4</v>
      </c>
      <c r="E285" s="358">
        <v>12.24</v>
      </c>
      <c r="F285" s="358">
        <f t="shared" si="523"/>
        <v>48.96</v>
      </c>
      <c r="G285" s="278">
        <v>0</v>
      </c>
      <c r="H285" s="240">
        <f t="shared" si="535"/>
        <v>0</v>
      </c>
      <c r="I285" s="241">
        <f t="shared" si="536"/>
        <v>0</v>
      </c>
      <c r="J285" s="419"/>
      <c r="K285" s="242">
        <f t="shared" si="537"/>
        <v>0</v>
      </c>
      <c r="L285" s="243">
        <f t="shared" si="538"/>
        <v>0</v>
      </c>
      <c r="M285" s="240">
        <f t="shared" si="546"/>
        <v>0</v>
      </c>
      <c r="N285" s="240">
        <f t="shared" si="539"/>
        <v>0</v>
      </c>
      <c r="O285" s="244">
        <f t="shared" si="540"/>
        <v>0</v>
      </c>
      <c r="P285" s="211">
        <f t="shared" si="541"/>
        <v>4</v>
      </c>
      <c r="Q285" s="212">
        <f t="shared" si="542"/>
        <v>48.96</v>
      </c>
      <c r="R285" s="213">
        <f t="shared" si="543"/>
        <v>1</v>
      </c>
      <c r="S285" s="204">
        <f t="shared" si="544"/>
        <v>48.96</v>
      </c>
      <c r="T285" s="204">
        <f t="shared" si="545"/>
        <v>0</v>
      </c>
    </row>
    <row r="286" spans="1:20" s="2" customFormat="1" x14ac:dyDescent="0.3">
      <c r="A286" s="298" t="s">
        <v>540</v>
      </c>
      <c r="B286" s="300" t="s">
        <v>958</v>
      </c>
      <c r="C286" s="302" t="s">
        <v>89</v>
      </c>
      <c r="D286" s="303">
        <v>5</v>
      </c>
      <c r="E286" s="358">
        <v>12.24</v>
      </c>
      <c r="F286" s="358">
        <f t="shared" si="523"/>
        <v>61.2</v>
      </c>
      <c r="G286" s="278">
        <v>0</v>
      </c>
      <c r="H286" s="240">
        <f t="shared" si="535"/>
        <v>0</v>
      </c>
      <c r="I286" s="241">
        <f t="shared" si="536"/>
        <v>0</v>
      </c>
      <c r="J286" s="419"/>
      <c r="K286" s="242">
        <f t="shared" si="537"/>
        <v>0</v>
      </c>
      <c r="L286" s="243">
        <f t="shared" si="538"/>
        <v>0</v>
      </c>
      <c r="M286" s="240">
        <f t="shared" si="546"/>
        <v>0</v>
      </c>
      <c r="N286" s="240">
        <f t="shared" si="539"/>
        <v>0</v>
      </c>
      <c r="O286" s="244">
        <f t="shared" si="540"/>
        <v>0</v>
      </c>
      <c r="P286" s="211">
        <f t="shared" si="541"/>
        <v>5</v>
      </c>
      <c r="Q286" s="212">
        <f t="shared" si="542"/>
        <v>61.2</v>
      </c>
      <c r="R286" s="213">
        <f t="shared" si="543"/>
        <v>1</v>
      </c>
      <c r="S286" s="204">
        <f t="shared" si="544"/>
        <v>61.2</v>
      </c>
      <c r="T286" s="204">
        <f t="shared" si="545"/>
        <v>0</v>
      </c>
    </row>
    <row r="287" spans="1:20" s="2" customFormat="1" x14ac:dyDescent="0.3">
      <c r="A287" s="298" t="s">
        <v>541</v>
      </c>
      <c r="B287" s="300" t="s">
        <v>959</v>
      </c>
      <c r="C287" s="302" t="s">
        <v>89</v>
      </c>
      <c r="D287" s="303">
        <v>1</v>
      </c>
      <c r="E287" s="358">
        <v>7.38</v>
      </c>
      <c r="F287" s="358">
        <f t="shared" si="523"/>
        <v>7.38</v>
      </c>
      <c r="G287" s="278">
        <v>0</v>
      </c>
      <c r="H287" s="240">
        <f t="shared" si="535"/>
        <v>0</v>
      </c>
      <c r="I287" s="241">
        <f t="shared" si="536"/>
        <v>0</v>
      </c>
      <c r="J287" s="419"/>
      <c r="K287" s="242">
        <f t="shared" si="537"/>
        <v>0</v>
      </c>
      <c r="L287" s="243">
        <f t="shared" si="538"/>
        <v>0</v>
      </c>
      <c r="M287" s="240">
        <f t="shared" si="546"/>
        <v>0</v>
      </c>
      <c r="N287" s="240">
        <f t="shared" si="539"/>
        <v>0</v>
      </c>
      <c r="O287" s="244">
        <f t="shared" si="540"/>
        <v>0</v>
      </c>
      <c r="P287" s="211">
        <f t="shared" si="541"/>
        <v>1</v>
      </c>
      <c r="Q287" s="212">
        <f t="shared" si="542"/>
        <v>7.38</v>
      </c>
      <c r="R287" s="213">
        <f t="shared" si="543"/>
        <v>1</v>
      </c>
      <c r="S287" s="204">
        <f t="shared" si="544"/>
        <v>7.38</v>
      </c>
      <c r="T287" s="204">
        <f t="shared" si="545"/>
        <v>0</v>
      </c>
    </row>
    <row r="288" spans="1:20" s="2" customFormat="1" x14ac:dyDescent="0.3">
      <c r="A288" s="298" t="s">
        <v>542</v>
      </c>
      <c r="B288" s="300" t="s">
        <v>960</v>
      </c>
      <c r="C288" s="302" t="s">
        <v>89</v>
      </c>
      <c r="D288" s="303">
        <v>2</v>
      </c>
      <c r="E288" s="358">
        <v>7.38</v>
      </c>
      <c r="F288" s="358">
        <f t="shared" si="523"/>
        <v>14.76</v>
      </c>
      <c r="G288" s="278">
        <v>0</v>
      </c>
      <c r="H288" s="240">
        <f t="shared" si="535"/>
        <v>0</v>
      </c>
      <c r="I288" s="241">
        <f t="shared" si="536"/>
        <v>0</v>
      </c>
      <c r="J288" s="419"/>
      <c r="K288" s="242">
        <f t="shared" si="537"/>
        <v>0</v>
      </c>
      <c r="L288" s="243">
        <f t="shared" si="538"/>
        <v>0</v>
      </c>
      <c r="M288" s="240">
        <f t="shared" si="546"/>
        <v>0</v>
      </c>
      <c r="N288" s="240">
        <f t="shared" si="539"/>
        <v>0</v>
      </c>
      <c r="O288" s="244">
        <f t="shared" si="540"/>
        <v>0</v>
      </c>
      <c r="P288" s="211">
        <f t="shared" si="541"/>
        <v>2</v>
      </c>
      <c r="Q288" s="212">
        <f t="shared" si="542"/>
        <v>14.76</v>
      </c>
      <c r="R288" s="213">
        <f t="shared" si="543"/>
        <v>1</v>
      </c>
      <c r="S288" s="204">
        <f t="shared" si="544"/>
        <v>14.76</v>
      </c>
      <c r="T288" s="204">
        <f t="shared" si="545"/>
        <v>0</v>
      </c>
    </row>
    <row r="289" spans="1:20" s="2" customFormat="1" x14ac:dyDescent="0.3">
      <c r="A289" s="304" t="s">
        <v>224</v>
      </c>
      <c r="B289" s="305" t="s">
        <v>754</v>
      </c>
      <c r="C289" s="320" t="s">
        <v>160</v>
      </c>
      <c r="D289" s="321"/>
      <c r="E289" s="347"/>
      <c r="F289" s="348">
        <f>+F290+F292+F298+F301+F308+F314+F325+F331+F337+F342</f>
        <v>43461.65</v>
      </c>
      <c r="G289" s="308"/>
      <c r="H289" s="309" t="s">
        <v>110</v>
      </c>
      <c r="I289" s="323" t="s">
        <v>110</v>
      </c>
      <c r="J289" s="419"/>
      <c r="K289" s="309" t="s">
        <v>110</v>
      </c>
      <c r="L289" s="324" t="s">
        <v>110</v>
      </c>
      <c r="M289" s="309"/>
      <c r="N289" s="309" t="s">
        <v>110</v>
      </c>
      <c r="O289" s="324" t="s">
        <v>110</v>
      </c>
      <c r="P289" s="326" t="s">
        <v>110</v>
      </c>
      <c r="Q289" s="309" t="s">
        <v>110</v>
      </c>
      <c r="R289" s="324" t="s">
        <v>110</v>
      </c>
      <c r="S289" s="204" t="e">
        <f t="shared" ref="S289:S297" si="547">N289+Q289</f>
        <v>#VALUE!</v>
      </c>
      <c r="T289" s="204" t="e">
        <f t="shared" ref="T289:T297" si="548">F289-S289</f>
        <v>#VALUE!</v>
      </c>
    </row>
    <row r="290" spans="1:20" s="2" customFormat="1" x14ac:dyDescent="0.3">
      <c r="A290" s="304" t="s">
        <v>543</v>
      </c>
      <c r="B290" s="305" t="s">
        <v>853</v>
      </c>
      <c r="C290" s="306" t="s">
        <v>160</v>
      </c>
      <c r="D290" s="307"/>
      <c r="E290" s="349"/>
      <c r="F290" s="350">
        <f>+F291</f>
        <v>2475.3200000000002</v>
      </c>
      <c r="G290" s="308"/>
      <c r="H290" s="309" t="s">
        <v>110</v>
      </c>
      <c r="I290" s="323" t="s">
        <v>110</v>
      </c>
      <c r="J290" s="419"/>
      <c r="K290" s="309" t="s">
        <v>110</v>
      </c>
      <c r="L290" s="324" t="s">
        <v>110</v>
      </c>
      <c r="M290" s="309"/>
      <c r="N290" s="309" t="s">
        <v>110</v>
      </c>
      <c r="O290" s="324" t="s">
        <v>110</v>
      </c>
      <c r="P290" s="326" t="s">
        <v>110</v>
      </c>
      <c r="Q290" s="309" t="s">
        <v>110</v>
      </c>
      <c r="R290" s="324" t="s">
        <v>110</v>
      </c>
      <c r="S290" s="204" t="e">
        <f t="shared" si="547"/>
        <v>#VALUE!</v>
      </c>
      <c r="T290" s="204" t="e">
        <f t="shared" si="548"/>
        <v>#VALUE!</v>
      </c>
    </row>
    <row r="291" spans="1:20" s="2" customFormat="1" x14ac:dyDescent="0.3">
      <c r="A291" s="480" t="s">
        <v>544</v>
      </c>
      <c r="B291" s="452" t="s">
        <v>961</v>
      </c>
      <c r="C291" s="302" t="s">
        <v>92</v>
      </c>
      <c r="D291" s="303">
        <v>36.89</v>
      </c>
      <c r="E291" s="356">
        <v>67.099999999999994</v>
      </c>
      <c r="F291" s="356">
        <f t="shared" ref="F291:F300" si="549">+ROUND((D291*E291),2)</f>
        <v>2475.3200000000002</v>
      </c>
      <c r="G291" s="278">
        <v>0</v>
      </c>
      <c r="H291" s="240">
        <f t="shared" ref="H291" si="550">G291*E291</f>
        <v>0</v>
      </c>
      <c r="I291" s="241">
        <f t="shared" ref="I291" si="551">+G291/D291</f>
        <v>0</v>
      </c>
      <c r="J291" s="419">
        <f>+D291</f>
        <v>36.89</v>
      </c>
      <c r="K291" s="242">
        <f t="shared" ref="K291" si="552">J291*E291</f>
        <v>2475.319</v>
      </c>
      <c r="L291" s="243">
        <f t="shared" ref="L291" si="553">+J291/D291</f>
        <v>1</v>
      </c>
      <c r="M291" s="240">
        <f t="shared" si="546"/>
        <v>36.89</v>
      </c>
      <c r="N291" s="240">
        <f t="shared" ref="N291" si="554">M291*E291</f>
        <v>2475.319</v>
      </c>
      <c r="O291" s="244">
        <f t="shared" ref="O291" si="555">+M291/D291</f>
        <v>1</v>
      </c>
      <c r="P291" s="211">
        <f t="shared" ref="P291" si="556">+D291-M291</f>
        <v>0</v>
      </c>
      <c r="Q291" s="212">
        <f t="shared" ref="Q291" si="557">P291*E291</f>
        <v>0</v>
      </c>
      <c r="R291" s="213">
        <f t="shared" ref="R291" si="558">+P291/D291</f>
        <v>0</v>
      </c>
      <c r="S291" s="204">
        <f t="shared" si="547"/>
        <v>2475.319</v>
      </c>
      <c r="T291" s="204">
        <f t="shared" si="548"/>
        <v>1.0000000002037268E-3</v>
      </c>
    </row>
    <row r="292" spans="1:20" s="2" customFormat="1" x14ac:dyDescent="0.3">
      <c r="A292" s="304" t="s">
        <v>545</v>
      </c>
      <c r="B292" s="305" t="s">
        <v>962</v>
      </c>
      <c r="C292" s="320" t="s">
        <v>160</v>
      </c>
      <c r="D292" s="321"/>
      <c r="E292" s="349"/>
      <c r="F292" s="350">
        <f>SUM(F293:F297)</f>
        <v>3082.76</v>
      </c>
      <c r="G292" s="308"/>
      <c r="H292" s="309" t="s">
        <v>110</v>
      </c>
      <c r="I292" s="323" t="s">
        <v>110</v>
      </c>
      <c r="J292" s="419"/>
      <c r="K292" s="309" t="s">
        <v>110</v>
      </c>
      <c r="L292" s="324" t="s">
        <v>110</v>
      </c>
      <c r="M292" s="309"/>
      <c r="N292" s="309" t="s">
        <v>110</v>
      </c>
      <c r="O292" s="324" t="s">
        <v>110</v>
      </c>
      <c r="P292" s="326" t="s">
        <v>110</v>
      </c>
      <c r="Q292" s="309" t="s">
        <v>110</v>
      </c>
      <c r="R292" s="324" t="s">
        <v>110</v>
      </c>
      <c r="S292" s="204" t="e">
        <f t="shared" si="547"/>
        <v>#VALUE!</v>
      </c>
      <c r="T292" s="204" t="e">
        <f t="shared" si="548"/>
        <v>#VALUE!</v>
      </c>
    </row>
    <row r="293" spans="1:20" s="2" customFormat="1" x14ac:dyDescent="0.3">
      <c r="A293" s="480" t="s">
        <v>546</v>
      </c>
      <c r="B293" s="452" t="s">
        <v>963</v>
      </c>
      <c r="C293" s="302" t="s">
        <v>92</v>
      </c>
      <c r="D293" s="303">
        <v>36.89</v>
      </c>
      <c r="E293" s="356">
        <v>30.1</v>
      </c>
      <c r="F293" s="356">
        <f t="shared" si="549"/>
        <v>1110.3900000000001</v>
      </c>
      <c r="G293" s="278">
        <v>0</v>
      </c>
      <c r="H293" s="240">
        <f t="shared" ref="H293:H297" si="559">G293*E293</f>
        <v>0</v>
      </c>
      <c r="I293" s="241">
        <f t="shared" ref="I293:I297" si="560">+G293/D293</f>
        <v>0</v>
      </c>
      <c r="J293" s="419">
        <f>+D293</f>
        <v>36.89</v>
      </c>
      <c r="K293" s="242">
        <f t="shared" ref="K293:K297" si="561">J293*E293</f>
        <v>1110.3890000000001</v>
      </c>
      <c r="L293" s="243">
        <f t="shared" ref="L293:L297" si="562">+J293/D293</f>
        <v>1</v>
      </c>
      <c r="M293" s="240">
        <f t="shared" si="546"/>
        <v>36.89</v>
      </c>
      <c r="N293" s="240">
        <f t="shared" ref="N293:N297" si="563">M293*E293</f>
        <v>1110.3890000000001</v>
      </c>
      <c r="O293" s="244">
        <f t="shared" ref="O293:O297" si="564">+M293/D293</f>
        <v>1</v>
      </c>
      <c r="P293" s="211">
        <f t="shared" ref="P293:P297" si="565">+D293-M293</f>
        <v>0</v>
      </c>
      <c r="Q293" s="212">
        <f t="shared" ref="Q293:Q297" si="566">P293*E293</f>
        <v>0</v>
      </c>
      <c r="R293" s="213">
        <f t="shared" ref="R293:R297" si="567">+P293/D293</f>
        <v>0</v>
      </c>
      <c r="S293" s="204">
        <f t="shared" si="547"/>
        <v>1110.3890000000001</v>
      </c>
      <c r="T293" s="204">
        <f t="shared" si="548"/>
        <v>9.9999999997635314E-4</v>
      </c>
    </row>
    <row r="294" spans="1:20" s="2" customFormat="1" x14ac:dyDescent="0.3">
      <c r="A294" s="480" t="s">
        <v>547</v>
      </c>
      <c r="B294" s="452" t="s">
        <v>964</v>
      </c>
      <c r="C294" s="302" t="s">
        <v>92</v>
      </c>
      <c r="D294" s="303">
        <v>36.89</v>
      </c>
      <c r="E294" s="356">
        <v>24.34</v>
      </c>
      <c r="F294" s="356">
        <f t="shared" si="549"/>
        <v>897.9</v>
      </c>
      <c r="G294" s="278">
        <v>0</v>
      </c>
      <c r="H294" s="240">
        <f t="shared" si="559"/>
        <v>0</v>
      </c>
      <c r="I294" s="241">
        <f t="shared" si="560"/>
        <v>0</v>
      </c>
      <c r="J294" s="419">
        <f t="shared" ref="J294:J297" si="568">+D294</f>
        <v>36.89</v>
      </c>
      <c r="K294" s="242">
        <f t="shared" si="561"/>
        <v>897.90260000000001</v>
      </c>
      <c r="L294" s="243">
        <f t="shared" si="562"/>
        <v>1</v>
      </c>
      <c r="M294" s="240">
        <f t="shared" si="546"/>
        <v>36.89</v>
      </c>
      <c r="N294" s="240">
        <f t="shared" si="563"/>
        <v>897.90260000000001</v>
      </c>
      <c r="O294" s="244">
        <f t="shared" si="564"/>
        <v>1</v>
      </c>
      <c r="P294" s="211">
        <f t="shared" si="565"/>
        <v>0</v>
      </c>
      <c r="Q294" s="212">
        <f t="shared" si="566"/>
        <v>0</v>
      </c>
      <c r="R294" s="213">
        <f t="shared" si="567"/>
        <v>0</v>
      </c>
      <c r="S294" s="204">
        <f t="shared" si="547"/>
        <v>897.90260000000001</v>
      </c>
      <c r="T294" s="204">
        <f t="shared" si="548"/>
        <v>-2.6000000000294676E-3</v>
      </c>
    </row>
    <row r="295" spans="1:20" s="2" customFormat="1" x14ac:dyDescent="0.3">
      <c r="A295" s="480" t="s">
        <v>548</v>
      </c>
      <c r="B295" s="452" t="s">
        <v>965</v>
      </c>
      <c r="C295" s="302" t="s">
        <v>92</v>
      </c>
      <c r="D295" s="303">
        <v>17.989999999999998</v>
      </c>
      <c r="E295" s="356">
        <v>24.34</v>
      </c>
      <c r="F295" s="356">
        <f t="shared" si="549"/>
        <v>437.88</v>
      </c>
      <c r="G295" s="278">
        <v>0</v>
      </c>
      <c r="H295" s="240">
        <f t="shared" si="559"/>
        <v>0</v>
      </c>
      <c r="I295" s="241">
        <f t="shared" si="560"/>
        <v>0</v>
      </c>
      <c r="J295" s="419">
        <f t="shared" si="568"/>
        <v>17.989999999999998</v>
      </c>
      <c r="K295" s="242">
        <f t="shared" si="561"/>
        <v>437.87659999999994</v>
      </c>
      <c r="L295" s="243">
        <f t="shared" si="562"/>
        <v>1</v>
      </c>
      <c r="M295" s="240">
        <f t="shared" si="546"/>
        <v>17.989999999999998</v>
      </c>
      <c r="N295" s="240">
        <f t="shared" si="563"/>
        <v>437.87659999999994</v>
      </c>
      <c r="O295" s="244">
        <f t="shared" si="564"/>
        <v>1</v>
      </c>
      <c r="P295" s="211">
        <f t="shared" si="565"/>
        <v>0</v>
      </c>
      <c r="Q295" s="212">
        <f t="shared" si="566"/>
        <v>0</v>
      </c>
      <c r="R295" s="213">
        <f t="shared" si="567"/>
        <v>0</v>
      </c>
      <c r="S295" s="204">
        <f t="shared" si="547"/>
        <v>437.87659999999994</v>
      </c>
      <c r="T295" s="204">
        <f t="shared" si="548"/>
        <v>3.4000000000560249E-3</v>
      </c>
    </row>
    <row r="296" spans="1:20" s="2" customFormat="1" x14ac:dyDescent="0.3">
      <c r="A296" s="480" t="s">
        <v>549</v>
      </c>
      <c r="B296" s="452" t="s">
        <v>966</v>
      </c>
      <c r="C296" s="302" t="s">
        <v>94</v>
      </c>
      <c r="D296" s="303">
        <v>29.53</v>
      </c>
      <c r="E296" s="356">
        <v>16.53</v>
      </c>
      <c r="F296" s="356">
        <f t="shared" si="549"/>
        <v>488.13</v>
      </c>
      <c r="G296" s="278">
        <v>0</v>
      </c>
      <c r="H296" s="240">
        <f t="shared" si="559"/>
        <v>0</v>
      </c>
      <c r="I296" s="241">
        <f t="shared" si="560"/>
        <v>0</v>
      </c>
      <c r="J296" s="419">
        <f t="shared" si="568"/>
        <v>29.53</v>
      </c>
      <c r="K296" s="242">
        <f t="shared" si="561"/>
        <v>488.13090000000005</v>
      </c>
      <c r="L296" s="243">
        <f t="shared" si="562"/>
        <v>1</v>
      </c>
      <c r="M296" s="240">
        <f t="shared" si="546"/>
        <v>29.53</v>
      </c>
      <c r="N296" s="240">
        <f t="shared" si="563"/>
        <v>488.13090000000005</v>
      </c>
      <c r="O296" s="244">
        <f t="shared" si="564"/>
        <v>1</v>
      </c>
      <c r="P296" s="211">
        <f t="shared" si="565"/>
        <v>0</v>
      </c>
      <c r="Q296" s="212">
        <f t="shared" si="566"/>
        <v>0</v>
      </c>
      <c r="R296" s="213">
        <f t="shared" si="567"/>
        <v>0</v>
      </c>
      <c r="S296" s="204">
        <f t="shared" si="547"/>
        <v>488.13090000000005</v>
      </c>
      <c r="T296" s="204">
        <f t="shared" si="548"/>
        <v>-9.0000000005829861E-4</v>
      </c>
    </row>
    <row r="297" spans="1:20" s="2" customFormat="1" x14ac:dyDescent="0.3">
      <c r="A297" s="480" t="s">
        <v>550</v>
      </c>
      <c r="B297" s="452" t="s">
        <v>967</v>
      </c>
      <c r="C297" s="302" t="s">
        <v>92</v>
      </c>
      <c r="D297" s="303">
        <v>5.0599999999999996</v>
      </c>
      <c r="E297" s="356">
        <v>29.34</v>
      </c>
      <c r="F297" s="356">
        <f t="shared" si="549"/>
        <v>148.46</v>
      </c>
      <c r="G297" s="278">
        <v>0</v>
      </c>
      <c r="H297" s="240">
        <f t="shared" si="559"/>
        <v>0</v>
      </c>
      <c r="I297" s="241">
        <f t="shared" si="560"/>
        <v>0</v>
      </c>
      <c r="J297" s="419">
        <f t="shared" si="568"/>
        <v>5.0599999999999996</v>
      </c>
      <c r="K297" s="242">
        <f t="shared" si="561"/>
        <v>148.46039999999999</v>
      </c>
      <c r="L297" s="243">
        <f t="shared" si="562"/>
        <v>1</v>
      </c>
      <c r="M297" s="240">
        <f t="shared" si="546"/>
        <v>5.0599999999999996</v>
      </c>
      <c r="N297" s="240">
        <f t="shared" si="563"/>
        <v>148.46039999999999</v>
      </c>
      <c r="O297" s="244">
        <f t="shared" si="564"/>
        <v>1</v>
      </c>
      <c r="P297" s="211">
        <f t="shared" si="565"/>
        <v>0</v>
      </c>
      <c r="Q297" s="212">
        <f t="shared" si="566"/>
        <v>0</v>
      </c>
      <c r="R297" s="213">
        <f t="shared" si="567"/>
        <v>0</v>
      </c>
      <c r="S297" s="204">
        <f t="shared" si="547"/>
        <v>148.46039999999999</v>
      </c>
      <c r="T297" s="204">
        <f t="shared" si="548"/>
        <v>-3.9999999998485691E-4</v>
      </c>
    </row>
    <row r="298" spans="1:20" s="2" customFormat="1" x14ac:dyDescent="0.3">
      <c r="A298" s="304" t="s">
        <v>551</v>
      </c>
      <c r="B298" s="305" t="s">
        <v>968</v>
      </c>
      <c r="C298" s="320" t="s">
        <v>160</v>
      </c>
      <c r="D298" s="321"/>
      <c r="E298" s="349"/>
      <c r="F298" s="350">
        <f>SUM(F299:F300)</f>
        <v>369.12</v>
      </c>
      <c r="G298" s="308"/>
      <c r="H298" s="309" t="s">
        <v>110</v>
      </c>
      <c r="I298" s="323" t="s">
        <v>110</v>
      </c>
      <c r="J298" s="419"/>
      <c r="K298" s="309" t="s">
        <v>110</v>
      </c>
      <c r="L298" s="324" t="s">
        <v>110</v>
      </c>
      <c r="M298" s="309"/>
      <c r="N298" s="309" t="s">
        <v>110</v>
      </c>
      <c r="O298" s="324" t="s">
        <v>110</v>
      </c>
      <c r="P298" s="326" t="s">
        <v>110</v>
      </c>
      <c r="Q298" s="309" t="s">
        <v>110</v>
      </c>
      <c r="R298" s="324" t="s">
        <v>110</v>
      </c>
      <c r="S298" s="204" t="e">
        <f t="shared" ref="S298:S303" si="569">N298+Q298</f>
        <v>#VALUE!</v>
      </c>
      <c r="T298" s="204" t="e">
        <f t="shared" ref="T298:T303" si="570">F298-S298</f>
        <v>#VALUE!</v>
      </c>
    </row>
    <row r="299" spans="1:20" s="2" customFormat="1" x14ac:dyDescent="0.3">
      <c r="A299" s="480" t="s">
        <v>552</v>
      </c>
      <c r="B299" s="452" t="s">
        <v>969</v>
      </c>
      <c r="C299" s="302" t="s">
        <v>92</v>
      </c>
      <c r="D299" s="303">
        <v>2.68</v>
      </c>
      <c r="E299" s="356">
        <v>70.63</v>
      </c>
      <c r="F299" s="356">
        <f t="shared" si="549"/>
        <v>189.29</v>
      </c>
      <c r="G299" s="278">
        <v>0</v>
      </c>
      <c r="H299" s="240">
        <f t="shared" ref="H299:H300" si="571">G299*E299</f>
        <v>0</v>
      </c>
      <c r="I299" s="241">
        <f t="shared" ref="I299:I300" si="572">+G299/D299</f>
        <v>0</v>
      </c>
      <c r="J299" s="419">
        <f>+D299</f>
        <v>2.68</v>
      </c>
      <c r="K299" s="242">
        <f t="shared" ref="K299:K300" si="573">J299*E299</f>
        <v>189.2884</v>
      </c>
      <c r="L299" s="243">
        <f t="shared" ref="L299:L300" si="574">+J299/D299</f>
        <v>1</v>
      </c>
      <c r="M299" s="240">
        <f t="shared" si="546"/>
        <v>2.68</v>
      </c>
      <c r="N299" s="240">
        <f t="shared" ref="N299:N300" si="575">M299*E299</f>
        <v>189.2884</v>
      </c>
      <c r="O299" s="244">
        <f t="shared" ref="O299:O300" si="576">+M299/D299</f>
        <v>1</v>
      </c>
      <c r="P299" s="211">
        <f t="shared" ref="P299:P300" si="577">+D299-M299</f>
        <v>0</v>
      </c>
      <c r="Q299" s="212">
        <f t="shared" ref="Q299:Q300" si="578">P299*E299</f>
        <v>0</v>
      </c>
      <c r="R299" s="213">
        <f t="shared" ref="R299:R300" si="579">+P299/D299</f>
        <v>0</v>
      </c>
      <c r="S299" s="204">
        <f t="shared" si="569"/>
        <v>189.2884</v>
      </c>
      <c r="T299" s="204">
        <f t="shared" si="570"/>
        <v>1.5999999999962711E-3</v>
      </c>
    </row>
    <row r="300" spans="1:20" s="2" customFormat="1" x14ac:dyDescent="0.3">
      <c r="A300" s="480" t="s">
        <v>553</v>
      </c>
      <c r="B300" s="452" t="s">
        <v>970</v>
      </c>
      <c r="C300" s="302" t="s">
        <v>92</v>
      </c>
      <c r="D300" s="303">
        <v>2.68</v>
      </c>
      <c r="E300" s="356">
        <v>67.099999999999994</v>
      </c>
      <c r="F300" s="356">
        <f t="shared" si="549"/>
        <v>179.83</v>
      </c>
      <c r="G300" s="278">
        <v>0</v>
      </c>
      <c r="H300" s="240">
        <f t="shared" si="571"/>
        <v>0</v>
      </c>
      <c r="I300" s="241">
        <f t="shared" si="572"/>
        <v>0</v>
      </c>
      <c r="J300" s="419">
        <f>+D300</f>
        <v>2.68</v>
      </c>
      <c r="K300" s="242">
        <f t="shared" si="573"/>
        <v>179.828</v>
      </c>
      <c r="L300" s="243">
        <f t="shared" si="574"/>
        <v>1</v>
      </c>
      <c r="M300" s="240">
        <f t="shared" si="546"/>
        <v>2.68</v>
      </c>
      <c r="N300" s="240">
        <f t="shared" si="575"/>
        <v>179.828</v>
      </c>
      <c r="O300" s="244">
        <f t="shared" si="576"/>
        <v>1</v>
      </c>
      <c r="P300" s="211">
        <f t="shared" si="577"/>
        <v>0</v>
      </c>
      <c r="Q300" s="212">
        <f t="shared" si="578"/>
        <v>0</v>
      </c>
      <c r="R300" s="213">
        <f t="shared" si="579"/>
        <v>0</v>
      </c>
      <c r="S300" s="204">
        <f t="shared" si="569"/>
        <v>179.828</v>
      </c>
      <c r="T300" s="204">
        <f t="shared" si="570"/>
        <v>2.0000000000095497E-3</v>
      </c>
    </row>
    <row r="301" spans="1:20" s="2" customFormat="1" x14ac:dyDescent="0.3">
      <c r="A301" s="304" t="s">
        <v>554</v>
      </c>
      <c r="B301" s="305" t="s">
        <v>881</v>
      </c>
      <c r="C301" s="320" t="s">
        <v>160</v>
      </c>
      <c r="D301" s="321"/>
      <c r="E301" s="349"/>
      <c r="F301" s="350">
        <f>+F302+F304</f>
        <v>6862.68</v>
      </c>
      <c r="G301" s="308"/>
      <c r="H301" s="309" t="s">
        <v>110</v>
      </c>
      <c r="I301" s="323" t="s">
        <v>110</v>
      </c>
      <c r="J301" s="419" t="s">
        <v>110</v>
      </c>
      <c r="K301" s="309" t="s">
        <v>110</v>
      </c>
      <c r="L301" s="324" t="s">
        <v>110</v>
      </c>
      <c r="M301" s="309"/>
      <c r="N301" s="309" t="s">
        <v>110</v>
      </c>
      <c r="O301" s="324" t="s">
        <v>110</v>
      </c>
      <c r="P301" s="326" t="s">
        <v>110</v>
      </c>
      <c r="Q301" s="309" t="s">
        <v>110</v>
      </c>
      <c r="R301" s="324" t="s">
        <v>110</v>
      </c>
      <c r="S301" s="204" t="e">
        <f t="shared" si="569"/>
        <v>#VALUE!</v>
      </c>
      <c r="T301" s="204" t="e">
        <f t="shared" si="570"/>
        <v>#VALUE!</v>
      </c>
    </row>
    <row r="302" spans="1:20" s="2" customFormat="1" x14ac:dyDescent="0.3">
      <c r="A302" s="304" t="s">
        <v>555</v>
      </c>
      <c r="B302" s="305" t="s">
        <v>971</v>
      </c>
      <c r="C302" s="320" t="s">
        <v>160</v>
      </c>
      <c r="D302" s="321"/>
      <c r="E302" s="353"/>
      <c r="F302" s="354">
        <f>+F303</f>
        <v>1580.55</v>
      </c>
      <c r="G302" s="308"/>
      <c r="H302" s="309" t="s">
        <v>110</v>
      </c>
      <c r="I302" s="323" t="s">
        <v>110</v>
      </c>
      <c r="J302" s="419" t="s">
        <v>110</v>
      </c>
      <c r="K302" s="309" t="s">
        <v>110</v>
      </c>
      <c r="L302" s="324" t="s">
        <v>110</v>
      </c>
      <c r="M302" s="309"/>
      <c r="N302" s="309" t="s">
        <v>110</v>
      </c>
      <c r="O302" s="324" t="s">
        <v>110</v>
      </c>
      <c r="P302" s="326" t="s">
        <v>110</v>
      </c>
      <c r="Q302" s="309" t="s">
        <v>110</v>
      </c>
      <c r="R302" s="324" t="s">
        <v>110</v>
      </c>
      <c r="S302" s="204" t="e">
        <f t="shared" si="569"/>
        <v>#VALUE!</v>
      </c>
      <c r="T302" s="204" t="e">
        <f t="shared" si="570"/>
        <v>#VALUE!</v>
      </c>
    </row>
    <row r="303" spans="1:20" s="2" customFormat="1" x14ac:dyDescent="0.3">
      <c r="A303" s="298" t="s">
        <v>556</v>
      </c>
      <c r="B303" s="300" t="s">
        <v>972</v>
      </c>
      <c r="C303" s="302" t="s">
        <v>92</v>
      </c>
      <c r="D303" s="303">
        <v>49.97</v>
      </c>
      <c r="E303" s="356">
        <v>31.63</v>
      </c>
      <c r="F303" s="356">
        <f>+ROUND((D303*E303),2)</f>
        <v>1580.55</v>
      </c>
      <c r="G303" s="278">
        <v>0</v>
      </c>
      <c r="H303" s="240">
        <f t="shared" ref="H303" si="580">G303*E303</f>
        <v>0</v>
      </c>
      <c r="I303" s="241">
        <f t="shared" ref="I303" si="581">+G303/D303</f>
        <v>0</v>
      </c>
      <c r="J303" s="419"/>
      <c r="K303" s="242">
        <f t="shared" ref="K303" si="582">J303*E303</f>
        <v>0</v>
      </c>
      <c r="L303" s="243">
        <f t="shared" ref="L303" si="583">+J303/D303</f>
        <v>0</v>
      </c>
      <c r="M303" s="240">
        <f t="shared" si="546"/>
        <v>0</v>
      </c>
      <c r="N303" s="240">
        <f t="shared" ref="N303" si="584">M303*E303</f>
        <v>0</v>
      </c>
      <c r="O303" s="244">
        <f t="shared" ref="O303" si="585">+M303/D303</f>
        <v>0</v>
      </c>
      <c r="P303" s="211">
        <f t="shared" ref="P303" si="586">+D303-M303</f>
        <v>49.97</v>
      </c>
      <c r="Q303" s="212">
        <f t="shared" ref="Q303" si="587">P303*E303</f>
        <v>1580.5510999999999</v>
      </c>
      <c r="R303" s="213">
        <f t="shared" ref="R303" si="588">+P303/D303</f>
        <v>1</v>
      </c>
      <c r="S303" s="204">
        <f t="shared" si="569"/>
        <v>1580.5510999999999</v>
      </c>
      <c r="T303" s="204">
        <f t="shared" si="570"/>
        <v>-1.0999999999512511E-3</v>
      </c>
    </row>
    <row r="304" spans="1:20" s="2" customFormat="1" x14ac:dyDescent="0.3">
      <c r="A304" s="304" t="s">
        <v>557</v>
      </c>
      <c r="B304" s="305" t="s">
        <v>973</v>
      </c>
      <c r="C304" s="320" t="s">
        <v>160</v>
      </c>
      <c r="D304" s="321"/>
      <c r="E304" s="353"/>
      <c r="F304" s="354">
        <f>SUM(F305:F307)</f>
        <v>5282.13</v>
      </c>
      <c r="G304" s="308"/>
      <c r="H304" s="309" t="s">
        <v>110</v>
      </c>
      <c r="I304" s="323" t="s">
        <v>110</v>
      </c>
      <c r="J304" s="419"/>
      <c r="K304" s="309" t="s">
        <v>110</v>
      </c>
      <c r="L304" s="324" t="s">
        <v>110</v>
      </c>
      <c r="M304" s="309"/>
      <c r="N304" s="309" t="s">
        <v>110</v>
      </c>
      <c r="O304" s="324" t="s">
        <v>110</v>
      </c>
      <c r="P304" s="326" t="s">
        <v>110</v>
      </c>
      <c r="Q304" s="309" t="s">
        <v>110</v>
      </c>
      <c r="R304" s="324" t="s">
        <v>110</v>
      </c>
      <c r="S304" s="204" t="e">
        <f>N304+Q304</f>
        <v>#VALUE!</v>
      </c>
      <c r="T304" s="204" t="e">
        <f>F304-S304</f>
        <v>#VALUE!</v>
      </c>
    </row>
    <row r="305" spans="1:20" s="2" customFormat="1" x14ac:dyDescent="0.3">
      <c r="A305" s="298" t="s">
        <v>558</v>
      </c>
      <c r="B305" s="300" t="s">
        <v>974</v>
      </c>
      <c r="C305" s="302" t="s">
        <v>92</v>
      </c>
      <c r="D305" s="303">
        <v>1.37</v>
      </c>
      <c r="E305" s="356">
        <v>114.79</v>
      </c>
      <c r="F305" s="356">
        <f>+ROUND((D305*E305),2)</f>
        <v>157.26</v>
      </c>
      <c r="G305" s="278">
        <v>0</v>
      </c>
      <c r="H305" s="240">
        <f t="shared" ref="H305:H307" si="589">G305*E305</f>
        <v>0</v>
      </c>
      <c r="I305" s="241">
        <f t="shared" ref="I305:I307" si="590">+G305/D305</f>
        <v>0</v>
      </c>
      <c r="J305" s="419"/>
      <c r="K305" s="242">
        <f t="shared" ref="K305:K307" si="591">J305*E305</f>
        <v>0</v>
      </c>
      <c r="L305" s="243">
        <f t="shared" ref="L305:L307" si="592">+J305/D305</f>
        <v>0</v>
      </c>
      <c r="M305" s="240">
        <f t="shared" si="546"/>
        <v>0</v>
      </c>
      <c r="N305" s="240">
        <f t="shared" ref="N305:N307" si="593">M305*E305</f>
        <v>0</v>
      </c>
      <c r="O305" s="244">
        <f t="shared" ref="O305:O307" si="594">+M305/D305</f>
        <v>0</v>
      </c>
      <c r="P305" s="211">
        <f t="shared" ref="P305:P307" si="595">+D305-M305</f>
        <v>1.37</v>
      </c>
      <c r="Q305" s="212">
        <f t="shared" ref="Q305:Q307" si="596">P305*E305</f>
        <v>157.26230000000001</v>
      </c>
      <c r="R305" s="213">
        <f t="shared" ref="R305:R307" si="597">+P305/D305</f>
        <v>1</v>
      </c>
      <c r="S305" s="204">
        <f t="shared" ref="S305:S307" si="598">N305+Q305</f>
        <v>157.26230000000001</v>
      </c>
      <c r="T305" s="204">
        <f t="shared" ref="T305:T307" si="599">F305-S305</f>
        <v>-2.3000000000195087E-3</v>
      </c>
    </row>
    <row r="306" spans="1:20" s="2" customFormat="1" x14ac:dyDescent="0.3">
      <c r="A306" s="298" t="s">
        <v>559</v>
      </c>
      <c r="B306" s="300" t="s">
        <v>975</v>
      </c>
      <c r="C306" s="302" t="s">
        <v>92</v>
      </c>
      <c r="D306" s="303">
        <v>48.6</v>
      </c>
      <c r="E306" s="356">
        <v>104.31</v>
      </c>
      <c r="F306" s="356">
        <f>+ROUND((D306*E306),2)</f>
        <v>5069.47</v>
      </c>
      <c r="G306" s="278">
        <v>0</v>
      </c>
      <c r="H306" s="240">
        <f t="shared" si="589"/>
        <v>0</v>
      </c>
      <c r="I306" s="241">
        <f t="shared" si="590"/>
        <v>0</v>
      </c>
      <c r="J306" s="419"/>
      <c r="K306" s="242">
        <f t="shared" si="591"/>
        <v>0</v>
      </c>
      <c r="L306" s="243">
        <f t="shared" si="592"/>
        <v>0</v>
      </c>
      <c r="M306" s="240">
        <f t="shared" si="546"/>
        <v>0</v>
      </c>
      <c r="N306" s="240">
        <f t="shared" si="593"/>
        <v>0</v>
      </c>
      <c r="O306" s="244">
        <f t="shared" si="594"/>
        <v>0</v>
      </c>
      <c r="P306" s="211">
        <f t="shared" si="595"/>
        <v>48.6</v>
      </c>
      <c r="Q306" s="212">
        <f t="shared" si="596"/>
        <v>5069.4660000000003</v>
      </c>
      <c r="R306" s="213">
        <f t="shared" si="597"/>
        <v>1</v>
      </c>
      <c r="S306" s="204">
        <f t="shared" si="598"/>
        <v>5069.4660000000003</v>
      </c>
      <c r="T306" s="204">
        <f t="shared" si="599"/>
        <v>3.9999999999054126E-3</v>
      </c>
    </row>
    <row r="307" spans="1:20" s="2" customFormat="1" x14ac:dyDescent="0.3">
      <c r="A307" s="298" t="s">
        <v>560</v>
      </c>
      <c r="B307" s="300" t="s">
        <v>976</v>
      </c>
      <c r="C307" s="302" t="s">
        <v>92</v>
      </c>
      <c r="D307" s="303">
        <v>0.15</v>
      </c>
      <c r="E307" s="356">
        <v>369.3</v>
      </c>
      <c r="F307" s="356">
        <f>+ROUND((D307*E307),2)</f>
        <v>55.4</v>
      </c>
      <c r="G307" s="278">
        <v>0</v>
      </c>
      <c r="H307" s="240">
        <f t="shared" si="589"/>
        <v>0</v>
      </c>
      <c r="I307" s="241">
        <f t="shared" si="590"/>
        <v>0</v>
      </c>
      <c r="J307" s="419"/>
      <c r="K307" s="242">
        <f t="shared" si="591"/>
        <v>0</v>
      </c>
      <c r="L307" s="243">
        <f t="shared" si="592"/>
        <v>0</v>
      </c>
      <c r="M307" s="240">
        <f t="shared" si="546"/>
        <v>0</v>
      </c>
      <c r="N307" s="240">
        <f t="shared" si="593"/>
        <v>0</v>
      </c>
      <c r="O307" s="244">
        <f t="shared" si="594"/>
        <v>0</v>
      </c>
      <c r="P307" s="211">
        <f t="shared" si="595"/>
        <v>0.15</v>
      </c>
      <c r="Q307" s="212">
        <f t="shared" si="596"/>
        <v>55.395000000000003</v>
      </c>
      <c r="R307" s="213">
        <f t="shared" si="597"/>
        <v>1</v>
      </c>
      <c r="S307" s="204">
        <f t="shared" si="598"/>
        <v>55.395000000000003</v>
      </c>
      <c r="T307" s="204">
        <f t="shared" si="599"/>
        <v>4.9999999999954525E-3</v>
      </c>
    </row>
    <row r="308" spans="1:20" s="2" customFormat="1" x14ac:dyDescent="0.3">
      <c r="A308" s="304" t="s">
        <v>561</v>
      </c>
      <c r="B308" s="305" t="s">
        <v>977</v>
      </c>
      <c r="C308" s="320" t="s">
        <v>160</v>
      </c>
      <c r="D308" s="321"/>
      <c r="E308" s="349"/>
      <c r="F308" s="350">
        <f>+F309+F311</f>
        <v>914.75</v>
      </c>
      <c r="G308" s="308"/>
      <c r="H308" s="309" t="s">
        <v>110</v>
      </c>
      <c r="I308" s="323" t="s">
        <v>110</v>
      </c>
      <c r="J308" s="419"/>
      <c r="K308" s="309" t="s">
        <v>110</v>
      </c>
      <c r="L308" s="324" t="s">
        <v>110</v>
      </c>
      <c r="M308" s="309"/>
      <c r="N308" s="309" t="s">
        <v>110</v>
      </c>
      <c r="O308" s="324" t="s">
        <v>110</v>
      </c>
      <c r="P308" s="326" t="s">
        <v>110</v>
      </c>
      <c r="Q308" s="309" t="s">
        <v>110</v>
      </c>
      <c r="R308" s="324" t="s">
        <v>110</v>
      </c>
      <c r="S308" s="204" t="s">
        <v>110</v>
      </c>
      <c r="T308" s="204" t="s">
        <v>110</v>
      </c>
    </row>
    <row r="309" spans="1:20" s="2" customFormat="1" x14ac:dyDescent="0.3">
      <c r="A309" s="304" t="s">
        <v>562</v>
      </c>
      <c r="B309" s="305" t="s">
        <v>978</v>
      </c>
      <c r="C309" s="320" t="s">
        <v>160</v>
      </c>
      <c r="D309" s="321"/>
      <c r="E309" s="353"/>
      <c r="F309" s="354">
        <f>+F310</f>
        <v>832.37</v>
      </c>
      <c r="G309" s="308"/>
      <c r="H309" s="309" t="s">
        <v>110</v>
      </c>
      <c r="I309" s="323" t="s">
        <v>110</v>
      </c>
      <c r="J309" s="419"/>
      <c r="K309" s="309" t="s">
        <v>110</v>
      </c>
      <c r="L309" s="324" t="s">
        <v>110</v>
      </c>
      <c r="M309" s="309"/>
      <c r="N309" s="309" t="s">
        <v>110</v>
      </c>
      <c r="O309" s="324" t="s">
        <v>110</v>
      </c>
      <c r="P309" s="326" t="s">
        <v>110</v>
      </c>
      <c r="Q309" s="309" t="s">
        <v>110</v>
      </c>
      <c r="R309" s="324" t="s">
        <v>110</v>
      </c>
      <c r="S309" s="204" t="e">
        <f>N309+Q309</f>
        <v>#VALUE!</v>
      </c>
      <c r="T309" s="204" t="e">
        <f>F309-S309</f>
        <v>#VALUE!</v>
      </c>
    </row>
    <row r="310" spans="1:20" s="2" customFormat="1" x14ac:dyDescent="0.3">
      <c r="A310" s="298" t="s">
        <v>563</v>
      </c>
      <c r="B310" s="300" t="s">
        <v>979</v>
      </c>
      <c r="C310" s="302" t="s">
        <v>92</v>
      </c>
      <c r="D310" s="303">
        <v>9.5399999999999991</v>
      </c>
      <c r="E310" s="356">
        <v>87.25</v>
      </c>
      <c r="F310" s="356">
        <f>+ROUND((D310*E310),2)</f>
        <v>832.37</v>
      </c>
      <c r="G310" s="278">
        <v>0</v>
      </c>
      <c r="H310" s="240">
        <f t="shared" ref="H310" si="600">G310*E310</f>
        <v>0</v>
      </c>
      <c r="I310" s="241">
        <f t="shared" ref="I310" si="601">+G310/D310</f>
        <v>0</v>
      </c>
      <c r="J310" s="419"/>
      <c r="K310" s="242">
        <f t="shared" ref="K310" si="602">J310*E310</f>
        <v>0</v>
      </c>
      <c r="L310" s="243">
        <f t="shared" ref="L310" si="603">+J310/D310</f>
        <v>0</v>
      </c>
      <c r="M310" s="240">
        <f t="shared" si="546"/>
        <v>0</v>
      </c>
      <c r="N310" s="240">
        <f t="shared" ref="N310" si="604">M310*E310</f>
        <v>0</v>
      </c>
      <c r="O310" s="244">
        <f t="shared" ref="O310" si="605">+M310/D310</f>
        <v>0</v>
      </c>
      <c r="P310" s="211">
        <f t="shared" ref="P310" si="606">+D310-M310</f>
        <v>9.5399999999999991</v>
      </c>
      <c r="Q310" s="212">
        <f t="shared" ref="Q310" si="607">P310*E310</f>
        <v>832.3649999999999</v>
      </c>
      <c r="R310" s="213">
        <f t="shared" ref="R310" si="608">+P310/D310</f>
        <v>1</v>
      </c>
      <c r="S310" s="204">
        <f t="shared" ref="S310" si="609">N310+Q310</f>
        <v>832.3649999999999</v>
      </c>
      <c r="T310" s="204">
        <f t="shared" ref="T310" si="610">F310-S310</f>
        <v>5.0000000001091394E-3</v>
      </c>
    </row>
    <row r="311" spans="1:20" s="2" customFormat="1" x14ac:dyDescent="0.3">
      <c r="A311" s="304" t="s">
        <v>564</v>
      </c>
      <c r="B311" s="305" t="s">
        <v>980</v>
      </c>
      <c r="C311" s="320" t="s">
        <v>160</v>
      </c>
      <c r="D311" s="321"/>
      <c r="E311" s="353"/>
      <c r="F311" s="354">
        <f>SUM(F312:F313)</f>
        <v>82.38</v>
      </c>
      <c r="G311" s="308"/>
      <c r="H311" s="309" t="s">
        <v>110</v>
      </c>
      <c r="I311" s="323" t="s">
        <v>110</v>
      </c>
      <c r="J311" s="419"/>
      <c r="K311" s="309" t="s">
        <v>110</v>
      </c>
      <c r="L311" s="324" t="s">
        <v>110</v>
      </c>
      <c r="M311" s="309"/>
      <c r="N311" s="309" t="s">
        <v>110</v>
      </c>
      <c r="O311" s="324" t="s">
        <v>110</v>
      </c>
      <c r="P311" s="326" t="s">
        <v>110</v>
      </c>
      <c r="Q311" s="309" t="s">
        <v>110</v>
      </c>
      <c r="R311" s="324" t="s">
        <v>110</v>
      </c>
      <c r="S311" s="204" t="e">
        <f>N311+Q311</f>
        <v>#VALUE!</v>
      </c>
      <c r="T311" s="204" t="e">
        <f>F311-S311</f>
        <v>#VALUE!</v>
      </c>
    </row>
    <row r="312" spans="1:20" s="2" customFormat="1" x14ac:dyDescent="0.3">
      <c r="A312" s="298" t="s">
        <v>565</v>
      </c>
      <c r="B312" s="300" t="s">
        <v>979</v>
      </c>
      <c r="C312" s="302" t="s">
        <v>92</v>
      </c>
      <c r="D312" s="303">
        <v>3.19</v>
      </c>
      <c r="E312" s="356">
        <v>15.63</v>
      </c>
      <c r="F312" s="356">
        <f>+ROUND((D312*E312),2)</f>
        <v>49.86</v>
      </c>
      <c r="G312" s="278">
        <v>0</v>
      </c>
      <c r="H312" s="240">
        <f t="shared" ref="H312:H313" si="611">G312*E312</f>
        <v>0</v>
      </c>
      <c r="I312" s="241">
        <f t="shared" ref="I312:I313" si="612">+G312/D312</f>
        <v>0</v>
      </c>
      <c r="J312" s="419"/>
      <c r="K312" s="242">
        <f t="shared" ref="K312:K313" si="613">J312*E312</f>
        <v>0</v>
      </c>
      <c r="L312" s="243">
        <f t="shared" ref="L312:L313" si="614">+J312/D312</f>
        <v>0</v>
      </c>
      <c r="M312" s="240">
        <f t="shared" si="546"/>
        <v>0</v>
      </c>
      <c r="N312" s="240">
        <f t="shared" ref="N312:N313" si="615">M312*E312</f>
        <v>0</v>
      </c>
      <c r="O312" s="244">
        <f t="shared" ref="O312:O313" si="616">+M312/D312</f>
        <v>0</v>
      </c>
      <c r="P312" s="211">
        <f t="shared" ref="P312:P313" si="617">+D312-M312</f>
        <v>3.19</v>
      </c>
      <c r="Q312" s="212">
        <f t="shared" ref="Q312:Q313" si="618">P312*E312</f>
        <v>49.859700000000004</v>
      </c>
      <c r="R312" s="213">
        <f t="shared" ref="R312:R313" si="619">+P312/D312</f>
        <v>1</v>
      </c>
      <c r="S312" s="204">
        <f t="shared" ref="S312:S313" si="620">N312+Q312</f>
        <v>49.859700000000004</v>
      </c>
      <c r="T312" s="204">
        <f t="shared" ref="T312:T313" si="621">F312-S312</f>
        <v>2.9999999999574811E-4</v>
      </c>
    </row>
    <row r="313" spans="1:20" s="2" customFormat="1" x14ac:dyDescent="0.3">
      <c r="A313" s="298" t="s">
        <v>566</v>
      </c>
      <c r="B313" s="300" t="s">
        <v>981</v>
      </c>
      <c r="C313" s="302" t="s">
        <v>92</v>
      </c>
      <c r="D313" s="303">
        <v>1.76</v>
      </c>
      <c r="E313" s="356">
        <v>18.48</v>
      </c>
      <c r="F313" s="356">
        <f>+ROUND((D313*E313),2)</f>
        <v>32.520000000000003</v>
      </c>
      <c r="G313" s="278">
        <v>0</v>
      </c>
      <c r="H313" s="240">
        <f t="shared" si="611"/>
        <v>0</v>
      </c>
      <c r="I313" s="241">
        <f t="shared" si="612"/>
        <v>0</v>
      </c>
      <c r="J313" s="419"/>
      <c r="K313" s="242">
        <f t="shared" si="613"/>
        <v>0</v>
      </c>
      <c r="L313" s="243">
        <f t="shared" si="614"/>
        <v>0</v>
      </c>
      <c r="M313" s="240">
        <f t="shared" si="546"/>
        <v>0</v>
      </c>
      <c r="N313" s="240">
        <f t="shared" si="615"/>
        <v>0</v>
      </c>
      <c r="O313" s="244">
        <f t="shared" si="616"/>
        <v>0</v>
      </c>
      <c r="P313" s="211">
        <f t="shared" si="617"/>
        <v>1.76</v>
      </c>
      <c r="Q313" s="212">
        <f t="shared" si="618"/>
        <v>32.524799999999999</v>
      </c>
      <c r="R313" s="213">
        <f t="shared" si="619"/>
        <v>1</v>
      </c>
      <c r="S313" s="204">
        <f t="shared" si="620"/>
        <v>32.524799999999999</v>
      </c>
      <c r="T313" s="204">
        <f t="shared" si="621"/>
        <v>-4.7999999999959186E-3</v>
      </c>
    </row>
    <row r="314" spans="1:20" s="2" customFormat="1" x14ac:dyDescent="0.3">
      <c r="A314" s="322" t="s">
        <v>567</v>
      </c>
      <c r="B314" s="310" t="s">
        <v>982</v>
      </c>
      <c r="C314" s="306" t="s">
        <v>160</v>
      </c>
      <c r="D314" s="307"/>
      <c r="E314" s="349"/>
      <c r="F314" s="350">
        <f>+F315+F320+F323</f>
        <v>8283.35</v>
      </c>
      <c r="G314" s="308"/>
      <c r="H314" s="309" t="s">
        <v>110</v>
      </c>
      <c r="I314" s="323" t="s">
        <v>110</v>
      </c>
      <c r="J314" s="419"/>
      <c r="K314" s="309" t="s">
        <v>110</v>
      </c>
      <c r="L314" s="324" t="s">
        <v>110</v>
      </c>
      <c r="M314" s="309"/>
      <c r="N314" s="309" t="s">
        <v>110</v>
      </c>
      <c r="O314" s="324" t="s">
        <v>110</v>
      </c>
      <c r="P314" s="326" t="s">
        <v>110</v>
      </c>
      <c r="Q314" s="309" t="s">
        <v>110</v>
      </c>
      <c r="R314" s="324" t="s">
        <v>110</v>
      </c>
      <c r="S314" s="204" t="e">
        <f>N314+Q314</f>
        <v>#VALUE!</v>
      </c>
      <c r="T314" s="204" t="e">
        <f>F314-S314</f>
        <v>#VALUE!</v>
      </c>
    </row>
    <row r="315" spans="1:20" s="2" customFormat="1" x14ac:dyDescent="0.3">
      <c r="A315" s="322" t="s">
        <v>568</v>
      </c>
      <c r="B315" s="310" t="s">
        <v>983</v>
      </c>
      <c r="C315" s="306" t="s">
        <v>160</v>
      </c>
      <c r="D315" s="307"/>
      <c r="E315" s="353"/>
      <c r="F315" s="354">
        <f>SUM(F316:F319)</f>
        <v>946.29</v>
      </c>
      <c r="G315" s="308"/>
      <c r="H315" s="309" t="s">
        <v>110</v>
      </c>
      <c r="I315" s="323" t="s">
        <v>110</v>
      </c>
      <c r="J315" s="419"/>
      <c r="K315" s="309" t="s">
        <v>110</v>
      </c>
      <c r="L315" s="324" t="s">
        <v>110</v>
      </c>
      <c r="M315" s="309"/>
      <c r="N315" s="309" t="s">
        <v>110</v>
      </c>
      <c r="O315" s="324" t="s">
        <v>110</v>
      </c>
      <c r="P315" s="326" t="s">
        <v>110</v>
      </c>
      <c r="Q315" s="309" t="s">
        <v>110</v>
      </c>
      <c r="R315" s="324" t="s">
        <v>110</v>
      </c>
      <c r="S315" s="204" t="e">
        <f>N315+Q315</f>
        <v>#VALUE!</v>
      </c>
      <c r="T315" s="204" t="e">
        <f>F315-S315</f>
        <v>#VALUE!</v>
      </c>
    </row>
    <row r="316" spans="1:20" s="2" customFormat="1" x14ac:dyDescent="0.3">
      <c r="A316" s="298" t="s">
        <v>569</v>
      </c>
      <c r="B316" s="300" t="s">
        <v>984</v>
      </c>
      <c r="C316" s="302" t="s">
        <v>89</v>
      </c>
      <c r="D316" s="303">
        <v>1</v>
      </c>
      <c r="E316" s="356">
        <v>159.63</v>
      </c>
      <c r="F316" s="356">
        <f t="shared" ref="F316:F345" si="622">+ROUND((D316*E316),2)</f>
        <v>159.63</v>
      </c>
      <c r="G316" s="278">
        <v>0</v>
      </c>
      <c r="H316" s="240">
        <f t="shared" ref="H316:H319" si="623">G316*E316</f>
        <v>0</v>
      </c>
      <c r="I316" s="241">
        <f t="shared" ref="I316:I319" si="624">+G316/D316</f>
        <v>0</v>
      </c>
      <c r="J316" s="419"/>
      <c r="K316" s="242">
        <f t="shared" ref="K316:K319" si="625">J316*E316</f>
        <v>0</v>
      </c>
      <c r="L316" s="243">
        <f t="shared" ref="L316:L319" si="626">+J316/D316</f>
        <v>0</v>
      </c>
      <c r="M316" s="240">
        <f t="shared" si="546"/>
        <v>0</v>
      </c>
      <c r="N316" s="240">
        <f t="shared" ref="N316:N319" si="627">M316*E316</f>
        <v>0</v>
      </c>
      <c r="O316" s="244">
        <f t="shared" ref="O316:O319" si="628">+M316/D316</f>
        <v>0</v>
      </c>
      <c r="P316" s="211">
        <f t="shared" ref="P316:P319" si="629">+D316-M316</f>
        <v>1</v>
      </c>
      <c r="Q316" s="212">
        <f t="shared" ref="Q316:Q319" si="630">P316*E316</f>
        <v>159.63</v>
      </c>
      <c r="R316" s="213">
        <f t="shared" ref="R316:R319" si="631">+P316/D316</f>
        <v>1</v>
      </c>
      <c r="S316" s="204">
        <f t="shared" ref="S316:S319" si="632">N316+Q316</f>
        <v>159.63</v>
      </c>
      <c r="T316" s="204">
        <f t="shared" ref="T316:T319" si="633">F316-S316</f>
        <v>0</v>
      </c>
    </row>
    <row r="317" spans="1:20" s="2" customFormat="1" x14ac:dyDescent="0.3">
      <c r="A317" s="298" t="s">
        <v>570</v>
      </c>
      <c r="B317" s="300" t="s">
        <v>985</v>
      </c>
      <c r="C317" s="302" t="s">
        <v>89</v>
      </c>
      <c r="D317" s="303">
        <v>1</v>
      </c>
      <c r="E317" s="356">
        <v>14.72</v>
      </c>
      <c r="F317" s="356">
        <f t="shared" si="622"/>
        <v>14.72</v>
      </c>
      <c r="G317" s="278">
        <v>0</v>
      </c>
      <c r="H317" s="240">
        <f t="shared" si="623"/>
        <v>0</v>
      </c>
      <c r="I317" s="241">
        <f t="shared" si="624"/>
        <v>0</v>
      </c>
      <c r="J317" s="419"/>
      <c r="K317" s="242">
        <f t="shared" si="625"/>
        <v>0</v>
      </c>
      <c r="L317" s="243">
        <f t="shared" si="626"/>
        <v>0</v>
      </c>
      <c r="M317" s="240">
        <f t="shared" si="546"/>
        <v>0</v>
      </c>
      <c r="N317" s="240">
        <f t="shared" si="627"/>
        <v>0</v>
      </c>
      <c r="O317" s="244">
        <f t="shared" si="628"/>
        <v>0</v>
      </c>
      <c r="P317" s="211">
        <f t="shared" si="629"/>
        <v>1</v>
      </c>
      <c r="Q317" s="212">
        <f t="shared" si="630"/>
        <v>14.72</v>
      </c>
      <c r="R317" s="213">
        <f t="shared" si="631"/>
        <v>1</v>
      </c>
      <c r="S317" s="204">
        <f t="shared" si="632"/>
        <v>14.72</v>
      </c>
      <c r="T317" s="204">
        <f t="shared" si="633"/>
        <v>0</v>
      </c>
    </row>
    <row r="318" spans="1:20" s="2" customFormat="1" x14ac:dyDescent="0.3">
      <c r="A318" s="298" t="s">
        <v>571</v>
      </c>
      <c r="B318" s="300" t="s">
        <v>986</v>
      </c>
      <c r="C318" s="302" t="s">
        <v>89</v>
      </c>
      <c r="D318" s="303">
        <v>1</v>
      </c>
      <c r="E318" s="356">
        <v>445.32</v>
      </c>
      <c r="F318" s="356">
        <f t="shared" si="622"/>
        <v>445.32</v>
      </c>
      <c r="G318" s="278">
        <v>0</v>
      </c>
      <c r="H318" s="240">
        <f t="shared" si="623"/>
        <v>0</v>
      </c>
      <c r="I318" s="241">
        <f t="shared" si="624"/>
        <v>0</v>
      </c>
      <c r="J318" s="419"/>
      <c r="K318" s="242">
        <f t="shared" si="625"/>
        <v>0</v>
      </c>
      <c r="L318" s="243">
        <f t="shared" si="626"/>
        <v>0</v>
      </c>
      <c r="M318" s="240">
        <f t="shared" si="546"/>
        <v>0</v>
      </c>
      <c r="N318" s="240">
        <f t="shared" si="627"/>
        <v>0</v>
      </c>
      <c r="O318" s="244">
        <f t="shared" si="628"/>
        <v>0</v>
      </c>
      <c r="P318" s="211">
        <f t="shared" si="629"/>
        <v>1</v>
      </c>
      <c r="Q318" s="212">
        <f t="shared" si="630"/>
        <v>445.32</v>
      </c>
      <c r="R318" s="213">
        <f t="shared" si="631"/>
        <v>1</v>
      </c>
      <c r="S318" s="204">
        <f t="shared" si="632"/>
        <v>445.32</v>
      </c>
      <c r="T318" s="204">
        <f t="shared" si="633"/>
        <v>0</v>
      </c>
    </row>
    <row r="319" spans="1:20" s="2" customFormat="1" x14ac:dyDescent="0.3">
      <c r="A319" s="298" t="s">
        <v>572</v>
      </c>
      <c r="B319" s="300" t="s">
        <v>987</v>
      </c>
      <c r="C319" s="302" t="s">
        <v>89</v>
      </c>
      <c r="D319" s="303">
        <v>2</v>
      </c>
      <c r="E319" s="356">
        <v>163.31</v>
      </c>
      <c r="F319" s="356">
        <f t="shared" si="622"/>
        <v>326.62</v>
      </c>
      <c r="G319" s="278">
        <v>0</v>
      </c>
      <c r="H319" s="240">
        <f t="shared" si="623"/>
        <v>0</v>
      </c>
      <c r="I319" s="241">
        <f t="shared" si="624"/>
        <v>0</v>
      </c>
      <c r="J319" s="419"/>
      <c r="K319" s="242">
        <f t="shared" si="625"/>
        <v>0</v>
      </c>
      <c r="L319" s="243">
        <f t="shared" si="626"/>
        <v>0</v>
      </c>
      <c r="M319" s="240">
        <f t="shared" si="546"/>
        <v>0</v>
      </c>
      <c r="N319" s="240">
        <f t="shared" si="627"/>
        <v>0</v>
      </c>
      <c r="O319" s="244">
        <f t="shared" si="628"/>
        <v>0</v>
      </c>
      <c r="P319" s="211">
        <f t="shared" si="629"/>
        <v>2</v>
      </c>
      <c r="Q319" s="212">
        <f t="shared" si="630"/>
        <v>326.62</v>
      </c>
      <c r="R319" s="213">
        <f t="shared" si="631"/>
        <v>1</v>
      </c>
      <c r="S319" s="204">
        <f t="shared" si="632"/>
        <v>326.62</v>
      </c>
      <c r="T319" s="204">
        <f t="shared" si="633"/>
        <v>0</v>
      </c>
    </row>
    <row r="320" spans="1:20" s="2" customFormat="1" x14ac:dyDescent="0.3">
      <c r="A320" s="304" t="s">
        <v>573</v>
      </c>
      <c r="B320" s="305" t="s">
        <v>988</v>
      </c>
      <c r="C320" s="320" t="s">
        <v>160</v>
      </c>
      <c r="D320" s="321"/>
      <c r="E320" s="353"/>
      <c r="F320" s="354">
        <f>SUM(F321:F322)</f>
        <v>3356.08</v>
      </c>
      <c r="G320" s="308"/>
      <c r="H320" s="309" t="s">
        <v>110</v>
      </c>
      <c r="I320" s="323" t="s">
        <v>110</v>
      </c>
      <c r="J320" s="419"/>
      <c r="K320" s="309" t="s">
        <v>110</v>
      </c>
      <c r="L320" s="324" t="s">
        <v>110</v>
      </c>
      <c r="M320" s="309"/>
      <c r="N320" s="309" t="s">
        <v>110</v>
      </c>
      <c r="O320" s="324" t="s">
        <v>110</v>
      </c>
      <c r="P320" s="326" t="s">
        <v>110</v>
      </c>
      <c r="Q320" s="309" t="s">
        <v>110</v>
      </c>
      <c r="R320" s="324" t="s">
        <v>110</v>
      </c>
      <c r="S320" s="204" t="e">
        <f>N320+Q320</f>
        <v>#VALUE!</v>
      </c>
      <c r="T320" s="204" t="e">
        <f>F320-S320</f>
        <v>#VALUE!</v>
      </c>
    </row>
    <row r="321" spans="1:20" s="2" customFormat="1" x14ac:dyDescent="0.3">
      <c r="A321" s="298" t="s">
        <v>574</v>
      </c>
      <c r="B321" s="300" t="s">
        <v>989</v>
      </c>
      <c r="C321" s="302" t="s">
        <v>89</v>
      </c>
      <c r="D321" s="303">
        <v>1</v>
      </c>
      <c r="E321" s="356">
        <v>2685.04</v>
      </c>
      <c r="F321" s="356">
        <f t="shared" si="622"/>
        <v>2685.04</v>
      </c>
      <c r="G321" s="278">
        <v>0</v>
      </c>
      <c r="H321" s="240">
        <f t="shared" ref="H321:H322" si="634">G321*E321</f>
        <v>0</v>
      </c>
      <c r="I321" s="241">
        <f t="shared" ref="I321:I322" si="635">+G321/D321</f>
        <v>0</v>
      </c>
      <c r="J321" s="419"/>
      <c r="K321" s="242">
        <f t="shared" ref="K321:K322" si="636">J321*E321</f>
        <v>0</v>
      </c>
      <c r="L321" s="243">
        <f t="shared" ref="L321:L322" si="637">+J321/D321</f>
        <v>0</v>
      </c>
      <c r="M321" s="240">
        <f t="shared" si="546"/>
        <v>0</v>
      </c>
      <c r="N321" s="240">
        <f t="shared" ref="N321:N322" si="638">M321*E321</f>
        <v>0</v>
      </c>
      <c r="O321" s="244">
        <f t="shared" ref="O321:O322" si="639">+M321/D321</f>
        <v>0</v>
      </c>
      <c r="P321" s="211">
        <f t="shared" ref="P321:P322" si="640">+D321-M321</f>
        <v>1</v>
      </c>
      <c r="Q321" s="212">
        <f t="shared" ref="Q321:Q322" si="641">P321*E321</f>
        <v>2685.04</v>
      </c>
      <c r="R321" s="213">
        <f t="shared" ref="R321:R322" si="642">+P321/D321</f>
        <v>1</v>
      </c>
      <c r="S321" s="204">
        <f t="shared" ref="S321:S322" si="643">N321+Q321</f>
        <v>2685.04</v>
      </c>
      <c r="T321" s="204">
        <f t="shared" ref="T321:T322" si="644">F321-S321</f>
        <v>0</v>
      </c>
    </row>
    <row r="322" spans="1:20" s="2" customFormat="1" x14ac:dyDescent="0.3">
      <c r="A322" s="298" t="s">
        <v>575</v>
      </c>
      <c r="B322" s="300" t="s">
        <v>990</v>
      </c>
      <c r="C322" s="302" t="s">
        <v>89</v>
      </c>
      <c r="D322" s="303">
        <v>1</v>
      </c>
      <c r="E322" s="356">
        <v>671.04</v>
      </c>
      <c r="F322" s="356">
        <f t="shared" si="622"/>
        <v>671.04</v>
      </c>
      <c r="G322" s="278">
        <v>0</v>
      </c>
      <c r="H322" s="240">
        <f t="shared" si="634"/>
        <v>0</v>
      </c>
      <c r="I322" s="241">
        <f t="shared" si="635"/>
        <v>0</v>
      </c>
      <c r="J322" s="419"/>
      <c r="K322" s="242">
        <f t="shared" si="636"/>
        <v>0</v>
      </c>
      <c r="L322" s="243">
        <f t="shared" si="637"/>
        <v>0</v>
      </c>
      <c r="M322" s="240">
        <f t="shared" si="546"/>
        <v>0</v>
      </c>
      <c r="N322" s="240">
        <f t="shared" si="638"/>
        <v>0</v>
      </c>
      <c r="O322" s="244">
        <f t="shared" si="639"/>
        <v>0</v>
      </c>
      <c r="P322" s="211">
        <f t="shared" si="640"/>
        <v>1</v>
      </c>
      <c r="Q322" s="212">
        <f t="shared" si="641"/>
        <v>671.04</v>
      </c>
      <c r="R322" s="213">
        <f t="shared" si="642"/>
        <v>1</v>
      </c>
      <c r="S322" s="204">
        <f t="shared" si="643"/>
        <v>671.04</v>
      </c>
      <c r="T322" s="204">
        <f t="shared" si="644"/>
        <v>0</v>
      </c>
    </row>
    <row r="323" spans="1:20" s="2" customFormat="1" x14ac:dyDescent="0.3">
      <c r="A323" s="304" t="s">
        <v>576</v>
      </c>
      <c r="B323" s="305" t="s">
        <v>991</v>
      </c>
      <c r="C323" s="320" t="s">
        <v>160</v>
      </c>
      <c r="D323" s="321"/>
      <c r="E323" s="353"/>
      <c r="F323" s="354">
        <f>+F324</f>
        <v>3980.98</v>
      </c>
      <c r="G323" s="308"/>
      <c r="H323" s="309" t="s">
        <v>110</v>
      </c>
      <c r="I323" s="323" t="s">
        <v>110</v>
      </c>
      <c r="J323" s="419"/>
      <c r="K323" s="309" t="s">
        <v>110</v>
      </c>
      <c r="L323" s="324" t="s">
        <v>110</v>
      </c>
      <c r="M323" s="309"/>
      <c r="N323" s="309" t="s">
        <v>110</v>
      </c>
      <c r="O323" s="324" t="s">
        <v>110</v>
      </c>
      <c r="P323" s="326" t="s">
        <v>110</v>
      </c>
      <c r="Q323" s="309" t="s">
        <v>110</v>
      </c>
      <c r="R323" s="324" t="s">
        <v>110</v>
      </c>
      <c r="S323" s="204" t="e">
        <f>N323+Q323</f>
        <v>#VALUE!</v>
      </c>
      <c r="T323" s="204" t="e">
        <f>F323-S323</f>
        <v>#VALUE!</v>
      </c>
    </row>
    <row r="324" spans="1:20" s="2" customFormat="1" x14ac:dyDescent="0.3">
      <c r="A324" s="298" t="s">
        <v>577</v>
      </c>
      <c r="B324" s="300" t="s">
        <v>992</v>
      </c>
      <c r="C324" s="302" t="s">
        <v>89</v>
      </c>
      <c r="D324" s="303">
        <v>1</v>
      </c>
      <c r="E324" s="356">
        <v>3980.98</v>
      </c>
      <c r="F324" s="356">
        <f t="shared" si="622"/>
        <v>3980.98</v>
      </c>
      <c r="G324" s="278">
        <v>0</v>
      </c>
      <c r="H324" s="240">
        <f t="shared" ref="H324" si="645">G324*E324</f>
        <v>0</v>
      </c>
      <c r="I324" s="241">
        <f t="shared" ref="I324" si="646">+G324/D324</f>
        <v>0</v>
      </c>
      <c r="J324" s="419"/>
      <c r="K324" s="242">
        <f t="shared" ref="K324" si="647">J324*E324</f>
        <v>0</v>
      </c>
      <c r="L324" s="243">
        <f t="shared" ref="L324" si="648">+J324/D324</f>
        <v>0</v>
      </c>
      <c r="M324" s="240">
        <f t="shared" si="546"/>
        <v>0</v>
      </c>
      <c r="N324" s="240">
        <f t="shared" ref="N324" si="649">M324*E324</f>
        <v>0</v>
      </c>
      <c r="O324" s="244">
        <f t="shared" ref="O324" si="650">+M324/D324</f>
        <v>0</v>
      </c>
      <c r="P324" s="211">
        <f t="shared" ref="P324" si="651">+D324-M324</f>
        <v>1</v>
      </c>
      <c r="Q324" s="212">
        <f t="shared" ref="Q324" si="652">P324*E324</f>
        <v>3980.98</v>
      </c>
      <c r="R324" s="213">
        <f t="shared" ref="R324" si="653">+P324/D324</f>
        <v>1</v>
      </c>
      <c r="S324" s="204">
        <f t="shared" ref="S324" si="654">N324+Q324</f>
        <v>3980.98</v>
      </c>
      <c r="T324" s="204">
        <f t="shared" ref="T324" si="655">F324-S324</f>
        <v>0</v>
      </c>
    </row>
    <row r="325" spans="1:20" s="2" customFormat="1" x14ac:dyDescent="0.3">
      <c r="A325" s="304" t="s">
        <v>578</v>
      </c>
      <c r="B325" s="305" t="s">
        <v>993</v>
      </c>
      <c r="C325" s="320" t="s">
        <v>160</v>
      </c>
      <c r="D325" s="321"/>
      <c r="E325" s="349"/>
      <c r="F325" s="350">
        <f>SUM(F326:F330)</f>
        <v>432.64</v>
      </c>
      <c r="G325" s="308"/>
      <c r="H325" s="309" t="s">
        <v>110</v>
      </c>
      <c r="I325" s="323" t="s">
        <v>110</v>
      </c>
      <c r="J325" s="419"/>
      <c r="K325" s="309" t="s">
        <v>110</v>
      </c>
      <c r="L325" s="324" t="s">
        <v>110</v>
      </c>
      <c r="M325" s="309"/>
      <c r="N325" s="309" t="s">
        <v>110</v>
      </c>
      <c r="O325" s="324" t="s">
        <v>110</v>
      </c>
      <c r="P325" s="326" t="s">
        <v>110</v>
      </c>
      <c r="Q325" s="309" t="s">
        <v>110</v>
      </c>
      <c r="R325" s="324" t="s">
        <v>110</v>
      </c>
      <c r="S325" s="204" t="e">
        <f>N325+Q325</f>
        <v>#VALUE!</v>
      </c>
      <c r="T325" s="204" t="e">
        <f>F325-S325</f>
        <v>#VALUE!</v>
      </c>
    </row>
    <row r="326" spans="1:20" s="2" customFormat="1" x14ac:dyDescent="0.3">
      <c r="A326" s="298" t="s">
        <v>579</v>
      </c>
      <c r="B326" s="300" t="s">
        <v>994</v>
      </c>
      <c r="C326" s="302" t="s">
        <v>89</v>
      </c>
      <c r="D326" s="303">
        <v>4</v>
      </c>
      <c r="E326" s="356">
        <v>24.83</v>
      </c>
      <c r="F326" s="356">
        <f t="shared" si="622"/>
        <v>99.32</v>
      </c>
      <c r="G326" s="278">
        <v>0</v>
      </c>
      <c r="H326" s="240">
        <f t="shared" ref="H326:H330" si="656">G326*E326</f>
        <v>0</v>
      </c>
      <c r="I326" s="241">
        <f t="shared" ref="I326:I330" si="657">+G326/D326</f>
        <v>0</v>
      </c>
      <c r="J326" s="419"/>
      <c r="K326" s="242">
        <f t="shared" ref="K326:K330" si="658">J326*E326</f>
        <v>0</v>
      </c>
      <c r="L326" s="243">
        <f t="shared" ref="L326:L330" si="659">+J326/D326</f>
        <v>0</v>
      </c>
      <c r="M326" s="240">
        <f t="shared" si="546"/>
        <v>0</v>
      </c>
      <c r="N326" s="240">
        <f t="shared" ref="N326:N330" si="660">M326*E326</f>
        <v>0</v>
      </c>
      <c r="O326" s="244">
        <f t="shared" ref="O326:O330" si="661">+M326/D326</f>
        <v>0</v>
      </c>
      <c r="P326" s="211">
        <f t="shared" ref="P326:P330" si="662">+D326-M326</f>
        <v>4</v>
      </c>
      <c r="Q326" s="212">
        <f t="shared" ref="Q326:Q330" si="663">P326*E326</f>
        <v>99.32</v>
      </c>
      <c r="R326" s="213">
        <f t="shared" ref="R326:R330" si="664">+P326/D326</f>
        <v>1</v>
      </c>
      <c r="S326" s="204">
        <f t="shared" ref="S326:S330" si="665">N326+Q326</f>
        <v>99.32</v>
      </c>
      <c r="T326" s="204">
        <f t="shared" ref="T326:T330" si="666">F326-S326</f>
        <v>0</v>
      </c>
    </row>
    <row r="327" spans="1:20" s="2" customFormat="1" x14ac:dyDescent="0.3">
      <c r="A327" s="298" t="s">
        <v>580</v>
      </c>
      <c r="B327" s="300" t="s">
        <v>995</v>
      </c>
      <c r="C327" s="302" t="s">
        <v>89</v>
      </c>
      <c r="D327" s="303">
        <v>2</v>
      </c>
      <c r="E327" s="356">
        <v>24.83</v>
      </c>
      <c r="F327" s="356">
        <f t="shared" si="622"/>
        <v>49.66</v>
      </c>
      <c r="G327" s="278">
        <v>0</v>
      </c>
      <c r="H327" s="240">
        <f t="shared" si="656"/>
        <v>0</v>
      </c>
      <c r="I327" s="241">
        <f t="shared" si="657"/>
        <v>0</v>
      </c>
      <c r="J327" s="419"/>
      <c r="K327" s="242">
        <f t="shared" si="658"/>
        <v>0</v>
      </c>
      <c r="L327" s="243">
        <f t="shared" si="659"/>
        <v>0</v>
      </c>
      <c r="M327" s="240">
        <f t="shared" si="546"/>
        <v>0</v>
      </c>
      <c r="N327" s="240">
        <f t="shared" si="660"/>
        <v>0</v>
      </c>
      <c r="O327" s="244">
        <f t="shared" si="661"/>
        <v>0</v>
      </c>
      <c r="P327" s="211">
        <f t="shared" si="662"/>
        <v>2</v>
      </c>
      <c r="Q327" s="212">
        <f t="shared" si="663"/>
        <v>49.66</v>
      </c>
      <c r="R327" s="213">
        <f t="shared" si="664"/>
        <v>1</v>
      </c>
      <c r="S327" s="204">
        <f t="shared" si="665"/>
        <v>49.66</v>
      </c>
      <c r="T327" s="204">
        <f t="shared" si="666"/>
        <v>0</v>
      </c>
    </row>
    <row r="328" spans="1:20" s="2" customFormat="1" x14ac:dyDescent="0.3">
      <c r="A328" s="298" t="s">
        <v>581</v>
      </c>
      <c r="B328" s="300" t="s">
        <v>996</v>
      </c>
      <c r="C328" s="302" t="s">
        <v>89</v>
      </c>
      <c r="D328" s="303">
        <v>1</v>
      </c>
      <c r="E328" s="356">
        <v>88.97</v>
      </c>
      <c r="F328" s="356">
        <f t="shared" si="622"/>
        <v>88.97</v>
      </c>
      <c r="G328" s="278">
        <v>0</v>
      </c>
      <c r="H328" s="240">
        <f t="shared" si="656"/>
        <v>0</v>
      </c>
      <c r="I328" s="241">
        <f t="shared" si="657"/>
        <v>0</v>
      </c>
      <c r="J328" s="419"/>
      <c r="K328" s="242">
        <f t="shared" si="658"/>
        <v>0</v>
      </c>
      <c r="L328" s="243">
        <f t="shared" si="659"/>
        <v>0</v>
      </c>
      <c r="M328" s="240">
        <f t="shared" si="546"/>
        <v>0</v>
      </c>
      <c r="N328" s="240">
        <f t="shared" si="660"/>
        <v>0</v>
      </c>
      <c r="O328" s="244">
        <f t="shared" si="661"/>
        <v>0</v>
      </c>
      <c r="P328" s="211">
        <f t="shared" si="662"/>
        <v>1</v>
      </c>
      <c r="Q328" s="212">
        <f t="shared" si="663"/>
        <v>88.97</v>
      </c>
      <c r="R328" s="213">
        <f t="shared" si="664"/>
        <v>1</v>
      </c>
      <c r="S328" s="204">
        <f t="shared" si="665"/>
        <v>88.97</v>
      </c>
      <c r="T328" s="204">
        <f t="shared" si="666"/>
        <v>0</v>
      </c>
    </row>
    <row r="329" spans="1:20" s="2" customFormat="1" x14ac:dyDescent="0.3">
      <c r="A329" s="298" t="s">
        <v>582</v>
      </c>
      <c r="B329" s="300" t="s">
        <v>997</v>
      </c>
      <c r="C329" s="302" t="s">
        <v>89</v>
      </c>
      <c r="D329" s="303">
        <v>1</v>
      </c>
      <c r="E329" s="356">
        <v>105.72</v>
      </c>
      <c r="F329" s="356">
        <f t="shared" si="622"/>
        <v>105.72</v>
      </c>
      <c r="G329" s="278">
        <v>0</v>
      </c>
      <c r="H329" s="240">
        <f t="shared" si="656"/>
        <v>0</v>
      </c>
      <c r="I329" s="241">
        <f t="shared" si="657"/>
        <v>0</v>
      </c>
      <c r="J329" s="419"/>
      <c r="K329" s="242">
        <f t="shared" si="658"/>
        <v>0</v>
      </c>
      <c r="L329" s="243">
        <f t="shared" si="659"/>
        <v>0</v>
      </c>
      <c r="M329" s="240">
        <f t="shared" si="546"/>
        <v>0</v>
      </c>
      <c r="N329" s="240">
        <f t="shared" si="660"/>
        <v>0</v>
      </c>
      <c r="O329" s="244">
        <f t="shared" si="661"/>
        <v>0</v>
      </c>
      <c r="P329" s="211">
        <f t="shared" si="662"/>
        <v>1</v>
      </c>
      <c r="Q329" s="212">
        <f t="shared" si="663"/>
        <v>105.72</v>
      </c>
      <c r="R329" s="213">
        <f t="shared" si="664"/>
        <v>1</v>
      </c>
      <c r="S329" s="204">
        <f t="shared" si="665"/>
        <v>105.72</v>
      </c>
      <c r="T329" s="204">
        <f t="shared" si="666"/>
        <v>0</v>
      </c>
    </row>
    <row r="330" spans="1:20" s="2" customFormat="1" x14ac:dyDescent="0.3">
      <c r="A330" s="298" t="s">
        <v>583</v>
      </c>
      <c r="B330" s="300" t="s">
        <v>998</v>
      </c>
      <c r="C330" s="302" t="s">
        <v>89</v>
      </c>
      <c r="D330" s="303">
        <v>1</v>
      </c>
      <c r="E330" s="356">
        <v>88.97</v>
      </c>
      <c r="F330" s="356">
        <f t="shared" si="622"/>
        <v>88.97</v>
      </c>
      <c r="G330" s="278">
        <v>0</v>
      </c>
      <c r="H330" s="240">
        <f t="shared" si="656"/>
        <v>0</v>
      </c>
      <c r="I330" s="241">
        <f t="shared" si="657"/>
        <v>0</v>
      </c>
      <c r="J330" s="419"/>
      <c r="K330" s="242">
        <f t="shared" si="658"/>
        <v>0</v>
      </c>
      <c r="L330" s="243">
        <f t="shared" si="659"/>
        <v>0</v>
      </c>
      <c r="M330" s="240">
        <f t="shared" si="546"/>
        <v>0</v>
      </c>
      <c r="N330" s="240">
        <f t="shared" si="660"/>
        <v>0</v>
      </c>
      <c r="O330" s="244">
        <f t="shared" si="661"/>
        <v>0</v>
      </c>
      <c r="P330" s="211">
        <f t="shared" si="662"/>
        <v>1</v>
      </c>
      <c r="Q330" s="212">
        <f t="shared" si="663"/>
        <v>88.97</v>
      </c>
      <c r="R330" s="213">
        <f t="shared" si="664"/>
        <v>1</v>
      </c>
      <c r="S330" s="204">
        <f t="shared" si="665"/>
        <v>88.97</v>
      </c>
      <c r="T330" s="204">
        <f t="shared" si="666"/>
        <v>0</v>
      </c>
    </row>
    <row r="331" spans="1:20" s="2" customFormat="1" x14ac:dyDescent="0.3">
      <c r="A331" s="304" t="s">
        <v>584</v>
      </c>
      <c r="B331" s="305" t="s">
        <v>999</v>
      </c>
      <c r="C331" s="320" t="s">
        <v>160</v>
      </c>
      <c r="D331" s="321"/>
      <c r="E331" s="349"/>
      <c r="F331" s="350">
        <f>SUM(F332:F336)</f>
        <v>15445.060000000001</v>
      </c>
      <c r="G331" s="308"/>
      <c r="H331" s="309" t="s">
        <v>110</v>
      </c>
      <c r="I331" s="323" t="s">
        <v>110</v>
      </c>
      <c r="J331" s="419"/>
      <c r="K331" s="309" t="s">
        <v>110</v>
      </c>
      <c r="L331" s="324" t="s">
        <v>110</v>
      </c>
      <c r="M331" s="309"/>
      <c r="N331" s="309" t="s">
        <v>110</v>
      </c>
      <c r="O331" s="324" t="s">
        <v>110</v>
      </c>
      <c r="P331" s="326" t="s">
        <v>110</v>
      </c>
      <c r="Q331" s="309" t="s">
        <v>110</v>
      </c>
      <c r="R331" s="324" t="s">
        <v>110</v>
      </c>
      <c r="S331" s="204" t="e">
        <f t="shared" ref="S331:S341" si="667">N331+Q331</f>
        <v>#VALUE!</v>
      </c>
      <c r="T331" s="204" t="e">
        <f t="shared" ref="T331:T341" si="668">F331-S331</f>
        <v>#VALUE!</v>
      </c>
    </row>
    <row r="332" spans="1:20" s="2" customFormat="1" x14ac:dyDescent="0.3">
      <c r="A332" s="298" t="s">
        <v>585</v>
      </c>
      <c r="B332" s="300" t="s">
        <v>1000</v>
      </c>
      <c r="C332" s="302" t="s">
        <v>92</v>
      </c>
      <c r="D332" s="303">
        <v>146.97</v>
      </c>
      <c r="E332" s="356">
        <v>16.309999999999999</v>
      </c>
      <c r="F332" s="356">
        <f t="shared" si="622"/>
        <v>2397.08</v>
      </c>
      <c r="G332" s="278">
        <v>0</v>
      </c>
      <c r="H332" s="240">
        <f t="shared" ref="H332:H336" si="669">G332*E332</f>
        <v>0</v>
      </c>
      <c r="I332" s="241">
        <f t="shared" ref="I332:I336" si="670">+G332/D332</f>
        <v>0</v>
      </c>
      <c r="J332" s="419"/>
      <c r="K332" s="242">
        <f t="shared" ref="K332:K336" si="671">J332*E332</f>
        <v>0</v>
      </c>
      <c r="L332" s="243">
        <f t="shared" ref="L332:L336" si="672">+J332/D332</f>
        <v>0</v>
      </c>
      <c r="M332" s="240">
        <f t="shared" si="546"/>
        <v>0</v>
      </c>
      <c r="N332" s="240">
        <f t="shared" ref="N332:N336" si="673">M332*E332</f>
        <v>0</v>
      </c>
      <c r="O332" s="244">
        <f t="shared" ref="O332:O336" si="674">+M332/D332</f>
        <v>0</v>
      </c>
      <c r="P332" s="211">
        <f t="shared" ref="P332:P336" si="675">+D332-M332</f>
        <v>146.97</v>
      </c>
      <c r="Q332" s="212">
        <f t="shared" ref="Q332:Q336" si="676">P332*E332</f>
        <v>2397.0807</v>
      </c>
      <c r="R332" s="213">
        <f t="shared" ref="R332:R336" si="677">+P332/D332</f>
        <v>1</v>
      </c>
      <c r="S332" s="204">
        <f t="shared" si="667"/>
        <v>2397.0807</v>
      </c>
      <c r="T332" s="204">
        <f t="shared" si="668"/>
        <v>-7.000000000516593E-4</v>
      </c>
    </row>
    <row r="333" spans="1:20" s="2" customFormat="1" x14ac:dyDescent="0.3">
      <c r="A333" s="298" t="s">
        <v>586</v>
      </c>
      <c r="B333" s="300" t="s">
        <v>1001</v>
      </c>
      <c r="C333" s="302" t="s">
        <v>92</v>
      </c>
      <c r="D333" s="303">
        <v>97.93</v>
      </c>
      <c r="E333" s="356">
        <v>111.91</v>
      </c>
      <c r="F333" s="356">
        <f t="shared" si="622"/>
        <v>10959.35</v>
      </c>
      <c r="G333" s="278">
        <v>0</v>
      </c>
      <c r="H333" s="240">
        <f t="shared" si="669"/>
        <v>0</v>
      </c>
      <c r="I333" s="241">
        <f t="shared" si="670"/>
        <v>0</v>
      </c>
      <c r="J333" s="419"/>
      <c r="K333" s="242">
        <f t="shared" si="671"/>
        <v>0</v>
      </c>
      <c r="L333" s="243">
        <f t="shared" si="672"/>
        <v>0</v>
      </c>
      <c r="M333" s="240">
        <f t="shared" si="546"/>
        <v>0</v>
      </c>
      <c r="N333" s="240">
        <f t="shared" si="673"/>
        <v>0</v>
      </c>
      <c r="O333" s="244">
        <f t="shared" si="674"/>
        <v>0</v>
      </c>
      <c r="P333" s="211">
        <f t="shared" si="675"/>
        <v>97.93</v>
      </c>
      <c r="Q333" s="212">
        <f t="shared" si="676"/>
        <v>10959.346300000001</v>
      </c>
      <c r="R333" s="213">
        <f t="shared" si="677"/>
        <v>1</v>
      </c>
      <c r="S333" s="204">
        <f t="shared" si="667"/>
        <v>10959.346300000001</v>
      </c>
      <c r="T333" s="204">
        <f t="shared" si="668"/>
        <v>3.6999999992985977E-3</v>
      </c>
    </row>
    <row r="334" spans="1:20" s="2" customFormat="1" x14ac:dyDescent="0.3">
      <c r="A334" s="298" t="s">
        <v>587</v>
      </c>
      <c r="B334" s="300" t="s">
        <v>1002</v>
      </c>
      <c r="C334" s="302" t="s">
        <v>92</v>
      </c>
      <c r="D334" s="303">
        <v>9.6</v>
      </c>
      <c r="E334" s="356">
        <v>29.7</v>
      </c>
      <c r="F334" s="356">
        <f t="shared" si="622"/>
        <v>285.12</v>
      </c>
      <c r="G334" s="278">
        <v>0</v>
      </c>
      <c r="H334" s="240">
        <f t="shared" si="669"/>
        <v>0</v>
      </c>
      <c r="I334" s="241">
        <f t="shared" si="670"/>
        <v>0</v>
      </c>
      <c r="J334" s="419"/>
      <c r="K334" s="242">
        <f t="shared" si="671"/>
        <v>0</v>
      </c>
      <c r="L334" s="243">
        <f t="shared" si="672"/>
        <v>0</v>
      </c>
      <c r="M334" s="240">
        <f t="shared" si="546"/>
        <v>0</v>
      </c>
      <c r="N334" s="240">
        <f t="shared" si="673"/>
        <v>0</v>
      </c>
      <c r="O334" s="244">
        <f t="shared" si="674"/>
        <v>0</v>
      </c>
      <c r="P334" s="211">
        <f t="shared" si="675"/>
        <v>9.6</v>
      </c>
      <c r="Q334" s="212">
        <f t="shared" si="676"/>
        <v>285.12</v>
      </c>
      <c r="R334" s="213">
        <f t="shared" si="677"/>
        <v>1</v>
      </c>
      <c r="S334" s="204">
        <f t="shared" si="667"/>
        <v>285.12</v>
      </c>
      <c r="T334" s="204">
        <f t="shared" si="668"/>
        <v>0</v>
      </c>
    </row>
    <row r="335" spans="1:20" s="2" customFormat="1" x14ac:dyDescent="0.3">
      <c r="A335" s="298" t="s">
        <v>588</v>
      </c>
      <c r="B335" s="300" t="s">
        <v>1003</v>
      </c>
      <c r="C335" s="302" t="s">
        <v>92</v>
      </c>
      <c r="D335" s="303">
        <v>63.68</v>
      </c>
      <c r="E335" s="356">
        <v>16.309999999999999</v>
      </c>
      <c r="F335" s="356">
        <f t="shared" si="622"/>
        <v>1038.6199999999999</v>
      </c>
      <c r="G335" s="278">
        <v>0</v>
      </c>
      <c r="H335" s="240">
        <f t="shared" si="669"/>
        <v>0</v>
      </c>
      <c r="I335" s="241">
        <f t="shared" si="670"/>
        <v>0</v>
      </c>
      <c r="J335" s="419"/>
      <c r="K335" s="242">
        <f t="shared" si="671"/>
        <v>0</v>
      </c>
      <c r="L335" s="243">
        <f t="shared" si="672"/>
        <v>0</v>
      </c>
      <c r="M335" s="240">
        <f t="shared" si="546"/>
        <v>0</v>
      </c>
      <c r="N335" s="240">
        <f t="shared" si="673"/>
        <v>0</v>
      </c>
      <c r="O335" s="244">
        <f t="shared" si="674"/>
        <v>0</v>
      </c>
      <c r="P335" s="211">
        <f t="shared" si="675"/>
        <v>63.68</v>
      </c>
      <c r="Q335" s="212">
        <f t="shared" si="676"/>
        <v>1038.6207999999999</v>
      </c>
      <c r="R335" s="213">
        <f t="shared" si="677"/>
        <v>1</v>
      </c>
      <c r="S335" s="204">
        <f t="shared" si="667"/>
        <v>1038.6207999999999</v>
      </c>
      <c r="T335" s="204">
        <f t="shared" si="668"/>
        <v>-8.0000000002655725E-4</v>
      </c>
    </row>
    <row r="336" spans="1:20" s="2" customFormat="1" x14ac:dyDescent="0.3">
      <c r="A336" s="298" t="s">
        <v>589</v>
      </c>
      <c r="B336" s="300" t="s">
        <v>1004</v>
      </c>
      <c r="C336" s="302" t="s">
        <v>92</v>
      </c>
      <c r="D336" s="303">
        <v>9.24</v>
      </c>
      <c r="E336" s="356">
        <v>82.78</v>
      </c>
      <c r="F336" s="356">
        <f t="shared" si="622"/>
        <v>764.89</v>
      </c>
      <c r="G336" s="278">
        <v>0</v>
      </c>
      <c r="H336" s="240">
        <f t="shared" si="669"/>
        <v>0</v>
      </c>
      <c r="I336" s="241">
        <f t="shared" si="670"/>
        <v>0</v>
      </c>
      <c r="J336" s="419"/>
      <c r="K336" s="242">
        <f t="shared" si="671"/>
        <v>0</v>
      </c>
      <c r="L336" s="243">
        <f t="shared" si="672"/>
        <v>0</v>
      </c>
      <c r="M336" s="240">
        <f t="shared" si="546"/>
        <v>0</v>
      </c>
      <c r="N336" s="240">
        <f t="shared" si="673"/>
        <v>0</v>
      </c>
      <c r="O336" s="244">
        <f t="shared" si="674"/>
        <v>0</v>
      </c>
      <c r="P336" s="211">
        <f t="shared" si="675"/>
        <v>9.24</v>
      </c>
      <c r="Q336" s="212">
        <f t="shared" si="676"/>
        <v>764.88720000000001</v>
      </c>
      <c r="R336" s="213">
        <f t="shared" si="677"/>
        <v>1</v>
      </c>
      <c r="S336" s="204">
        <f t="shared" si="667"/>
        <v>764.88720000000001</v>
      </c>
      <c r="T336" s="204">
        <f t="shared" si="668"/>
        <v>2.7999999999792635E-3</v>
      </c>
    </row>
    <row r="337" spans="1:20" s="2" customFormat="1" x14ac:dyDescent="0.3">
      <c r="A337" s="304" t="s">
        <v>590</v>
      </c>
      <c r="B337" s="305" t="s">
        <v>922</v>
      </c>
      <c r="C337" s="320" t="s">
        <v>160</v>
      </c>
      <c r="D337" s="321"/>
      <c r="E337" s="349"/>
      <c r="F337" s="350">
        <f>SUM(F338:F341)</f>
        <v>4831.4500000000007</v>
      </c>
      <c r="G337" s="308"/>
      <c r="H337" s="309" t="s">
        <v>110</v>
      </c>
      <c r="I337" s="323" t="s">
        <v>110</v>
      </c>
      <c r="J337" s="419"/>
      <c r="K337" s="309" t="s">
        <v>110</v>
      </c>
      <c r="L337" s="324" t="s">
        <v>110</v>
      </c>
      <c r="M337" s="309"/>
      <c r="N337" s="309" t="s">
        <v>110</v>
      </c>
      <c r="O337" s="324" t="s">
        <v>110</v>
      </c>
      <c r="P337" s="326" t="s">
        <v>110</v>
      </c>
      <c r="Q337" s="309" t="s">
        <v>110</v>
      </c>
      <c r="R337" s="324" t="s">
        <v>110</v>
      </c>
      <c r="S337" s="204" t="s">
        <v>110</v>
      </c>
      <c r="T337" s="204" t="s">
        <v>110</v>
      </c>
    </row>
    <row r="338" spans="1:20" s="2" customFormat="1" x14ac:dyDescent="0.3">
      <c r="A338" s="298" t="s">
        <v>591</v>
      </c>
      <c r="B338" s="300" t="s">
        <v>1005</v>
      </c>
      <c r="C338" s="302" t="s">
        <v>90</v>
      </c>
      <c r="D338" s="303">
        <v>1</v>
      </c>
      <c r="E338" s="356">
        <v>2798.42</v>
      </c>
      <c r="F338" s="356">
        <f t="shared" si="622"/>
        <v>2798.42</v>
      </c>
      <c r="G338" s="278">
        <v>0</v>
      </c>
      <c r="H338" s="240">
        <f t="shared" ref="H338:H341" si="678">G338*E338</f>
        <v>0</v>
      </c>
      <c r="I338" s="241">
        <f t="shared" ref="I338:I341" si="679">+G338/D338</f>
        <v>0</v>
      </c>
      <c r="J338" s="419"/>
      <c r="K338" s="242">
        <f t="shared" ref="K338:K341" si="680">J338*E338</f>
        <v>0</v>
      </c>
      <c r="L338" s="243">
        <f t="shared" ref="L338:L341" si="681">+J338/D338</f>
        <v>0</v>
      </c>
      <c r="M338" s="240">
        <f t="shared" si="546"/>
        <v>0</v>
      </c>
      <c r="N338" s="240">
        <f t="shared" ref="N338:N341" si="682">M338*E338</f>
        <v>0</v>
      </c>
      <c r="O338" s="244">
        <f t="shared" ref="O338:O341" si="683">+M338/D338</f>
        <v>0</v>
      </c>
      <c r="P338" s="211">
        <f t="shared" ref="P338:P341" si="684">+D338-M338</f>
        <v>1</v>
      </c>
      <c r="Q338" s="212">
        <f t="shared" ref="Q338:Q341" si="685">P338*E338</f>
        <v>2798.42</v>
      </c>
      <c r="R338" s="213">
        <f t="shared" ref="R338:R341" si="686">+P338/D338</f>
        <v>1</v>
      </c>
      <c r="S338" s="204">
        <f t="shared" si="667"/>
        <v>2798.42</v>
      </c>
      <c r="T338" s="204">
        <f t="shared" si="668"/>
        <v>0</v>
      </c>
    </row>
    <row r="339" spans="1:20" s="2" customFormat="1" x14ac:dyDescent="0.3">
      <c r="A339" s="298" t="s">
        <v>592</v>
      </c>
      <c r="B339" s="300" t="s">
        <v>1006</v>
      </c>
      <c r="C339" s="302" t="s">
        <v>89</v>
      </c>
      <c r="D339" s="303">
        <v>1</v>
      </c>
      <c r="E339" s="356">
        <v>265.58</v>
      </c>
      <c r="F339" s="356">
        <f t="shared" si="622"/>
        <v>265.58</v>
      </c>
      <c r="G339" s="278">
        <v>0</v>
      </c>
      <c r="H339" s="240">
        <f t="shared" si="678"/>
        <v>0</v>
      </c>
      <c r="I339" s="241">
        <f t="shared" si="679"/>
        <v>0</v>
      </c>
      <c r="J339" s="419"/>
      <c r="K339" s="242">
        <f t="shared" si="680"/>
        <v>0</v>
      </c>
      <c r="L339" s="243">
        <f t="shared" si="681"/>
        <v>0</v>
      </c>
      <c r="M339" s="240">
        <f t="shared" ref="M339:M402" si="687">+G339+J339</f>
        <v>0</v>
      </c>
      <c r="N339" s="240">
        <f t="shared" si="682"/>
        <v>0</v>
      </c>
      <c r="O339" s="244">
        <f t="shared" si="683"/>
        <v>0</v>
      </c>
      <c r="P339" s="211">
        <f t="shared" si="684"/>
        <v>1</v>
      </c>
      <c r="Q339" s="212">
        <f t="shared" si="685"/>
        <v>265.58</v>
      </c>
      <c r="R339" s="213">
        <f t="shared" si="686"/>
        <v>1</v>
      </c>
      <c r="S339" s="204">
        <f t="shared" si="667"/>
        <v>265.58</v>
      </c>
      <c r="T339" s="204">
        <f t="shared" si="668"/>
        <v>0</v>
      </c>
    </row>
    <row r="340" spans="1:20" s="2" customFormat="1" x14ac:dyDescent="0.3">
      <c r="A340" s="298" t="s">
        <v>593</v>
      </c>
      <c r="B340" s="300" t="s">
        <v>1007</v>
      </c>
      <c r="C340" s="302" t="s">
        <v>89</v>
      </c>
      <c r="D340" s="303">
        <v>9</v>
      </c>
      <c r="E340" s="358">
        <v>41.23</v>
      </c>
      <c r="F340" s="358">
        <f t="shared" si="622"/>
        <v>371.07</v>
      </c>
      <c r="G340" s="278">
        <v>0</v>
      </c>
      <c r="H340" s="240">
        <f t="shared" si="678"/>
        <v>0</v>
      </c>
      <c r="I340" s="241">
        <f t="shared" si="679"/>
        <v>0</v>
      </c>
      <c r="J340" s="419"/>
      <c r="K340" s="242">
        <f t="shared" si="680"/>
        <v>0</v>
      </c>
      <c r="L340" s="243">
        <f t="shared" si="681"/>
        <v>0</v>
      </c>
      <c r="M340" s="240">
        <f t="shared" si="687"/>
        <v>0</v>
      </c>
      <c r="N340" s="240">
        <f t="shared" si="682"/>
        <v>0</v>
      </c>
      <c r="O340" s="244">
        <f t="shared" si="683"/>
        <v>0</v>
      </c>
      <c r="P340" s="211">
        <f t="shared" si="684"/>
        <v>9</v>
      </c>
      <c r="Q340" s="212">
        <f t="shared" si="685"/>
        <v>371.07</v>
      </c>
      <c r="R340" s="213">
        <f t="shared" si="686"/>
        <v>1</v>
      </c>
      <c r="S340" s="204">
        <f t="shared" si="667"/>
        <v>371.07</v>
      </c>
      <c r="T340" s="204">
        <f t="shared" si="668"/>
        <v>0</v>
      </c>
    </row>
    <row r="341" spans="1:20" s="2" customFormat="1" x14ac:dyDescent="0.3">
      <c r="A341" s="298" t="s">
        <v>594</v>
      </c>
      <c r="B341" s="300" t="s">
        <v>1008</v>
      </c>
      <c r="C341" s="302" t="s">
        <v>90</v>
      </c>
      <c r="D341" s="303">
        <v>1</v>
      </c>
      <c r="E341" s="356">
        <v>1396.38</v>
      </c>
      <c r="F341" s="356">
        <f t="shared" si="622"/>
        <v>1396.38</v>
      </c>
      <c r="G341" s="278">
        <v>0</v>
      </c>
      <c r="H341" s="240">
        <f t="shared" si="678"/>
        <v>0</v>
      </c>
      <c r="I341" s="241">
        <f t="shared" si="679"/>
        <v>0</v>
      </c>
      <c r="J341" s="419"/>
      <c r="K341" s="242">
        <f t="shared" si="680"/>
        <v>0</v>
      </c>
      <c r="L341" s="243">
        <f t="shared" si="681"/>
        <v>0</v>
      </c>
      <c r="M341" s="240">
        <f t="shared" si="687"/>
        <v>0</v>
      </c>
      <c r="N341" s="240">
        <f t="shared" si="682"/>
        <v>0</v>
      </c>
      <c r="O341" s="244">
        <f t="shared" si="683"/>
        <v>0</v>
      </c>
      <c r="P341" s="211">
        <f t="shared" si="684"/>
        <v>1</v>
      </c>
      <c r="Q341" s="212">
        <f t="shared" si="685"/>
        <v>1396.38</v>
      </c>
      <c r="R341" s="213">
        <f t="shared" si="686"/>
        <v>1</v>
      </c>
      <c r="S341" s="204">
        <f t="shared" si="667"/>
        <v>1396.38</v>
      </c>
      <c r="T341" s="204">
        <f t="shared" si="668"/>
        <v>0</v>
      </c>
    </row>
    <row r="342" spans="1:20" s="2" customFormat="1" x14ac:dyDescent="0.3">
      <c r="A342" s="304" t="s">
        <v>595</v>
      </c>
      <c r="B342" s="305" t="s">
        <v>935</v>
      </c>
      <c r="C342" s="320" t="s">
        <v>160</v>
      </c>
      <c r="D342" s="321"/>
      <c r="E342" s="349"/>
      <c r="F342" s="350">
        <f>SUM(F343:F345)</f>
        <v>764.52</v>
      </c>
      <c r="G342" s="308"/>
      <c r="H342" s="309" t="s">
        <v>110</v>
      </c>
      <c r="I342" s="323" t="s">
        <v>110</v>
      </c>
      <c r="J342" s="419"/>
      <c r="K342" s="309" t="s">
        <v>110</v>
      </c>
      <c r="L342" s="324" t="s">
        <v>110</v>
      </c>
      <c r="M342" s="309"/>
      <c r="N342" s="309" t="s">
        <v>110</v>
      </c>
      <c r="O342" s="324" t="s">
        <v>110</v>
      </c>
      <c r="P342" s="326" t="s">
        <v>110</v>
      </c>
      <c r="Q342" s="309" t="s">
        <v>110</v>
      </c>
      <c r="R342" s="324" t="s">
        <v>110</v>
      </c>
      <c r="S342" s="204" t="s">
        <v>110</v>
      </c>
      <c r="T342" s="204" t="s">
        <v>110</v>
      </c>
    </row>
    <row r="343" spans="1:20" s="2" customFormat="1" x14ac:dyDescent="0.3">
      <c r="A343" s="298" t="s">
        <v>596</v>
      </c>
      <c r="B343" s="300" t="s">
        <v>1009</v>
      </c>
      <c r="C343" s="302" t="s">
        <v>89</v>
      </c>
      <c r="D343" s="303">
        <v>2</v>
      </c>
      <c r="E343" s="356">
        <v>254.08</v>
      </c>
      <c r="F343" s="356">
        <f t="shared" si="622"/>
        <v>508.16</v>
      </c>
      <c r="G343" s="278">
        <v>0</v>
      </c>
      <c r="H343" s="240">
        <f t="shared" ref="H343:H345" si="688">G343*E343</f>
        <v>0</v>
      </c>
      <c r="I343" s="241">
        <f t="shared" ref="I343:I345" si="689">+G343/D343</f>
        <v>0</v>
      </c>
      <c r="J343" s="419"/>
      <c r="K343" s="242">
        <f t="shared" ref="K343:K345" si="690">J343*E343</f>
        <v>0</v>
      </c>
      <c r="L343" s="243">
        <f t="shared" ref="L343:L345" si="691">+J343/D343</f>
        <v>0</v>
      </c>
      <c r="M343" s="240">
        <f t="shared" si="687"/>
        <v>0</v>
      </c>
      <c r="N343" s="240">
        <f t="shared" ref="N343:N345" si="692">M343*E343</f>
        <v>0</v>
      </c>
      <c r="O343" s="244">
        <f t="shared" ref="O343:O345" si="693">+M343/D343</f>
        <v>0</v>
      </c>
      <c r="P343" s="211">
        <f t="shared" ref="P343:P345" si="694">+D343-M343</f>
        <v>2</v>
      </c>
      <c r="Q343" s="212">
        <f t="shared" ref="Q343:Q345" si="695">P343*E343</f>
        <v>508.16</v>
      </c>
      <c r="R343" s="213">
        <f t="shared" ref="R343:R345" si="696">+P343/D343</f>
        <v>1</v>
      </c>
      <c r="S343" s="204">
        <f t="shared" ref="S343:S345" si="697">N343+Q343</f>
        <v>508.16</v>
      </c>
      <c r="T343" s="204">
        <f t="shared" ref="T343:T345" si="698">F343-S343</f>
        <v>0</v>
      </c>
    </row>
    <row r="344" spans="1:20" s="2" customFormat="1" x14ac:dyDescent="0.3">
      <c r="A344" s="298" t="s">
        <v>597</v>
      </c>
      <c r="B344" s="300" t="s">
        <v>1010</v>
      </c>
      <c r="C344" s="302" t="s">
        <v>89</v>
      </c>
      <c r="D344" s="303">
        <v>2</v>
      </c>
      <c r="E344" s="356">
        <v>55.28</v>
      </c>
      <c r="F344" s="356">
        <f t="shared" si="622"/>
        <v>110.56</v>
      </c>
      <c r="G344" s="278">
        <v>0</v>
      </c>
      <c r="H344" s="240">
        <f t="shared" si="688"/>
        <v>0</v>
      </c>
      <c r="I344" s="241">
        <f t="shared" si="689"/>
        <v>0</v>
      </c>
      <c r="J344" s="419"/>
      <c r="K344" s="242">
        <f t="shared" si="690"/>
        <v>0</v>
      </c>
      <c r="L344" s="243">
        <f t="shared" si="691"/>
        <v>0</v>
      </c>
      <c r="M344" s="240">
        <f t="shared" si="687"/>
        <v>0</v>
      </c>
      <c r="N344" s="240">
        <f t="shared" si="692"/>
        <v>0</v>
      </c>
      <c r="O344" s="244">
        <f t="shared" si="693"/>
        <v>0</v>
      </c>
      <c r="P344" s="211">
        <f t="shared" si="694"/>
        <v>2</v>
      </c>
      <c r="Q344" s="212">
        <f t="shared" si="695"/>
        <v>110.56</v>
      </c>
      <c r="R344" s="213">
        <f t="shared" si="696"/>
        <v>1</v>
      </c>
      <c r="S344" s="204">
        <f t="shared" si="697"/>
        <v>110.56</v>
      </c>
      <c r="T344" s="204">
        <f t="shared" si="698"/>
        <v>0</v>
      </c>
    </row>
    <row r="345" spans="1:20" s="2" customFormat="1" x14ac:dyDescent="0.3">
      <c r="A345" s="298" t="s">
        <v>598</v>
      </c>
      <c r="B345" s="300" t="s">
        <v>1011</v>
      </c>
      <c r="C345" s="302" t="s">
        <v>89</v>
      </c>
      <c r="D345" s="303">
        <v>5</v>
      </c>
      <c r="E345" s="356">
        <v>29.16</v>
      </c>
      <c r="F345" s="356">
        <f t="shared" si="622"/>
        <v>145.80000000000001</v>
      </c>
      <c r="G345" s="278">
        <v>0</v>
      </c>
      <c r="H345" s="240">
        <f t="shared" si="688"/>
        <v>0</v>
      </c>
      <c r="I345" s="241">
        <f t="shared" si="689"/>
        <v>0</v>
      </c>
      <c r="J345" s="419"/>
      <c r="K345" s="242">
        <f t="shared" si="690"/>
        <v>0</v>
      </c>
      <c r="L345" s="243">
        <f t="shared" si="691"/>
        <v>0</v>
      </c>
      <c r="M345" s="240">
        <f t="shared" si="687"/>
        <v>0</v>
      </c>
      <c r="N345" s="240">
        <f t="shared" si="692"/>
        <v>0</v>
      </c>
      <c r="O345" s="244">
        <f t="shared" si="693"/>
        <v>0</v>
      </c>
      <c r="P345" s="211">
        <f t="shared" si="694"/>
        <v>5</v>
      </c>
      <c r="Q345" s="212">
        <f t="shared" si="695"/>
        <v>145.80000000000001</v>
      </c>
      <c r="R345" s="213">
        <f t="shared" si="696"/>
        <v>1</v>
      </c>
      <c r="S345" s="204">
        <f t="shared" si="697"/>
        <v>145.80000000000001</v>
      </c>
      <c r="T345" s="204">
        <f t="shared" si="698"/>
        <v>0</v>
      </c>
    </row>
    <row r="346" spans="1:20" s="2" customFormat="1" x14ac:dyDescent="0.3">
      <c r="A346" s="304" t="s">
        <v>225</v>
      </c>
      <c r="B346" s="312" t="s">
        <v>755</v>
      </c>
      <c r="C346" s="320" t="s">
        <v>160</v>
      </c>
      <c r="D346" s="321"/>
      <c r="E346" s="347"/>
      <c r="F346" s="348">
        <f>+F347+F363+F365+F372+F386+F391</f>
        <v>68068.34</v>
      </c>
      <c r="G346" s="308"/>
      <c r="H346" s="309" t="s">
        <v>110</v>
      </c>
      <c r="I346" s="323" t="s">
        <v>110</v>
      </c>
      <c r="J346" s="419"/>
      <c r="K346" s="309" t="s">
        <v>110</v>
      </c>
      <c r="L346" s="324" t="s">
        <v>110</v>
      </c>
      <c r="M346" s="309"/>
      <c r="N346" s="309" t="s">
        <v>110</v>
      </c>
      <c r="O346" s="324" t="s">
        <v>110</v>
      </c>
      <c r="P346" s="326" t="s">
        <v>110</v>
      </c>
      <c r="Q346" s="309" t="s">
        <v>110</v>
      </c>
      <c r="R346" s="324" t="s">
        <v>110</v>
      </c>
      <c r="S346" s="204" t="s">
        <v>110</v>
      </c>
      <c r="T346" s="204" t="s">
        <v>110</v>
      </c>
    </row>
    <row r="347" spans="1:20" s="2" customFormat="1" x14ac:dyDescent="0.3">
      <c r="A347" s="304" t="s">
        <v>599</v>
      </c>
      <c r="B347" s="305" t="s">
        <v>881</v>
      </c>
      <c r="C347" s="320" t="s">
        <v>160</v>
      </c>
      <c r="D347" s="321"/>
      <c r="E347" s="349"/>
      <c r="F347" s="350">
        <f>+F348+F355</f>
        <v>13903.24</v>
      </c>
      <c r="G347" s="308"/>
      <c r="H347" s="309"/>
      <c r="I347" s="323"/>
      <c r="J347" s="419"/>
      <c r="K347" s="309"/>
      <c r="L347" s="324"/>
      <c r="M347" s="309"/>
      <c r="N347" s="309"/>
      <c r="O347" s="324"/>
      <c r="P347" s="326"/>
      <c r="Q347" s="309"/>
      <c r="R347" s="324"/>
      <c r="S347" s="204"/>
      <c r="T347" s="204"/>
    </row>
    <row r="348" spans="1:20" s="2" customFormat="1" x14ac:dyDescent="0.3">
      <c r="A348" s="304" t="s">
        <v>600</v>
      </c>
      <c r="B348" s="305" t="s">
        <v>1012</v>
      </c>
      <c r="C348" s="320" t="s">
        <v>160</v>
      </c>
      <c r="D348" s="321"/>
      <c r="E348" s="353"/>
      <c r="F348" s="354">
        <f>SUM(F349:F354)</f>
        <v>13002.43</v>
      </c>
      <c r="G348" s="308"/>
      <c r="H348" s="309"/>
      <c r="I348" s="323"/>
      <c r="J348" s="419"/>
      <c r="K348" s="309"/>
      <c r="L348" s="324"/>
      <c r="M348" s="309"/>
      <c r="N348" s="309"/>
      <c r="O348" s="324"/>
      <c r="P348" s="326"/>
      <c r="Q348" s="309"/>
      <c r="R348" s="324"/>
      <c r="S348" s="204"/>
      <c r="T348" s="204"/>
    </row>
    <row r="349" spans="1:20" s="2" customFormat="1" x14ac:dyDescent="0.3">
      <c r="A349" s="480" t="s">
        <v>601</v>
      </c>
      <c r="B349" s="452" t="s">
        <v>1013</v>
      </c>
      <c r="C349" s="302" t="s">
        <v>93</v>
      </c>
      <c r="D349" s="303">
        <v>58.25</v>
      </c>
      <c r="E349" s="358">
        <v>39.299999999999997</v>
      </c>
      <c r="F349" s="358">
        <f t="shared" ref="F349:F364" si="699">+ROUND((D349*E349),2)</f>
        <v>2289.23</v>
      </c>
      <c r="G349" s="278">
        <v>0</v>
      </c>
      <c r="H349" s="240">
        <f t="shared" ref="H349:H354" si="700">G349*E349</f>
        <v>0</v>
      </c>
      <c r="I349" s="241">
        <f t="shared" ref="I349:I354" si="701">+G349/D349</f>
        <v>0</v>
      </c>
      <c r="J349" s="419">
        <f>+D349</f>
        <v>58.25</v>
      </c>
      <c r="K349" s="242">
        <f t="shared" ref="K349:K354" si="702">J349*E349</f>
        <v>2289.2249999999999</v>
      </c>
      <c r="L349" s="243">
        <f t="shared" ref="L349:L354" si="703">+J349/D349</f>
        <v>1</v>
      </c>
      <c r="M349" s="240">
        <f t="shared" si="687"/>
        <v>58.25</v>
      </c>
      <c r="N349" s="240">
        <f t="shared" ref="N349:N354" si="704">M349*E349</f>
        <v>2289.2249999999999</v>
      </c>
      <c r="O349" s="244">
        <f t="shared" ref="O349:O354" si="705">+M349/D349</f>
        <v>1</v>
      </c>
      <c r="P349" s="211">
        <f t="shared" ref="P349:P354" si="706">+D349-M349</f>
        <v>0</v>
      </c>
      <c r="Q349" s="212">
        <f t="shared" ref="Q349:Q354" si="707">P349*E349</f>
        <v>0</v>
      </c>
      <c r="R349" s="213">
        <f t="shared" ref="R349:R354" si="708">+P349/D349</f>
        <v>0</v>
      </c>
      <c r="S349" s="204">
        <f t="shared" ref="S349:S354" si="709">N349+Q349</f>
        <v>2289.2249999999999</v>
      </c>
      <c r="T349" s="204">
        <f t="shared" ref="T349:T354" si="710">F349-S349</f>
        <v>5.0000000001091394E-3</v>
      </c>
    </row>
    <row r="350" spans="1:20" s="2" customFormat="1" x14ac:dyDescent="0.3">
      <c r="A350" s="480" t="s">
        <v>602</v>
      </c>
      <c r="B350" s="452" t="s">
        <v>1014</v>
      </c>
      <c r="C350" s="302" t="s">
        <v>92</v>
      </c>
      <c r="D350" s="303">
        <v>116.5</v>
      </c>
      <c r="E350" s="358">
        <v>11.21</v>
      </c>
      <c r="F350" s="358">
        <f t="shared" si="699"/>
        <v>1305.97</v>
      </c>
      <c r="G350" s="278">
        <v>0</v>
      </c>
      <c r="H350" s="240">
        <f t="shared" si="700"/>
        <v>0</v>
      </c>
      <c r="I350" s="241">
        <f t="shared" si="701"/>
        <v>0</v>
      </c>
      <c r="J350" s="419">
        <f>+D350</f>
        <v>116.5</v>
      </c>
      <c r="K350" s="242">
        <f t="shared" si="702"/>
        <v>1305.9650000000001</v>
      </c>
      <c r="L350" s="243">
        <f t="shared" si="703"/>
        <v>1</v>
      </c>
      <c r="M350" s="240">
        <f t="shared" si="687"/>
        <v>116.5</v>
      </c>
      <c r="N350" s="240">
        <f t="shared" si="704"/>
        <v>1305.9650000000001</v>
      </c>
      <c r="O350" s="244">
        <f t="shared" si="705"/>
        <v>1</v>
      </c>
      <c r="P350" s="211">
        <f t="shared" si="706"/>
        <v>0</v>
      </c>
      <c r="Q350" s="212">
        <f t="shared" si="707"/>
        <v>0</v>
      </c>
      <c r="R350" s="213">
        <f t="shared" si="708"/>
        <v>0</v>
      </c>
      <c r="S350" s="204">
        <f t="shared" si="709"/>
        <v>1305.9650000000001</v>
      </c>
      <c r="T350" s="204">
        <f t="shared" si="710"/>
        <v>4.9999999998817657E-3</v>
      </c>
    </row>
    <row r="351" spans="1:20" s="2" customFormat="1" x14ac:dyDescent="0.3">
      <c r="A351" s="480" t="s">
        <v>603</v>
      </c>
      <c r="B351" s="452" t="s">
        <v>1015</v>
      </c>
      <c r="C351" s="302" t="s">
        <v>92</v>
      </c>
      <c r="D351" s="303">
        <v>116.5</v>
      </c>
      <c r="E351" s="356">
        <v>20.149999999999999</v>
      </c>
      <c r="F351" s="356">
        <f t="shared" si="699"/>
        <v>2347.48</v>
      </c>
      <c r="G351" s="278">
        <v>0</v>
      </c>
      <c r="H351" s="240">
        <f t="shared" si="700"/>
        <v>0</v>
      </c>
      <c r="I351" s="241">
        <f t="shared" si="701"/>
        <v>0</v>
      </c>
      <c r="J351" s="419">
        <f>+D351</f>
        <v>116.5</v>
      </c>
      <c r="K351" s="242">
        <f t="shared" si="702"/>
        <v>2347.4749999999999</v>
      </c>
      <c r="L351" s="243">
        <f t="shared" si="703"/>
        <v>1</v>
      </c>
      <c r="M351" s="240">
        <f t="shared" si="687"/>
        <v>116.5</v>
      </c>
      <c r="N351" s="240">
        <f t="shared" si="704"/>
        <v>2347.4749999999999</v>
      </c>
      <c r="O351" s="244">
        <f t="shared" si="705"/>
        <v>1</v>
      </c>
      <c r="P351" s="211">
        <f t="shared" si="706"/>
        <v>0</v>
      </c>
      <c r="Q351" s="212">
        <f t="shared" si="707"/>
        <v>0</v>
      </c>
      <c r="R351" s="213">
        <f t="shared" si="708"/>
        <v>0</v>
      </c>
      <c r="S351" s="204">
        <f t="shared" si="709"/>
        <v>2347.4749999999999</v>
      </c>
      <c r="T351" s="204">
        <f t="shared" si="710"/>
        <v>5.0000000001091394E-3</v>
      </c>
    </row>
    <row r="352" spans="1:20" s="2" customFormat="1" x14ac:dyDescent="0.3">
      <c r="A352" s="480" t="s">
        <v>604</v>
      </c>
      <c r="B352" s="452" t="s">
        <v>1016</v>
      </c>
      <c r="C352" s="302" t="s">
        <v>92</v>
      </c>
      <c r="D352" s="303">
        <v>116.5</v>
      </c>
      <c r="E352" s="356">
        <v>7.83</v>
      </c>
      <c r="F352" s="356">
        <f t="shared" si="699"/>
        <v>912.2</v>
      </c>
      <c r="G352" s="278">
        <v>0</v>
      </c>
      <c r="H352" s="240">
        <f t="shared" si="700"/>
        <v>0</v>
      </c>
      <c r="I352" s="241">
        <f t="shared" si="701"/>
        <v>0</v>
      </c>
      <c r="J352" s="419"/>
      <c r="K352" s="242">
        <f t="shared" si="702"/>
        <v>0</v>
      </c>
      <c r="L352" s="243">
        <f t="shared" si="703"/>
        <v>0</v>
      </c>
      <c r="M352" s="240">
        <f t="shared" si="687"/>
        <v>0</v>
      </c>
      <c r="N352" s="240">
        <f t="shared" si="704"/>
        <v>0</v>
      </c>
      <c r="O352" s="244">
        <f t="shared" si="705"/>
        <v>0</v>
      </c>
      <c r="P352" s="211">
        <f t="shared" si="706"/>
        <v>116.5</v>
      </c>
      <c r="Q352" s="212">
        <f t="shared" si="707"/>
        <v>912.19500000000005</v>
      </c>
      <c r="R352" s="213">
        <f t="shared" si="708"/>
        <v>1</v>
      </c>
      <c r="S352" s="204">
        <f t="shared" si="709"/>
        <v>912.19500000000005</v>
      </c>
      <c r="T352" s="204">
        <f t="shared" si="710"/>
        <v>4.9999999999954525E-3</v>
      </c>
    </row>
    <row r="353" spans="1:20" s="2" customFormat="1" x14ac:dyDescent="0.3">
      <c r="A353" s="480" t="s">
        <v>605</v>
      </c>
      <c r="B353" s="452" t="s">
        <v>1017</v>
      </c>
      <c r="C353" s="302" t="s">
        <v>92</v>
      </c>
      <c r="D353" s="303">
        <v>116.5</v>
      </c>
      <c r="E353" s="356">
        <v>28.98</v>
      </c>
      <c r="F353" s="356">
        <f t="shared" si="699"/>
        <v>3376.17</v>
      </c>
      <c r="G353" s="278">
        <v>0</v>
      </c>
      <c r="H353" s="240">
        <f t="shared" si="700"/>
        <v>0</v>
      </c>
      <c r="I353" s="241">
        <f t="shared" si="701"/>
        <v>0</v>
      </c>
      <c r="J353" s="419"/>
      <c r="K353" s="242">
        <f t="shared" si="702"/>
        <v>0</v>
      </c>
      <c r="L353" s="243">
        <f t="shared" si="703"/>
        <v>0</v>
      </c>
      <c r="M353" s="240">
        <f t="shared" si="687"/>
        <v>0</v>
      </c>
      <c r="N353" s="240">
        <f t="shared" si="704"/>
        <v>0</v>
      </c>
      <c r="O353" s="244">
        <f t="shared" si="705"/>
        <v>0</v>
      </c>
      <c r="P353" s="211">
        <f t="shared" si="706"/>
        <v>116.5</v>
      </c>
      <c r="Q353" s="212">
        <f t="shared" si="707"/>
        <v>3376.17</v>
      </c>
      <c r="R353" s="213">
        <f t="shared" si="708"/>
        <v>1</v>
      </c>
      <c r="S353" s="204">
        <f t="shared" si="709"/>
        <v>3376.17</v>
      </c>
      <c r="T353" s="204">
        <f t="shared" si="710"/>
        <v>0</v>
      </c>
    </row>
    <row r="354" spans="1:20" s="2" customFormat="1" x14ac:dyDescent="0.3">
      <c r="A354" s="480" t="s">
        <v>606</v>
      </c>
      <c r="B354" s="452" t="s">
        <v>1018</v>
      </c>
      <c r="C354" s="302" t="s">
        <v>93</v>
      </c>
      <c r="D354" s="303">
        <v>66.989999999999995</v>
      </c>
      <c r="E354" s="356">
        <v>41.37</v>
      </c>
      <c r="F354" s="356">
        <f t="shared" si="699"/>
        <v>2771.38</v>
      </c>
      <c r="G354" s="278">
        <v>0</v>
      </c>
      <c r="H354" s="240">
        <f t="shared" si="700"/>
        <v>0</v>
      </c>
      <c r="I354" s="241">
        <f t="shared" si="701"/>
        <v>0</v>
      </c>
      <c r="J354" s="419">
        <f>+D354</f>
        <v>66.989999999999995</v>
      </c>
      <c r="K354" s="242">
        <f t="shared" si="702"/>
        <v>2771.3762999999994</v>
      </c>
      <c r="L354" s="243">
        <f t="shared" si="703"/>
        <v>1</v>
      </c>
      <c r="M354" s="240">
        <f t="shared" si="687"/>
        <v>66.989999999999995</v>
      </c>
      <c r="N354" s="240">
        <f t="shared" si="704"/>
        <v>2771.3762999999994</v>
      </c>
      <c r="O354" s="244">
        <f t="shared" si="705"/>
        <v>1</v>
      </c>
      <c r="P354" s="211">
        <f t="shared" si="706"/>
        <v>0</v>
      </c>
      <c r="Q354" s="212">
        <f t="shared" si="707"/>
        <v>0</v>
      </c>
      <c r="R354" s="213">
        <f t="shared" si="708"/>
        <v>0</v>
      </c>
      <c r="S354" s="204">
        <f t="shared" si="709"/>
        <v>2771.3762999999994</v>
      </c>
      <c r="T354" s="204">
        <f t="shared" si="710"/>
        <v>3.7000000006628397E-3</v>
      </c>
    </row>
    <row r="355" spans="1:20" s="2" customFormat="1" x14ac:dyDescent="0.3">
      <c r="A355" s="304" t="s">
        <v>607</v>
      </c>
      <c r="B355" s="305" t="s">
        <v>1019</v>
      </c>
      <c r="C355" s="320" t="s">
        <v>160</v>
      </c>
      <c r="D355" s="321"/>
      <c r="E355" s="353"/>
      <c r="F355" s="354">
        <f>SUM(F356:F362)</f>
        <v>900.81000000000006</v>
      </c>
      <c r="G355" s="308"/>
      <c r="H355" s="309" t="s">
        <v>110</v>
      </c>
      <c r="I355" s="323" t="s">
        <v>110</v>
      </c>
      <c r="J355" s="419"/>
      <c r="K355" s="309" t="s">
        <v>110</v>
      </c>
      <c r="L355" s="324" t="s">
        <v>110</v>
      </c>
      <c r="M355" s="309"/>
      <c r="N355" s="309" t="s">
        <v>110</v>
      </c>
      <c r="O355" s="324" t="s">
        <v>110</v>
      </c>
      <c r="P355" s="326" t="s">
        <v>110</v>
      </c>
      <c r="Q355" s="309" t="s">
        <v>110</v>
      </c>
      <c r="R355" s="324" t="s">
        <v>110</v>
      </c>
      <c r="S355" s="204" t="s">
        <v>110</v>
      </c>
      <c r="T355" s="204" t="s">
        <v>110</v>
      </c>
    </row>
    <row r="356" spans="1:20" s="2" customFormat="1" x14ac:dyDescent="0.3">
      <c r="A356" s="480" t="s">
        <v>608</v>
      </c>
      <c r="B356" s="452" t="s">
        <v>1020</v>
      </c>
      <c r="C356" s="302" t="s">
        <v>93</v>
      </c>
      <c r="D356" s="303">
        <v>0.56999999999999995</v>
      </c>
      <c r="E356" s="358">
        <v>39.299999999999997</v>
      </c>
      <c r="F356" s="358">
        <f t="shared" si="699"/>
        <v>22.4</v>
      </c>
      <c r="G356" s="278">
        <v>0</v>
      </c>
      <c r="H356" s="240">
        <f t="shared" ref="H356:H362" si="711">G356*E356</f>
        <v>0</v>
      </c>
      <c r="I356" s="241">
        <f t="shared" ref="I356:I362" si="712">+G356/D356</f>
        <v>0</v>
      </c>
      <c r="J356" s="419">
        <f>+D356</f>
        <v>0.56999999999999995</v>
      </c>
      <c r="K356" s="242">
        <f t="shared" ref="K356:K362" si="713">J356*E356</f>
        <v>22.400999999999996</v>
      </c>
      <c r="L356" s="243">
        <f t="shared" ref="L356:L362" si="714">+J356/D356</f>
        <v>1</v>
      </c>
      <c r="M356" s="240">
        <f t="shared" si="687"/>
        <v>0.56999999999999995</v>
      </c>
      <c r="N356" s="240">
        <f t="shared" ref="N356:N362" si="715">M356*E356</f>
        <v>22.400999999999996</v>
      </c>
      <c r="O356" s="244">
        <f t="shared" ref="O356:O362" si="716">+M356/D356</f>
        <v>1</v>
      </c>
      <c r="P356" s="211">
        <f t="shared" ref="P356:P362" si="717">+D356-M356</f>
        <v>0</v>
      </c>
      <c r="Q356" s="212">
        <f t="shared" ref="Q356:Q362" si="718">P356*E356</f>
        <v>0</v>
      </c>
      <c r="R356" s="213">
        <f t="shared" ref="R356:R362" si="719">+P356/D356</f>
        <v>0</v>
      </c>
      <c r="S356" s="204">
        <f t="shared" ref="S356:S362" si="720">N356+Q356</f>
        <v>22.400999999999996</v>
      </c>
      <c r="T356" s="204">
        <f t="shared" ref="T356:T362" si="721">F356-S356</f>
        <v>-9.9999999999766942E-4</v>
      </c>
    </row>
    <row r="357" spans="1:20" s="2" customFormat="1" x14ac:dyDescent="0.3">
      <c r="A357" s="480" t="s">
        <v>609</v>
      </c>
      <c r="B357" s="452" t="s">
        <v>1021</v>
      </c>
      <c r="C357" s="302" t="s">
        <v>92</v>
      </c>
      <c r="D357" s="303">
        <v>4.3499999999999996</v>
      </c>
      <c r="E357" s="358">
        <v>11.21</v>
      </c>
      <c r="F357" s="358">
        <f t="shared" si="699"/>
        <v>48.76</v>
      </c>
      <c r="G357" s="278">
        <v>0</v>
      </c>
      <c r="H357" s="240">
        <f t="shared" si="711"/>
        <v>0</v>
      </c>
      <c r="I357" s="241">
        <f t="shared" si="712"/>
        <v>0</v>
      </c>
      <c r="J357" s="419">
        <f t="shared" ref="J357:J362" si="722">+D357</f>
        <v>4.3499999999999996</v>
      </c>
      <c r="K357" s="242">
        <f t="shared" si="713"/>
        <v>48.763500000000001</v>
      </c>
      <c r="L357" s="243">
        <f t="shared" si="714"/>
        <v>1</v>
      </c>
      <c r="M357" s="240">
        <f t="shared" si="687"/>
        <v>4.3499999999999996</v>
      </c>
      <c r="N357" s="240">
        <f t="shared" si="715"/>
        <v>48.763500000000001</v>
      </c>
      <c r="O357" s="244">
        <f t="shared" si="716"/>
        <v>1</v>
      </c>
      <c r="P357" s="211">
        <f t="shared" si="717"/>
        <v>0</v>
      </c>
      <c r="Q357" s="212">
        <f t="shared" si="718"/>
        <v>0</v>
      </c>
      <c r="R357" s="213">
        <f t="shared" si="719"/>
        <v>0</v>
      </c>
      <c r="S357" s="204">
        <f t="shared" si="720"/>
        <v>48.763500000000001</v>
      </c>
      <c r="T357" s="204">
        <f t="shared" si="721"/>
        <v>-3.5000000000025011E-3</v>
      </c>
    </row>
    <row r="358" spans="1:20" s="2" customFormat="1" x14ac:dyDescent="0.3">
      <c r="A358" s="480" t="s">
        <v>610</v>
      </c>
      <c r="B358" s="452" t="s">
        <v>1022</v>
      </c>
      <c r="C358" s="302" t="s">
        <v>92</v>
      </c>
      <c r="D358" s="303">
        <v>4.3499999999999996</v>
      </c>
      <c r="E358" s="356">
        <v>20.149999999999999</v>
      </c>
      <c r="F358" s="356">
        <f t="shared" si="699"/>
        <v>87.65</v>
      </c>
      <c r="G358" s="278">
        <v>0</v>
      </c>
      <c r="H358" s="240">
        <f t="shared" si="711"/>
        <v>0</v>
      </c>
      <c r="I358" s="241">
        <f t="shared" si="712"/>
        <v>0</v>
      </c>
      <c r="J358" s="419">
        <f t="shared" si="722"/>
        <v>4.3499999999999996</v>
      </c>
      <c r="K358" s="242">
        <f t="shared" si="713"/>
        <v>87.652499999999989</v>
      </c>
      <c r="L358" s="243">
        <f t="shared" si="714"/>
        <v>1</v>
      </c>
      <c r="M358" s="240">
        <f t="shared" si="687"/>
        <v>4.3499999999999996</v>
      </c>
      <c r="N358" s="240">
        <f t="shared" si="715"/>
        <v>87.652499999999989</v>
      </c>
      <c r="O358" s="244">
        <f t="shared" si="716"/>
        <v>1</v>
      </c>
      <c r="P358" s="211">
        <f t="shared" si="717"/>
        <v>0</v>
      </c>
      <c r="Q358" s="212">
        <f t="shared" si="718"/>
        <v>0</v>
      </c>
      <c r="R358" s="213">
        <f t="shared" si="719"/>
        <v>0</v>
      </c>
      <c r="S358" s="204">
        <f t="shared" si="720"/>
        <v>87.652499999999989</v>
      </c>
      <c r="T358" s="204">
        <f t="shared" si="721"/>
        <v>-2.4999999999835154E-3</v>
      </c>
    </row>
    <row r="359" spans="1:20" s="2" customFormat="1" x14ac:dyDescent="0.3">
      <c r="A359" s="480" t="s">
        <v>611</v>
      </c>
      <c r="B359" s="452" t="s">
        <v>1023</v>
      </c>
      <c r="C359" s="302" t="s">
        <v>92</v>
      </c>
      <c r="D359" s="303">
        <v>12.7</v>
      </c>
      <c r="E359" s="356">
        <v>39.35</v>
      </c>
      <c r="F359" s="356">
        <f t="shared" si="699"/>
        <v>499.75</v>
      </c>
      <c r="G359" s="278">
        <v>0</v>
      </c>
      <c r="H359" s="240">
        <f t="shared" si="711"/>
        <v>0</v>
      </c>
      <c r="I359" s="241">
        <f t="shared" si="712"/>
        <v>0</v>
      </c>
      <c r="J359" s="419">
        <f t="shared" si="722"/>
        <v>12.7</v>
      </c>
      <c r="K359" s="242">
        <f t="shared" si="713"/>
        <v>499.745</v>
      </c>
      <c r="L359" s="243">
        <f t="shared" si="714"/>
        <v>1</v>
      </c>
      <c r="M359" s="240">
        <f t="shared" si="687"/>
        <v>12.7</v>
      </c>
      <c r="N359" s="240">
        <f t="shared" si="715"/>
        <v>499.745</v>
      </c>
      <c r="O359" s="244">
        <f t="shared" si="716"/>
        <v>1</v>
      </c>
      <c r="P359" s="211">
        <f t="shared" si="717"/>
        <v>0</v>
      </c>
      <c r="Q359" s="212">
        <f t="shared" si="718"/>
        <v>0</v>
      </c>
      <c r="R359" s="213">
        <f t="shared" si="719"/>
        <v>0</v>
      </c>
      <c r="S359" s="204">
        <f t="shared" si="720"/>
        <v>499.745</v>
      </c>
      <c r="T359" s="204">
        <f t="shared" si="721"/>
        <v>4.9999999999954525E-3</v>
      </c>
    </row>
    <row r="360" spans="1:20" s="2" customFormat="1" x14ac:dyDescent="0.3">
      <c r="A360" s="480" t="s">
        <v>612</v>
      </c>
      <c r="B360" s="452" t="s">
        <v>1024</v>
      </c>
      <c r="C360" s="302" t="s">
        <v>92</v>
      </c>
      <c r="D360" s="303">
        <v>4.3499999999999996</v>
      </c>
      <c r="E360" s="356">
        <v>46.26</v>
      </c>
      <c r="F360" s="356">
        <f t="shared" si="699"/>
        <v>201.23</v>
      </c>
      <c r="G360" s="278">
        <v>0</v>
      </c>
      <c r="H360" s="240">
        <f t="shared" si="711"/>
        <v>0</v>
      </c>
      <c r="I360" s="241">
        <f t="shared" si="712"/>
        <v>0</v>
      </c>
      <c r="J360" s="419">
        <f t="shared" si="722"/>
        <v>4.3499999999999996</v>
      </c>
      <c r="K360" s="242">
        <f t="shared" si="713"/>
        <v>201.23099999999997</v>
      </c>
      <c r="L360" s="243">
        <f t="shared" si="714"/>
        <v>1</v>
      </c>
      <c r="M360" s="240">
        <f t="shared" si="687"/>
        <v>4.3499999999999996</v>
      </c>
      <c r="N360" s="240">
        <f t="shared" si="715"/>
        <v>201.23099999999997</v>
      </c>
      <c r="O360" s="244">
        <f t="shared" si="716"/>
        <v>1</v>
      </c>
      <c r="P360" s="211">
        <f t="shared" si="717"/>
        <v>0</v>
      </c>
      <c r="Q360" s="212">
        <f t="shared" si="718"/>
        <v>0</v>
      </c>
      <c r="R360" s="213">
        <f t="shared" si="719"/>
        <v>0</v>
      </c>
      <c r="S360" s="204">
        <f t="shared" si="720"/>
        <v>201.23099999999997</v>
      </c>
      <c r="T360" s="204">
        <f t="shared" si="721"/>
        <v>-9.9999999997635314E-4</v>
      </c>
    </row>
    <row r="361" spans="1:20" s="2" customFormat="1" x14ac:dyDescent="0.3">
      <c r="A361" s="480" t="s">
        <v>613</v>
      </c>
      <c r="B361" s="452" t="s">
        <v>1025</v>
      </c>
      <c r="C361" s="302" t="s">
        <v>92</v>
      </c>
      <c r="D361" s="303">
        <v>4.3499999999999996</v>
      </c>
      <c r="E361" s="356">
        <v>4.01</v>
      </c>
      <c r="F361" s="356">
        <f t="shared" si="699"/>
        <v>17.440000000000001</v>
      </c>
      <c r="G361" s="278">
        <v>0</v>
      </c>
      <c r="H361" s="240">
        <f t="shared" si="711"/>
        <v>0</v>
      </c>
      <c r="I361" s="241">
        <f t="shared" si="712"/>
        <v>0</v>
      </c>
      <c r="J361" s="419">
        <f t="shared" si="722"/>
        <v>4.3499999999999996</v>
      </c>
      <c r="K361" s="242">
        <f t="shared" si="713"/>
        <v>17.443499999999997</v>
      </c>
      <c r="L361" s="243">
        <f t="shared" si="714"/>
        <v>1</v>
      </c>
      <c r="M361" s="240">
        <f t="shared" si="687"/>
        <v>4.3499999999999996</v>
      </c>
      <c r="N361" s="240">
        <f t="shared" si="715"/>
        <v>17.443499999999997</v>
      </c>
      <c r="O361" s="244">
        <f t="shared" si="716"/>
        <v>1</v>
      </c>
      <c r="P361" s="211">
        <f t="shared" si="717"/>
        <v>0</v>
      </c>
      <c r="Q361" s="212">
        <f t="shared" si="718"/>
        <v>0</v>
      </c>
      <c r="R361" s="213">
        <f t="shared" si="719"/>
        <v>0</v>
      </c>
      <c r="S361" s="204">
        <f t="shared" si="720"/>
        <v>17.443499999999997</v>
      </c>
      <c r="T361" s="204">
        <f t="shared" si="721"/>
        <v>-3.4999999999953957E-3</v>
      </c>
    </row>
    <row r="362" spans="1:20" s="2" customFormat="1" x14ac:dyDescent="0.3">
      <c r="A362" s="480" t="s">
        <v>614</v>
      </c>
      <c r="B362" s="452" t="s">
        <v>1018</v>
      </c>
      <c r="C362" s="302" t="s">
        <v>93</v>
      </c>
      <c r="D362" s="303">
        <v>0.56999999999999995</v>
      </c>
      <c r="E362" s="356">
        <v>41.37</v>
      </c>
      <c r="F362" s="356">
        <f t="shared" si="699"/>
        <v>23.58</v>
      </c>
      <c r="G362" s="278">
        <v>0</v>
      </c>
      <c r="H362" s="240">
        <f t="shared" si="711"/>
        <v>0</v>
      </c>
      <c r="I362" s="241">
        <f t="shared" si="712"/>
        <v>0</v>
      </c>
      <c r="J362" s="419">
        <f t="shared" si="722"/>
        <v>0.56999999999999995</v>
      </c>
      <c r="K362" s="242">
        <f t="shared" si="713"/>
        <v>23.580899999999996</v>
      </c>
      <c r="L362" s="243">
        <f t="shared" si="714"/>
        <v>1</v>
      </c>
      <c r="M362" s="240">
        <f t="shared" si="687"/>
        <v>0.56999999999999995</v>
      </c>
      <c r="N362" s="240">
        <f t="shared" si="715"/>
        <v>23.580899999999996</v>
      </c>
      <c r="O362" s="244">
        <f t="shared" si="716"/>
        <v>1</v>
      </c>
      <c r="P362" s="211">
        <f t="shared" si="717"/>
        <v>0</v>
      </c>
      <c r="Q362" s="212">
        <f t="shared" si="718"/>
        <v>0</v>
      </c>
      <c r="R362" s="213">
        <f t="shared" si="719"/>
        <v>0</v>
      </c>
      <c r="S362" s="204">
        <f t="shared" si="720"/>
        <v>23.580899999999996</v>
      </c>
      <c r="T362" s="204">
        <f t="shared" si="721"/>
        <v>-8.9999999999790248E-4</v>
      </c>
    </row>
    <row r="363" spans="1:20" s="2" customFormat="1" x14ac:dyDescent="0.3">
      <c r="A363" s="322" t="s">
        <v>615</v>
      </c>
      <c r="B363" s="310" t="s">
        <v>1026</v>
      </c>
      <c r="C363" s="306" t="s">
        <v>160</v>
      </c>
      <c r="D363" s="307"/>
      <c r="E363" s="349"/>
      <c r="F363" s="350">
        <f>+F364</f>
        <v>7480.24</v>
      </c>
      <c r="G363" s="308"/>
      <c r="H363" s="309" t="s">
        <v>110</v>
      </c>
      <c r="I363" s="323" t="s">
        <v>110</v>
      </c>
      <c r="J363" s="419"/>
      <c r="K363" s="309" t="s">
        <v>110</v>
      </c>
      <c r="L363" s="324" t="s">
        <v>110</v>
      </c>
      <c r="M363" s="309"/>
      <c r="N363" s="309" t="s">
        <v>110</v>
      </c>
      <c r="O363" s="324" t="s">
        <v>110</v>
      </c>
      <c r="P363" s="326" t="s">
        <v>110</v>
      </c>
      <c r="Q363" s="309" t="s">
        <v>110</v>
      </c>
      <c r="R363" s="324" t="s">
        <v>110</v>
      </c>
      <c r="S363" s="204" t="e">
        <f t="shared" ref="S363:S371" si="723">N363+Q363</f>
        <v>#VALUE!</v>
      </c>
      <c r="T363" s="204" t="e">
        <f t="shared" ref="T363:T371" si="724">F363-S363</f>
        <v>#VALUE!</v>
      </c>
    </row>
    <row r="364" spans="1:20" s="2" customFormat="1" x14ac:dyDescent="0.3">
      <c r="A364" s="480" t="s">
        <v>616</v>
      </c>
      <c r="B364" s="452" t="s">
        <v>1027</v>
      </c>
      <c r="C364" s="302" t="s">
        <v>92</v>
      </c>
      <c r="D364" s="303">
        <v>132.30000000000001</v>
      </c>
      <c r="E364" s="356">
        <v>56.54</v>
      </c>
      <c r="F364" s="356">
        <f t="shared" si="699"/>
        <v>7480.24</v>
      </c>
      <c r="G364" s="278">
        <v>0</v>
      </c>
      <c r="H364" s="240">
        <f t="shared" ref="H364" si="725">G364*E364</f>
        <v>0</v>
      </c>
      <c r="I364" s="241">
        <f t="shared" ref="I364" si="726">+G364/D364</f>
        <v>0</v>
      </c>
      <c r="J364" s="419">
        <f>+D364</f>
        <v>132.30000000000001</v>
      </c>
      <c r="K364" s="242">
        <f t="shared" ref="K364" si="727">J364*E364</f>
        <v>7480.2420000000002</v>
      </c>
      <c r="L364" s="243">
        <f t="shared" ref="L364" si="728">+J364/D364</f>
        <v>1</v>
      </c>
      <c r="M364" s="240">
        <f t="shared" si="687"/>
        <v>132.30000000000001</v>
      </c>
      <c r="N364" s="240">
        <f t="shared" ref="N364" si="729">M364*E364</f>
        <v>7480.2420000000002</v>
      </c>
      <c r="O364" s="244">
        <f t="shared" ref="O364" si="730">+M364/D364</f>
        <v>1</v>
      </c>
      <c r="P364" s="211">
        <f t="shared" ref="P364" si="731">+D364-M364</f>
        <v>0</v>
      </c>
      <c r="Q364" s="212">
        <f t="shared" ref="Q364" si="732">P364*E364</f>
        <v>0</v>
      </c>
      <c r="R364" s="213">
        <f t="shared" ref="R364" si="733">+P364/D364</f>
        <v>0</v>
      </c>
      <c r="S364" s="204">
        <f t="shared" si="723"/>
        <v>7480.2420000000002</v>
      </c>
      <c r="T364" s="204">
        <f t="shared" si="724"/>
        <v>-2.0000000004074536E-3</v>
      </c>
    </row>
    <row r="365" spans="1:20" s="2" customFormat="1" x14ac:dyDescent="0.3">
      <c r="A365" s="304" t="s">
        <v>617</v>
      </c>
      <c r="B365" s="305" t="s">
        <v>919</v>
      </c>
      <c r="C365" s="306" t="s">
        <v>160</v>
      </c>
      <c r="D365" s="307"/>
      <c r="E365" s="349"/>
      <c r="F365" s="350">
        <f>+F366+F368+F370</f>
        <v>1522.61</v>
      </c>
      <c r="G365" s="308"/>
      <c r="H365" s="309" t="s">
        <v>110</v>
      </c>
      <c r="I365" s="323" t="s">
        <v>110</v>
      </c>
      <c r="J365" s="419"/>
      <c r="K365" s="309" t="s">
        <v>110</v>
      </c>
      <c r="L365" s="324" t="s">
        <v>110</v>
      </c>
      <c r="M365" s="309"/>
      <c r="N365" s="309" t="s">
        <v>110</v>
      </c>
      <c r="O365" s="324" t="s">
        <v>110</v>
      </c>
      <c r="P365" s="326" t="s">
        <v>110</v>
      </c>
      <c r="Q365" s="309" t="s">
        <v>110</v>
      </c>
      <c r="R365" s="324" t="s">
        <v>110</v>
      </c>
      <c r="S365" s="204" t="e">
        <f t="shared" si="723"/>
        <v>#VALUE!</v>
      </c>
      <c r="T365" s="204" t="e">
        <f t="shared" si="724"/>
        <v>#VALUE!</v>
      </c>
    </row>
    <row r="366" spans="1:20" s="2" customFormat="1" x14ac:dyDescent="0.3">
      <c r="A366" s="304" t="s">
        <v>618</v>
      </c>
      <c r="B366" s="305" t="s">
        <v>1028</v>
      </c>
      <c r="C366" s="320" t="s">
        <v>160</v>
      </c>
      <c r="D366" s="321"/>
      <c r="E366" s="353"/>
      <c r="F366" s="354">
        <f>+F367</f>
        <v>1216.06</v>
      </c>
      <c r="G366" s="308"/>
      <c r="H366" s="309" t="s">
        <v>110</v>
      </c>
      <c r="I366" s="323" t="s">
        <v>110</v>
      </c>
      <c r="J366" s="419"/>
      <c r="K366" s="309" t="s">
        <v>110</v>
      </c>
      <c r="L366" s="324" t="s">
        <v>110</v>
      </c>
      <c r="M366" s="309"/>
      <c r="N366" s="309" t="s">
        <v>110</v>
      </c>
      <c r="O366" s="324" t="s">
        <v>110</v>
      </c>
      <c r="P366" s="326" t="s">
        <v>110</v>
      </c>
      <c r="Q366" s="309" t="s">
        <v>110</v>
      </c>
      <c r="R366" s="324" t="s">
        <v>110</v>
      </c>
      <c r="S366" s="204" t="e">
        <f t="shared" si="723"/>
        <v>#VALUE!</v>
      </c>
      <c r="T366" s="204" t="e">
        <f t="shared" si="724"/>
        <v>#VALUE!</v>
      </c>
    </row>
    <row r="367" spans="1:20" s="2" customFormat="1" x14ac:dyDescent="0.3">
      <c r="A367" s="298" t="s">
        <v>619</v>
      </c>
      <c r="B367" s="300" t="s">
        <v>1029</v>
      </c>
      <c r="C367" s="302" t="s">
        <v>92</v>
      </c>
      <c r="D367" s="303">
        <v>109.26</v>
      </c>
      <c r="E367" s="356">
        <v>11.13</v>
      </c>
      <c r="F367" s="356">
        <f>+ROUND((D367*E367),2)</f>
        <v>1216.06</v>
      </c>
      <c r="G367" s="278">
        <v>0</v>
      </c>
      <c r="H367" s="240">
        <f t="shared" ref="H367" si="734">G367*E367</f>
        <v>0</v>
      </c>
      <c r="I367" s="241">
        <f t="shared" ref="I367" si="735">+G367/D367</f>
        <v>0</v>
      </c>
      <c r="J367" s="419"/>
      <c r="K367" s="242">
        <f t="shared" ref="K367" si="736">J367*E367</f>
        <v>0</v>
      </c>
      <c r="L367" s="243">
        <f t="shared" ref="L367" si="737">+J367/D367</f>
        <v>0</v>
      </c>
      <c r="M367" s="240">
        <f t="shared" si="687"/>
        <v>0</v>
      </c>
      <c r="N367" s="240">
        <f t="shared" ref="N367" si="738">M367*E367</f>
        <v>0</v>
      </c>
      <c r="O367" s="244">
        <f t="shared" ref="O367" si="739">+M367/D367</f>
        <v>0</v>
      </c>
      <c r="P367" s="211">
        <f t="shared" ref="P367" si="740">+D367-M367</f>
        <v>109.26</v>
      </c>
      <c r="Q367" s="212">
        <f t="shared" ref="Q367" si="741">P367*E367</f>
        <v>1216.0638000000001</v>
      </c>
      <c r="R367" s="213">
        <f t="shared" ref="R367" si="742">+P367/D367</f>
        <v>1</v>
      </c>
      <c r="S367" s="204">
        <f t="shared" si="723"/>
        <v>1216.0638000000001</v>
      </c>
      <c r="T367" s="204">
        <f t="shared" si="724"/>
        <v>-3.8000000001829903E-3</v>
      </c>
    </row>
    <row r="368" spans="1:20" s="2" customFormat="1" x14ac:dyDescent="0.3">
      <c r="A368" s="304" t="s">
        <v>620</v>
      </c>
      <c r="B368" s="305" t="s">
        <v>1030</v>
      </c>
      <c r="C368" s="320" t="s">
        <v>160</v>
      </c>
      <c r="D368" s="321"/>
      <c r="E368" s="353"/>
      <c r="F368" s="354">
        <f>+F369</f>
        <v>255.53</v>
      </c>
      <c r="G368" s="308"/>
      <c r="H368" s="309" t="s">
        <v>110</v>
      </c>
      <c r="I368" s="323" t="s">
        <v>110</v>
      </c>
      <c r="J368" s="419"/>
      <c r="K368" s="309" t="s">
        <v>110</v>
      </c>
      <c r="L368" s="324" t="s">
        <v>110</v>
      </c>
      <c r="M368" s="309"/>
      <c r="N368" s="309" t="s">
        <v>110</v>
      </c>
      <c r="O368" s="324" t="s">
        <v>110</v>
      </c>
      <c r="P368" s="326" t="s">
        <v>110</v>
      </c>
      <c r="Q368" s="309" t="s">
        <v>110</v>
      </c>
      <c r="R368" s="324" t="s">
        <v>110</v>
      </c>
      <c r="S368" s="204" t="e">
        <f t="shared" si="723"/>
        <v>#VALUE!</v>
      </c>
      <c r="T368" s="204" t="e">
        <f t="shared" si="724"/>
        <v>#VALUE!</v>
      </c>
    </row>
    <row r="369" spans="1:28" s="2" customFormat="1" x14ac:dyDescent="0.3">
      <c r="A369" s="298" t="s">
        <v>621</v>
      </c>
      <c r="B369" s="300" t="s">
        <v>1031</v>
      </c>
      <c r="C369" s="302" t="s">
        <v>94</v>
      </c>
      <c r="D369" s="303">
        <v>7.8</v>
      </c>
      <c r="E369" s="356">
        <v>32.76</v>
      </c>
      <c r="F369" s="356">
        <f>+ROUND((D369*E369),2)</f>
        <v>255.53</v>
      </c>
      <c r="G369" s="278">
        <v>0</v>
      </c>
      <c r="H369" s="240">
        <f t="shared" ref="H369" si="743">G369*E369</f>
        <v>0</v>
      </c>
      <c r="I369" s="241">
        <f t="shared" ref="I369" si="744">+G369/D369</f>
        <v>0</v>
      </c>
      <c r="J369" s="419"/>
      <c r="K369" s="242">
        <f t="shared" ref="K369" si="745">J369*E369</f>
        <v>0</v>
      </c>
      <c r="L369" s="243">
        <f t="shared" ref="L369" si="746">+J369/D369</f>
        <v>0</v>
      </c>
      <c r="M369" s="240">
        <f t="shared" si="687"/>
        <v>0</v>
      </c>
      <c r="N369" s="240">
        <f t="shared" ref="N369" si="747">M369*E369</f>
        <v>0</v>
      </c>
      <c r="O369" s="244">
        <f t="shared" ref="O369" si="748">+M369/D369</f>
        <v>0</v>
      </c>
      <c r="P369" s="211">
        <f t="shared" ref="P369" si="749">+D369-M369</f>
        <v>7.8</v>
      </c>
      <c r="Q369" s="212">
        <f t="shared" ref="Q369" si="750">P369*E369</f>
        <v>255.52799999999999</v>
      </c>
      <c r="R369" s="213">
        <f t="shared" ref="R369" si="751">+P369/D369</f>
        <v>1</v>
      </c>
      <c r="S369" s="204">
        <f t="shared" si="723"/>
        <v>255.52799999999999</v>
      </c>
      <c r="T369" s="204">
        <f t="shared" si="724"/>
        <v>2.0000000000095497E-3</v>
      </c>
    </row>
    <row r="370" spans="1:28" s="2" customFormat="1" x14ac:dyDescent="0.3">
      <c r="A370" s="304" t="s">
        <v>622</v>
      </c>
      <c r="B370" s="305" t="s">
        <v>1032</v>
      </c>
      <c r="C370" s="320" t="s">
        <v>160</v>
      </c>
      <c r="D370" s="321"/>
      <c r="E370" s="353"/>
      <c r="F370" s="354">
        <f>+F371</f>
        <v>51.02</v>
      </c>
      <c r="G370" s="308"/>
      <c r="H370" s="309" t="s">
        <v>110</v>
      </c>
      <c r="I370" s="323" t="s">
        <v>110</v>
      </c>
      <c r="J370" s="419"/>
      <c r="K370" s="309" t="s">
        <v>110</v>
      </c>
      <c r="L370" s="324" t="s">
        <v>110</v>
      </c>
      <c r="M370" s="309"/>
      <c r="N370" s="309" t="s">
        <v>110</v>
      </c>
      <c r="O370" s="324" t="s">
        <v>110</v>
      </c>
      <c r="P370" s="326" t="s">
        <v>110</v>
      </c>
      <c r="Q370" s="309" t="s">
        <v>110</v>
      </c>
      <c r="R370" s="324" t="s">
        <v>110</v>
      </c>
      <c r="S370" s="204" t="e">
        <f t="shared" si="723"/>
        <v>#VALUE!</v>
      </c>
      <c r="T370" s="204" t="e">
        <f t="shared" si="724"/>
        <v>#VALUE!</v>
      </c>
    </row>
    <row r="371" spans="1:28" s="2" customFormat="1" x14ac:dyDescent="0.3">
      <c r="A371" s="298" t="s">
        <v>623</v>
      </c>
      <c r="B371" s="300" t="s">
        <v>1033</v>
      </c>
      <c r="C371" s="302" t="s">
        <v>89</v>
      </c>
      <c r="D371" s="303">
        <v>1</v>
      </c>
      <c r="E371" s="356">
        <v>51.02</v>
      </c>
      <c r="F371" s="356">
        <f>+ROUND((D371*E371),2)</f>
        <v>51.02</v>
      </c>
      <c r="G371" s="278">
        <v>0</v>
      </c>
      <c r="H371" s="240">
        <f t="shared" ref="H371" si="752">G371*E371</f>
        <v>0</v>
      </c>
      <c r="I371" s="241">
        <f t="shared" ref="I371" si="753">+G371/D371</f>
        <v>0</v>
      </c>
      <c r="J371" s="419"/>
      <c r="K371" s="242">
        <f t="shared" ref="K371" si="754">J371*E371</f>
        <v>0</v>
      </c>
      <c r="L371" s="243">
        <f t="shared" ref="L371" si="755">+J371/D371</f>
        <v>0</v>
      </c>
      <c r="M371" s="240">
        <f t="shared" si="687"/>
        <v>0</v>
      </c>
      <c r="N371" s="240">
        <f t="shared" ref="N371" si="756">M371*E371</f>
        <v>0</v>
      </c>
      <c r="O371" s="244">
        <f t="shared" ref="O371" si="757">+M371/D371</f>
        <v>0</v>
      </c>
      <c r="P371" s="211">
        <f t="shared" ref="P371" si="758">+D371-M371</f>
        <v>1</v>
      </c>
      <c r="Q371" s="212">
        <f t="shared" ref="Q371" si="759">P371*E371</f>
        <v>51.02</v>
      </c>
      <c r="R371" s="213">
        <f t="shared" ref="R371" si="760">+P371/D371</f>
        <v>1</v>
      </c>
      <c r="S371" s="204">
        <f t="shared" si="723"/>
        <v>51.02</v>
      </c>
      <c r="T371" s="204">
        <f t="shared" si="724"/>
        <v>0</v>
      </c>
    </row>
    <row r="372" spans="1:28" s="2" customFormat="1" x14ac:dyDescent="0.3">
      <c r="A372" s="304" t="s">
        <v>624</v>
      </c>
      <c r="B372" s="305" t="s">
        <v>922</v>
      </c>
      <c r="C372" s="320" t="s">
        <v>160</v>
      </c>
      <c r="D372" s="321"/>
      <c r="E372" s="349"/>
      <c r="F372" s="350">
        <f>+F373+F377+F382+F384</f>
        <v>4731.5</v>
      </c>
      <c r="G372" s="308"/>
      <c r="H372" s="309" t="s">
        <v>110</v>
      </c>
      <c r="I372" s="323" t="s">
        <v>110</v>
      </c>
      <c r="J372" s="419"/>
      <c r="K372" s="309" t="s">
        <v>110</v>
      </c>
      <c r="L372" s="324" t="s">
        <v>110</v>
      </c>
      <c r="M372" s="309"/>
      <c r="N372" s="309" t="s">
        <v>110</v>
      </c>
      <c r="O372" s="324" t="s">
        <v>110</v>
      </c>
      <c r="P372" s="326" t="s">
        <v>110</v>
      </c>
      <c r="Q372" s="309" t="s">
        <v>110</v>
      </c>
      <c r="R372" s="324" t="s">
        <v>110</v>
      </c>
      <c r="S372" s="204" t="s">
        <v>110</v>
      </c>
      <c r="T372" s="204" t="s">
        <v>110</v>
      </c>
    </row>
    <row r="373" spans="1:28" s="2" customFormat="1" x14ac:dyDescent="0.3">
      <c r="A373" s="304" t="s">
        <v>625</v>
      </c>
      <c r="B373" s="305" t="s">
        <v>1034</v>
      </c>
      <c r="C373" s="320" t="s">
        <v>160</v>
      </c>
      <c r="D373" s="321"/>
      <c r="E373" s="353"/>
      <c r="F373" s="354">
        <f>SUM(F374:F376)</f>
        <v>145.12000000000003</v>
      </c>
      <c r="G373" s="308"/>
      <c r="H373" s="309" t="s">
        <v>110</v>
      </c>
      <c r="I373" s="323" t="s">
        <v>110</v>
      </c>
      <c r="J373" s="419"/>
      <c r="K373" s="309" t="s">
        <v>110</v>
      </c>
      <c r="L373" s="324" t="s">
        <v>110</v>
      </c>
      <c r="M373" s="309"/>
      <c r="N373" s="309" t="s">
        <v>110</v>
      </c>
      <c r="O373" s="324" t="s">
        <v>110</v>
      </c>
      <c r="P373" s="326" t="s">
        <v>110</v>
      </c>
      <c r="Q373" s="309" t="s">
        <v>110</v>
      </c>
      <c r="R373" s="324" t="s">
        <v>110</v>
      </c>
      <c r="S373" s="204" t="s">
        <v>110</v>
      </c>
      <c r="T373" s="204" t="s">
        <v>110</v>
      </c>
      <c r="U373" s="2" t="s">
        <v>110</v>
      </c>
      <c r="V373" s="2" t="s">
        <v>110</v>
      </c>
      <c r="W373" s="2" t="s">
        <v>110</v>
      </c>
      <c r="X373" s="2" t="s">
        <v>110</v>
      </c>
      <c r="Z373" s="2" t="s">
        <v>110</v>
      </c>
      <c r="AA373" s="2" t="s">
        <v>110</v>
      </c>
      <c r="AB373" s="2" t="s">
        <v>110</v>
      </c>
    </row>
    <row r="374" spans="1:28" s="2" customFormat="1" x14ac:dyDescent="0.3">
      <c r="A374" s="298" t="s">
        <v>626</v>
      </c>
      <c r="B374" s="300" t="s">
        <v>1035</v>
      </c>
      <c r="C374" s="302" t="s">
        <v>93</v>
      </c>
      <c r="D374" s="303">
        <v>0.25</v>
      </c>
      <c r="E374" s="356">
        <v>15.42</v>
      </c>
      <c r="F374" s="356">
        <f t="shared" ref="F374:F385" si="761">+ROUND((D374*E374),2)</f>
        <v>3.86</v>
      </c>
      <c r="G374" s="278">
        <v>0</v>
      </c>
      <c r="H374" s="240">
        <f t="shared" ref="H374:H376" si="762">G374*E374</f>
        <v>0</v>
      </c>
      <c r="I374" s="241">
        <f t="shared" ref="I374:I376" si="763">+G374/D374</f>
        <v>0</v>
      </c>
      <c r="J374" s="419"/>
      <c r="K374" s="242">
        <f t="shared" ref="K374:K376" si="764">J374*E374</f>
        <v>0</v>
      </c>
      <c r="L374" s="243">
        <f t="shared" ref="L374:L376" si="765">+J374/D374</f>
        <v>0</v>
      </c>
      <c r="M374" s="240">
        <f t="shared" si="687"/>
        <v>0</v>
      </c>
      <c r="N374" s="240">
        <f t="shared" ref="N374:N376" si="766">M374*E374</f>
        <v>0</v>
      </c>
      <c r="O374" s="244">
        <f t="shared" ref="O374:O376" si="767">+M374/D374</f>
        <v>0</v>
      </c>
      <c r="P374" s="211">
        <f t="shared" ref="P374:P376" si="768">+D374-M374</f>
        <v>0.25</v>
      </c>
      <c r="Q374" s="212">
        <f t="shared" ref="Q374:Q376" si="769">P374*E374</f>
        <v>3.855</v>
      </c>
      <c r="R374" s="213">
        <f t="shared" ref="R374:R376" si="770">+P374/D374</f>
        <v>1</v>
      </c>
      <c r="S374" s="204">
        <f t="shared" ref="S374:S376" si="771">N374+Q374</f>
        <v>3.855</v>
      </c>
      <c r="T374" s="204">
        <f t="shared" ref="T374:T376" si="772">F374-S374</f>
        <v>4.9999999999998934E-3</v>
      </c>
    </row>
    <row r="375" spans="1:28" s="2" customFormat="1" x14ac:dyDescent="0.3">
      <c r="A375" s="298" t="s">
        <v>627</v>
      </c>
      <c r="B375" s="300" t="s">
        <v>1036</v>
      </c>
      <c r="C375" s="302" t="s">
        <v>89</v>
      </c>
      <c r="D375" s="303">
        <v>1</v>
      </c>
      <c r="E375" s="356">
        <v>129.68</v>
      </c>
      <c r="F375" s="356">
        <f t="shared" si="761"/>
        <v>129.68</v>
      </c>
      <c r="G375" s="278">
        <v>0</v>
      </c>
      <c r="H375" s="240">
        <f t="shared" si="762"/>
        <v>0</v>
      </c>
      <c r="I375" s="241">
        <f t="shared" si="763"/>
        <v>0</v>
      </c>
      <c r="J375" s="419"/>
      <c r="K375" s="242">
        <f t="shared" si="764"/>
        <v>0</v>
      </c>
      <c r="L375" s="243">
        <f t="shared" si="765"/>
        <v>0</v>
      </c>
      <c r="M375" s="240">
        <f t="shared" si="687"/>
        <v>0</v>
      </c>
      <c r="N375" s="240">
        <f t="shared" si="766"/>
        <v>0</v>
      </c>
      <c r="O375" s="244">
        <f t="shared" si="767"/>
        <v>0</v>
      </c>
      <c r="P375" s="211">
        <f t="shared" si="768"/>
        <v>1</v>
      </c>
      <c r="Q375" s="212">
        <f t="shared" si="769"/>
        <v>129.68</v>
      </c>
      <c r="R375" s="213">
        <f t="shared" si="770"/>
        <v>1</v>
      </c>
      <c r="S375" s="204">
        <f t="shared" si="771"/>
        <v>129.68</v>
      </c>
      <c r="T375" s="204">
        <f t="shared" si="772"/>
        <v>0</v>
      </c>
    </row>
    <row r="376" spans="1:28" s="2" customFormat="1" x14ac:dyDescent="0.3">
      <c r="A376" s="298" t="s">
        <v>628</v>
      </c>
      <c r="B376" s="300" t="s">
        <v>1018</v>
      </c>
      <c r="C376" s="302" t="s">
        <v>93</v>
      </c>
      <c r="D376" s="303">
        <v>0.28000000000000003</v>
      </c>
      <c r="E376" s="356">
        <v>41.37</v>
      </c>
      <c r="F376" s="356">
        <f t="shared" si="761"/>
        <v>11.58</v>
      </c>
      <c r="G376" s="278">
        <v>0</v>
      </c>
      <c r="H376" s="240">
        <f t="shared" si="762"/>
        <v>0</v>
      </c>
      <c r="I376" s="241">
        <f t="shared" si="763"/>
        <v>0</v>
      </c>
      <c r="J376" s="419"/>
      <c r="K376" s="242">
        <f t="shared" si="764"/>
        <v>0</v>
      </c>
      <c r="L376" s="243">
        <f t="shared" si="765"/>
        <v>0</v>
      </c>
      <c r="M376" s="240">
        <f t="shared" si="687"/>
        <v>0</v>
      </c>
      <c r="N376" s="240">
        <f t="shared" si="766"/>
        <v>0</v>
      </c>
      <c r="O376" s="244">
        <f t="shared" si="767"/>
        <v>0</v>
      </c>
      <c r="P376" s="211">
        <f t="shared" si="768"/>
        <v>0.28000000000000003</v>
      </c>
      <c r="Q376" s="212">
        <f t="shared" si="769"/>
        <v>11.583600000000001</v>
      </c>
      <c r="R376" s="213">
        <f t="shared" si="770"/>
        <v>1</v>
      </c>
      <c r="S376" s="204">
        <f t="shared" si="771"/>
        <v>11.583600000000001</v>
      </c>
      <c r="T376" s="204">
        <f t="shared" si="772"/>
        <v>-3.6000000000004917E-3</v>
      </c>
    </row>
    <row r="377" spans="1:28" s="2" customFormat="1" x14ac:dyDescent="0.3">
      <c r="A377" s="304" t="s">
        <v>629</v>
      </c>
      <c r="B377" s="305" t="s">
        <v>1037</v>
      </c>
      <c r="C377" s="320" t="s">
        <v>160</v>
      </c>
      <c r="D377" s="321"/>
      <c r="E377" s="353"/>
      <c r="F377" s="354">
        <f>SUM(F378:F381)</f>
        <v>4220.67</v>
      </c>
      <c r="G377" s="308"/>
      <c r="H377" s="309" t="s">
        <v>110</v>
      </c>
      <c r="I377" s="323" t="s">
        <v>110</v>
      </c>
      <c r="J377" s="419"/>
      <c r="K377" s="309" t="s">
        <v>110</v>
      </c>
      <c r="L377" s="324" t="s">
        <v>110</v>
      </c>
      <c r="M377" s="309"/>
      <c r="N377" s="309" t="s">
        <v>110</v>
      </c>
      <c r="O377" s="324" t="s">
        <v>110</v>
      </c>
      <c r="P377" s="326" t="s">
        <v>110</v>
      </c>
      <c r="Q377" s="309" t="s">
        <v>110</v>
      </c>
      <c r="R377" s="324" t="s">
        <v>110</v>
      </c>
      <c r="S377" s="204"/>
      <c r="T377" s="204"/>
    </row>
    <row r="378" spans="1:28" s="2" customFormat="1" x14ac:dyDescent="0.3">
      <c r="A378" s="298" t="s">
        <v>630</v>
      </c>
      <c r="B378" s="300" t="s">
        <v>1038</v>
      </c>
      <c r="C378" s="302" t="s">
        <v>89</v>
      </c>
      <c r="D378" s="303">
        <v>2</v>
      </c>
      <c r="E378" s="356">
        <v>58.73</v>
      </c>
      <c r="F378" s="356">
        <f t="shared" si="761"/>
        <v>117.46</v>
      </c>
      <c r="G378" s="278">
        <v>0</v>
      </c>
      <c r="H378" s="240">
        <f t="shared" ref="H378:H381" si="773">G378*E378</f>
        <v>0</v>
      </c>
      <c r="I378" s="241">
        <f t="shared" ref="I378:I381" si="774">+G378/D378</f>
        <v>0</v>
      </c>
      <c r="J378" s="419"/>
      <c r="K378" s="242">
        <f t="shared" ref="K378:K381" si="775">J378*E378</f>
        <v>0</v>
      </c>
      <c r="L378" s="243">
        <f t="shared" ref="L378:L381" si="776">+J378/D378</f>
        <v>0</v>
      </c>
      <c r="M378" s="240">
        <f t="shared" si="687"/>
        <v>0</v>
      </c>
      <c r="N378" s="240">
        <f t="shared" ref="N378:N381" si="777">M378*E378</f>
        <v>0</v>
      </c>
      <c r="O378" s="244">
        <f t="shared" ref="O378:O381" si="778">+M378/D378</f>
        <v>0</v>
      </c>
      <c r="P378" s="211">
        <f t="shared" ref="P378:P381" si="779">+D378-M378</f>
        <v>2</v>
      </c>
      <c r="Q378" s="212">
        <f t="shared" ref="Q378:Q381" si="780">P378*E378</f>
        <v>117.46</v>
      </c>
      <c r="R378" s="213">
        <f t="shared" ref="R378:R381" si="781">+P378/D378</f>
        <v>1</v>
      </c>
      <c r="S378" s="204">
        <f t="shared" ref="S378:S381" si="782">N378+Q378</f>
        <v>117.46</v>
      </c>
      <c r="T378" s="204">
        <f t="shared" ref="T378:T381" si="783">F378-S378</f>
        <v>0</v>
      </c>
    </row>
    <row r="379" spans="1:28" s="2" customFormat="1" x14ac:dyDescent="0.3">
      <c r="A379" s="298" t="s">
        <v>631</v>
      </c>
      <c r="B379" s="300" t="s">
        <v>1039</v>
      </c>
      <c r="C379" s="302" t="s">
        <v>93</v>
      </c>
      <c r="D379" s="303">
        <v>2.0099999999999998</v>
      </c>
      <c r="E379" s="356">
        <v>92.68</v>
      </c>
      <c r="F379" s="356">
        <f t="shared" si="761"/>
        <v>186.29</v>
      </c>
      <c r="G379" s="278">
        <v>0</v>
      </c>
      <c r="H379" s="240">
        <f t="shared" si="773"/>
        <v>0</v>
      </c>
      <c r="I379" s="241">
        <f t="shared" si="774"/>
        <v>0</v>
      </c>
      <c r="J379" s="419"/>
      <c r="K379" s="242">
        <f t="shared" si="775"/>
        <v>0</v>
      </c>
      <c r="L379" s="243">
        <f t="shared" si="776"/>
        <v>0</v>
      </c>
      <c r="M379" s="240">
        <f t="shared" si="687"/>
        <v>0</v>
      </c>
      <c r="N379" s="240">
        <f t="shared" si="777"/>
        <v>0</v>
      </c>
      <c r="O379" s="244">
        <f t="shared" si="778"/>
        <v>0</v>
      </c>
      <c r="P379" s="211">
        <f t="shared" si="779"/>
        <v>2.0099999999999998</v>
      </c>
      <c r="Q379" s="212">
        <f t="shared" si="780"/>
        <v>186.2868</v>
      </c>
      <c r="R379" s="213">
        <f t="shared" si="781"/>
        <v>1</v>
      </c>
      <c r="S379" s="204">
        <f t="shared" si="782"/>
        <v>186.2868</v>
      </c>
      <c r="T379" s="204">
        <f t="shared" si="783"/>
        <v>3.1999999999925421E-3</v>
      </c>
    </row>
    <row r="380" spans="1:28" s="2" customFormat="1" x14ac:dyDescent="0.3">
      <c r="A380" s="298" t="s">
        <v>632</v>
      </c>
      <c r="B380" s="300" t="s">
        <v>1040</v>
      </c>
      <c r="C380" s="302" t="s">
        <v>89</v>
      </c>
      <c r="D380" s="303">
        <v>2</v>
      </c>
      <c r="E380" s="356">
        <v>105.36</v>
      </c>
      <c r="F380" s="356">
        <f t="shared" si="761"/>
        <v>210.72</v>
      </c>
      <c r="G380" s="278">
        <v>0</v>
      </c>
      <c r="H380" s="240">
        <f t="shared" si="773"/>
        <v>0</v>
      </c>
      <c r="I380" s="241">
        <f t="shared" si="774"/>
        <v>0</v>
      </c>
      <c r="J380" s="419"/>
      <c r="K380" s="242">
        <f t="shared" si="775"/>
        <v>0</v>
      </c>
      <c r="L380" s="243">
        <f t="shared" si="776"/>
        <v>0</v>
      </c>
      <c r="M380" s="240">
        <f t="shared" si="687"/>
        <v>0</v>
      </c>
      <c r="N380" s="240">
        <f t="shared" si="777"/>
        <v>0</v>
      </c>
      <c r="O380" s="244">
        <f t="shared" si="778"/>
        <v>0</v>
      </c>
      <c r="P380" s="211">
        <f t="shared" si="779"/>
        <v>2</v>
      </c>
      <c r="Q380" s="212">
        <f t="shared" si="780"/>
        <v>210.72</v>
      </c>
      <c r="R380" s="213">
        <f t="shared" si="781"/>
        <v>1</v>
      </c>
      <c r="S380" s="204">
        <f t="shared" si="782"/>
        <v>210.72</v>
      </c>
      <c r="T380" s="204">
        <f t="shared" si="783"/>
        <v>0</v>
      </c>
    </row>
    <row r="381" spans="1:28" s="2" customFormat="1" x14ac:dyDescent="0.3">
      <c r="A381" s="298" t="s">
        <v>633</v>
      </c>
      <c r="B381" s="300" t="s">
        <v>1041</v>
      </c>
      <c r="C381" s="302" t="s">
        <v>94</v>
      </c>
      <c r="D381" s="303">
        <v>50.24</v>
      </c>
      <c r="E381" s="356">
        <v>73.77</v>
      </c>
      <c r="F381" s="356">
        <f t="shared" si="761"/>
        <v>3706.2</v>
      </c>
      <c r="G381" s="278">
        <v>0</v>
      </c>
      <c r="H381" s="240">
        <f t="shared" si="773"/>
        <v>0</v>
      </c>
      <c r="I381" s="241">
        <f t="shared" si="774"/>
        <v>0</v>
      </c>
      <c r="J381" s="419"/>
      <c r="K381" s="242">
        <f t="shared" si="775"/>
        <v>0</v>
      </c>
      <c r="L381" s="243">
        <f t="shared" si="776"/>
        <v>0</v>
      </c>
      <c r="M381" s="240">
        <f t="shared" si="687"/>
        <v>0</v>
      </c>
      <c r="N381" s="240">
        <f t="shared" si="777"/>
        <v>0</v>
      </c>
      <c r="O381" s="244">
        <f t="shared" si="778"/>
        <v>0</v>
      </c>
      <c r="P381" s="211">
        <f t="shared" si="779"/>
        <v>50.24</v>
      </c>
      <c r="Q381" s="212">
        <f t="shared" si="780"/>
        <v>3706.2048</v>
      </c>
      <c r="R381" s="213">
        <f t="shared" si="781"/>
        <v>1</v>
      </c>
      <c r="S381" s="204">
        <f t="shared" si="782"/>
        <v>3706.2048</v>
      </c>
      <c r="T381" s="204">
        <f t="shared" si="783"/>
        <v>-4.8000000001593435E-3</v>
      </c>
    </row>
    <row r="382" spans="1:28" s="2" customFormat="1" x14ac:dyDescent="0.3">
      <c r="A382" s="304" t="s">
        <v>634</v>
      </c>
      <c r="B382" s="305" t="s">
        <v>1042</v>
      </c>
      <c r="C382" s="320" t="s">
        <v>160</v>
      </c>
      <c r="D382" s="321"/>
      <c r="E382" s="353"/>
      <c r="F382" s="354">
        <f>+F383</f>
        <v>65.489999999999995</v>
      </c>
      <c r="G382" s="308"/>
      <c r="H382" s="309" t="s">
        <v>110</v>
      </c>
      <c r="I382" s="323" t="s">
        <v>110</v>
      </c>
      <c r="J382" s="419"/>
      <c r="K382" s="309" t="s">
        <v>110</v>
      </c>
      <c r="L382" s="324" t="s">
        <v>110</v>
      </c>
      <c r="M382" s="309"/>
      <c r="N382" s="309" t="s">
        <v>110</v>
      </c>
      <c r="O382" s="324" t="s">
        <v>110</v>
      </c>
      <c r="P382" s="326" t="s">
        <v>110</v>
      </c>
      <c r="Q382" s="309" t="s">
        <v>110</v>
      </c>
      <c r="R382" s="324" t="s">
        <v>110</v>
      </c>
      <c r="S382" s="204"/>
      <c r="T382" s="204"/>
    </row>
    <row r="383" spans="1:28" s="2" customFormat="1" x14ac:dyDescent="0.3">
      <c r="A383" s="298" t="s">
        <v>635</v>
      </c>
      <c r="B383" s="300" t="s">
        <v>1043</v>
      </c>
      <c r="C383" s="302" t="s">
        <v>89</v>
      </c>
      <c r="D383" s="303">
        <v>1</v>
      </c>
      <c r="E383" s="356">
        <v>65.489999999999995</v>
      </c>
      <c r="F383" s="356">
        <f t="shared" si="761"/>
        <v>65.489999999999995</v>
      </c>
      <c r="G383" s="278">
        <v>0</v>
      </c>
      <c r="H383" s="240">
        <f t="shared" ref="H383" si="784">G383*E383</f>
        <v>0</v>
      </c>
      <c r="I383" s="241">
        <f t="shared" ref="I383" si="785">+G383/D383</f>
        <v>0</v>
      </c>
      <c r="J383" s="419"/>
      <c r="K383" s="242">
        <f t="shared" ref="K383" si="786">J383*E383</f>
        <v>0</v>
      </c>
      <c r="L383" s="243">
        <f t="shared" ref="L383" si="787">+J383/D383</f>
        <v>0</v>
      </c>
      <c r="M383" s="240">
        <f t="shared" si="687"/>
        <v>0</v>
      </c>
      <c r="N383" s="240">
        <f t="shared" ref="N383" si="788">M383*E383</f>
        <v>0</v>
      </c>
      <c r="O383" s="244">
        <f t="shared" ref="O383" si="789">+M383/D383</f>
        <v>0</v>
      </c>
      <c r="P383" s="211">
        <f t="shared" ref="P383" si="790">+D383-M383</f>
        <v>1</v>
      </c>
      <c r="Q383" s="212">
        <f t="shared" ref="Q383" si="791">P383*E383</f>
        <v>65.489999999999995</v>
      </c>
      <c r="R383" s="213">
        <f t="shared" ref="R383" si="792">+P383/D383</f>
        <v>1</v>
      </c>
      <c r="S383" s="204">
        <f t="shared" ref="S383" si="793">N383+Q383</f>
        <v>65.489999999999995</v>
      </c>
      <c r="T383" s="204">
        <f t="shared" ref="T383" si="794">F383-S383</f>
        <v>0</v>
      </c>
    </row>
    <row r="384" spans="1:28" s="2" customFormat="1" x14ac:dyDescent="0.3">
      <c r="A384" s="304" t="s">
        <v>636</v>
      </c>
      <c r="B384" s="305" t="s">
        <v>1044</v>
      </c>
      <c r="C384" s="320" t="s">
        <v>160</v>
      </c>
      <c r="D384" s="321"/>
      <c r="E384" s="353"/>
      <c r="F384" s="354">
        <f>+F385</f>
        <v>300.22000000000003</v>
      </c>
      <c r="G384" s="308"/>
      <c r="H384" s="309" t="s">
        <v>110</v>
      </c>
      <c r="I384" s="323" t="s">
        <v>110</v>
      </c>
      <c r="J384" s="419"/>
      <c r="K384" s="309" t="s">
        <v>110</v>
      </c>
      <c r="L384" s="324" t="s">
        <v>110</v>
      </c>
      <c r="M384" s="309"/>
      <c r="N384" s="309" t="s">
        <v>110</v>
      </c>
      <c r="O384" s="324" t="s">
        <v>110</v>
      </c>
      <c r="P384" s="326" t="s">
        <v>110</v>
      </c>
      <c r="Q384" s="309" t="s">
        <v>110</v>
      </c>
      <c r="R384" s="324" t="s">
        <v>110</v>
      </c>
      <c r="S384" s="204"/>
      <c r="T384" s="204"/>
    </row>
    <row r="385" spans="1:20" s="2" customFormat="1" x14ac:dyDescent="0.3">
      <c r="A385" s="298" t="s">
        <v>637</v>
      </c>
      <c r="B385" s="300" t="s">
        <v>1045</v>
      </c>
      <c r="C385" s="302" t="s">
        <v>89</v>
      </c>
      <c r="D385" s="303">
        <v>1</v>
      </c>
      <c r="E385" s="356">
        <v>300.22000000000003</v>
      </c>
      <c r="F385" s="356">
        <f t="shared" si="761"/>
        <v>300.22000000000003</v>
      </c>
      <c r="G385" s="278">
        <v>0</v>
      </c>
      <c r="H385" s="240">
        <f t="shared" ref="H385" si="795">G385*E385</f>
        <v>0</v>
      </c>
      <c r="I385" s="241">
        <f t="shared" ref="I385" si="796">+G385/D385</f>
        <v>0</v>
      </c>
      <c r="J385" s="419"/>
      <c r="K385" s="242">
        <f t="shared" ref="K385" si="797">J385*E385</f>
        <v>0</v>
      </c>
      <c r="L385" s="243">
        <f t="shared" ref="L385" si="798">+J385/D385</f>
        <v>0</v>
      </c>
      <c r="M385" s="240">
        <f t="shared" si="687"/>
        <v>0</v>
      </c>
      <c r="N385" s="240">
        <f t="shared" ref="N385" si="799">M385*E385</f>
        <v>0</v>
      </c>
      <c r="O385" s="244">
        <f t="shared" ref="O385" si="800">+M385/D385</f>
        <v>0</v>
      </c>
      <c r="P385" s="211">
        <f t="shared" ref="P385" si="801">+D385-M385</f>
        <v>1</v>
      </c>
      <c r="Q385" s="212">
        <f t="shared" ref="Q385" si="802">P385*E385</f>
        <v>300.22000000000003</v>
      </c>
      <c r="R385" s="213">
        <f t="shared" ref="R385" si="803">+P385/D385</f>
        <v>1</v>
      </c>
      <c r="S385" s="204">
        <f t="shared" ref="S385" si="804">N385+Q385</f>
        <v>300.22000000000003</v>
      </c>
      <c r="T385" s="204">
        <f t="shared" ref="T385" si="805">F385-S385</f>
        <v>0</v>
      </c>
    </row>
    <row r="386" spans="1:20" s="2" customFormat="1" x14ac:dyDescent="0.3">
      <c r="A386" s="304" t="s">
        <v>638</v>
      </c>
      <c r="B386" s="305" t="s">
        <v>1046</v>
      </c>
      <c r="C386" s="320" t="s">
        <v>160</v>
      </c>
      <c r="D386" s="321"/>
      <c r="E386" s="349"/>
      <c r="F386" s="350">
        <f>+F387</f>
        <v>40337.699999999997</v>
      </c>
      <c r="G386" s="308">
        <v>0</v>
      </c>
      <c r="H386" s="309"/>
      <c r="I386" s="323"/>
      <c r="J386" s="421"/>
      <c r="K386" s="309"/>
      <c r="L386" s="324"/>
      <c r="M386" s="309">
        <f t="shared" si="687"/>
        <v>0</v>
      </c>
      <c r="N386" s="309"/>
      <c r="O386" s="324"/>
      <c r="P386" s="326"/>
      <c r="Q386" s="309"/>
      <c r="R386" s="324"/>
      <c r="S386" s="204"/>
      <c r="T386" s="204"/>
    </row>
    <row r="387" spans="1:20" s="2" customFormat="1" x14ac:dyDescent="0.3">
      <c r="A387" s="304" t="s">
        <v>639</v>
      </c>
      <c r="B387" s="305" t="s">
        <v>1047</v>
      </c>
      <c r="C387" s="320" t="s">
        <v>160</v>
      </c>
      <c r="D387" s="321"/>
      <c r="E387" s="353"/>
      <c r="F387" s="354">
        <f>SUM(F388:F390)</f>
        <v>40337.699999999997</v>
      </c>
      <c r="G387" s="308"/>
      <c r="H387" s="309" t="s">
        <v>110</v>
      </c>
      <c r="I387" s="323" t="s">
        <v>110</v>
      </c>
      <c r="J387" s="419"/>
      <c r="K387" s="309" t="s">
        <v>110</v>
      </c>
      <c r="L387" s="324" t="s">
        <v>110</v>
      </c>
      <c r="M387" s="309"/>
      <c r="N387" s="309" t="s">
        <v>110</v>
      </c>
      <c r="O387" s="324" t="s">
        <v>110</v>
      </c>
      <c r="P387" s="326" t="s">
        <v>110</v>
      </c>
      <c r="Q387" s="309" t="s">
        <v>110</v>
      </c>
      <c r="R387" s="324" t="s">
        <v>110</v>
      </c>
      <c r="S387" s="204"/>
      <c r="T387" s="204"/>
    </row>
    <row r="388" spans="1:20" s="2" customFormat="1" x14ac:dyDescent="0.3">
      <c r="A388" s="298" t="s">
        <v>640</v>
      </c>
      <c r="B388" s="300" t="s">
        <v>1048</v>
      </c>
      <c r="C388" s="302" t="s">
        <v>92</v>
      </c>
      <c r="D388" s="303">
        <v>106.65</v>
      </c>
      <c r="E388" s="356">
        <v>14.77</v>
      </c>
      <c r="F388" s="356">
        <f>+ROUND((D388*E388),2)</f>
        <v>1575.22</v>
      </c>
      <c r="G388" s="278">
        <v>0</v>
      </c>
      <c r="H388" s="240">
        <f t="shared" ref="H388:H390" si="806">G388*E388</f>
        <v>0</v>
      </c>
      <c r="I388" s="241">
        <f t="shared" ref="I388:I390" si="807">+G388/D388</f>
        <v>0</v>
      </c>
      <c r="J388" s="419">
        <f>+D388</f>
        <v>106.65</v>
      </c>
      <c r="K388" s="242">
        <f t="shared" ref="K388:K390" si="808">J388*E388</f>
        <v>1575.2205000000001</v>
      </c>
      <c r="L388" s="243">
        <f t="shared" ref="L388:L390" si="809">+J388/D388</f>
        <v>1</v>
      </c>
      <c r="M388" s="240">
        <f t="shared" si="687"/>
        <v>106.65</v>
      </c>
      <c r="N388" s="240">
        <f t="shared" ref="N388:N390" si="810">M388*E388</f>
        <v>1575.2205000000001</v>
      </c>
      <c r="O388" s="244">
        <f t="shared" ref="O388:O390" si="811">+M388/D388</f>
        <v>1</v>
      </c>
      <c r="P388" s="211">
        <f t="shared" ref="P388:P390" si="812">+D388-M388</f>
        <v>0</v>
      </c>
      <c r="Q388" s="212">
        <f t="shared" ref="Q388:Q390" si="813">P388*E388</f>
        <v>0</v>
      </c>
      <c r="R388" s="213">
        <f t="shared" ref="R388:R390" si="814">+P388/D388</f>
        <v>0</v>
      </c>
      <c r="S388" s="204">
        <f t="shared" ref="S388:S390" si="815">N388+Q388</f>
        <v>1575.2205000000001</v>
      </c>
      <c r="T388" s="204">
        <f t="shared" ref="T388:T390" si="816">F388-S388</f>
        <v>-5.0000000010186341E-4</v>
      </c>
    </row>
    <row r="389" spans="1:20" s="2" customFormat="1" x14ac:dyDescent="0.3">
      <c r="A389" s="298" t="s">
        <v>641</v>
      </c>
      <c r="B389" s="300" t="s">
        <v>1049</v>
      </c>
      <c r="C389" s="302" t="s">
        <v>92</v>
      </c>
      <c r="D389" s="303">
        <v>32.22</v>
      </c>
      <c r="E389" s="356">
        <v>36.11</v>
      </c>
      <c r="F389" s="356">
        <f>+ROUND((D389*E389),2)</f>
        <v>1163.46</v>
      </c>
      <c r="G389" s="278">
        <v>0</v>
      </c>
      <c r="H389" s="240">
        <f t="shared" si="806"/>
        <v>0</v>
      </c>
      <c r="I389" s="241">
        <f t="shared" si="807"/>
        <v>0</v>
      </c>
      <c r="J389" s="419">
        <f>+D389</f>
        <v>32.22</v>
      </c>
      <c r="K389" s="242">
        <f t="shared" si="808"/>
        <v>1163.4641999999999</v>
      </c>
      <c r="L389" s="243">
        <f t="shared" si="809"/>
        <v>1</v>
      </c>
      <c r="M389" s="240">
        <f t="shared" si="687"/>
        <v>32.22</v>
      </c>
      <c r="N389" s="240">
        <f t="shared" si="810"/>
        <v>1163.4641999999999</v>
      </c>
      <c r="O389" s="244">
        <f t="shared" si="811"/>
        <v>1</v>
      </c>
      <c r="P389" s="211">
        <f t="shared" si="812"/>
        <v>0</v>
      </c>
      <c r="Q389" s="212">
        <f t="shared" si="813"/>
        <v>0</v>
      </c>
      <c r="R389" s="213">
        <f t="shared" si="814"/>
        <v>0</v>
      </c>
      <c r="S389" s="204">
        <f t="shared" si="815"/>
        <v>1163.4641999999999</v>
      </c>
      <c r="T389" s="204">
        <f t="shared" si="816"/>
        <v>-4.1999999998552084E-3</v>
      </c>
    </row>
    <row r="390" spans="1:20" s="2" customFormat="1" x14ac:dyDescent="0.3">
      <c r="A390" s="298" t="s">
        <v>642</v>
      </c>
      <c r="B390" s="300" t="s">
        <v>1050</v>
      </c>
      <c r="C390" s="302" t="s">
        <v>92</v>
      </c>
      <c r="D390" s="303">
        <v>1231.1400000000001</v>
      </c>
      <c r="E390" s="356">
        <v>30.54</v>
      </c>
      <c r="F390" s="356">
        <f>+ROUND((D390*E390),2)</f>
        <v>37599.019999999997</v>
      </c>
      <c r="G390" s="278">
        <v>0</v>
      </c>
      <c r="H390" s="240">
        <f t="shared" si="806"/>
        <v>0</v>
      </c>
      <c r="I390" s="241">
        <f t="shared" si="807"/>
        <v>0</v>
      </c>
      <c r="J390" s="419">
        <f>+D390</f>
        <v>1231.1400000000001</v>
      </c>
      <c r="K390" s="242">
        <f t="shared" si="808"/>
        <v>37599.015599999999</v>
      </c>
      <c r="L390" s="243">
        <f t="shared" si="809"/>
        <v>1</v>
      </c>
      <c r="M390" s="240">
        <f t="shared" si="687"/>
        <v>1231.1400000000001</v>
      </c>
      <c r="N390" s="240">
        <f t="shared" si="810"/>
        <v>37599.015599999999</v>
      </c>
      <c r="O390" s="244">
        <f t="shared" si="811"/>
        <v>1</v>
      </c>
      <c r="P390" s="211">
        <f t="shared" si="812"/>
        <v>0</v>
      </c>
      <c r="Q390" s="212">
        <f t="shared" si="813"/>
        <v>0</v>
      </c>
      <c r="R390" s="213">
        <f t="shared" si="814"/>
        <v>0</v>
      </c>
      <c r="S390" s="204">
        <f t="shared" si="815"/>
        <v>37599.015599999999</v>
      </c>
      <c r="T390" s="204">
        <f t="shared" si="816"/>
        <v>4.3999999979860149E-3</v>
      </c>
    </row>
    <row r="391" spans="1:20" s="2" customFormat="1" x14ac:dyDescent="0.3">
      <c r="A391" s="304" t="s">
        <v>643</v>
      </c>
      <c r="B391" s="305" t="s">
        <v>1051</v>
      </c>
      <c r="C391" s="320" t="s">
        <v>160</v>
      </c>
      <c r="D391" s="321"/>
      <c r="E391" s="349"/>
      <c r="F391" s="350">
        <f>+F392</f>
        <v>93.05</v>
      </c>
      <c r="G391" s="308"/>
      <c r="H391" s="309" t="s">
        <v>110</v>
      </c>
      <c r="I391" s="323" t="s">
        <v>110</v>
      </c>
      <c r="J391" s="419"/>
      <c r="K391" s="309" t="s">
        <v>110</v>
      </c>
      <c r="L391" s="324" t="s">
        <v>110</v>
      </c>
      <c r="M391" s="309"/>
      <c r="N391" s="309" t="s">
        <v>110</v>
      </c>
      <c r="O391" s="324" t="s">
        <v>110</v>
      </c>
      <c r="P391" s="326" t="s">
        <v>110</v>
      </c>
      <c r="Q391" s="309" t="s">
        <v>110</v>
      </c>
      <c r="R391" s="324" t="s">
        <v>110</v>
      </c>
      <c r="S391" s="204"/>
      <c r="T391" s="204"/>
    </row>
    <row r="392" spans="1:20" s="2" customFormat="1" x14ac:dyDescent="0.3">
      <c r="A392" s="298" t="s">
        <v>644</v>
      </c>
      <c r="B392" s="300" t="s">
        <v>928</v>
      </c>
      <c r="C392" s="302" t="s">
        <v>92</v>
      </c>
      <c r="D392" s="303">
        <v>120.85</v>
      </c>
      <c r="E392" s="356">
        <v>0.77</v>
      </c>
      <c r="F392" s="356">
        <f>+ROUND((D392*E392),2)</f>
        <v>93.05</v>
      </c>
      <c r="G392" s="278">
        <v>0</v>
      </c>
      <c r="H392" s="240">
        <f t="shared" ref="H392" si="817">G392*E392</f>
        <v>0</v>
      </c>
      <c r="I392" s="241">
        <f t="shared" ref="I392" si="818">+G392/D392</f>
        <v>0</v>
      </c>
      <c r="J392" s="419"/>
      <c r="K392" s="242">
        <f t="shared" ref="K392" si="819">J392*E392</f>
        <v>0</v>
      </c>
      <c r="L392" s="243">
        <f t="shared" ref="L392" si="820">+J392/D392</f>
        <v>0</v>
      </c>
      <c r="M392" s="240">
        <f t="shared" si="687"/>
        <v>0</v>
      </c>
      <c r="N392" s="240">
        <f t="shared" ref="N392" si="821">M392*E392</f>
        <v>0</v>
      </c>
      <c r="O392" s="244">
        <f t="shared" ref="O392" si="822">+M392/D392</f>
        <v>0</v>
      </c>
      <c r="P392" s="211">
        <f t="shared" ref="P392" si="823">+D392-M392</f>
        <v>120.85</v>
      </c>
      <c r="Q392" s="212">
        <f t="shared" ref="Q392" si="824">P392*E392</f>
        <v>93.054500000000004</v>
      </c>
      <c r="R392" s="213">
        <f t="shared" ref="R392" si="825">+P392/D392</f>
        <v>1</v>
      </c>
      <c r="S392" s="204">
        <f t="shared" ref="S392" si="826">N392+Q392</f>
        <v>93.054500000000004</v>
      </c>
      <c r="T392" s="204">
        <f t="shared" ref="T392" si="827">F392-S392</f>
        <v>-4.500000000007276E-3</v>
      </c>
    </row>
    <row r="393" spans="1:20" s="2" customFormat="1" x14ac:dyDescent="0.3">
      <c r="A393" s="317" t="s">
        <v>286</v>
      </c>
      <c r="B393" s="316" t="s">
        <v>280</v>
      </c>
      <c r="C393" s="318" t="s">
        <v>160</v>
      </c>
      <c r="D393" s="319"/>
      <c r="E393" s="343"/>
      <c r="F393" s="344">
        <f>+F394+F448</f>
        <v>29037.319999999996</v>
      </c>
      <c r="G393" s="308"/>
      <c r="H393" s="309" t="s">
        <v>110</v>
      </c>
      <c r="I393" s="323" t="s">
        <v>110</v>
      </c>
      <c r="J393" s="419"/>
      <c r="K393" s="309" t="s">
        <v>110</v>
      </c>
      <c r="L393" s="324" t="s">
        <v>110</v>
      </c>
      <c r="M393" s="309"/>
      <c r="N393" s="309" t="s">
        <v>110</v>
      </c>
      <c r="O393" s="324" t="s">
        <v>110</v>
      </c>
      <c r="P393" s="326" t="s">
        <v>110</v>
      </c>
      <c r="Q393" s="309" t="s">
        <v>110</v>
      </c>
      <c r="R393" s="324" t="s">
        <v>110</v>
      </c>
      <c r="S393" s="204"/>
      <c r="T393" s="204"/>
    </row>
    <row r="394" spans="1:20" s="2" customFormat="1" x14ac:dyDescent="0.3">
      <c r="A394" s="304" t="s">
        <v>287</v>
      </c>
      <c r="B394" s="312" t="s">
        <v>766</v>
      </c>
      <c r="C394" s="320" t="s">
        <v>160</v>
      </c>
      <c r="D394" s="321"/>
      <c r="E394" s="345"/>
      <c r="F394" s="346">
        <f>+F395+F417+F435+F444</f>
        <v>25923.089999999997</v>
      </c>
      <c r="G394" s="308"/>
      <c r="H394" s="309" t="s">
        <v>110</v>
      </c>
      <c r="I394" s="323" t="s">
        <v>110</v>
      </c>
      <c r="J394" s="419"/>
      <c r="K394" s="309" t="s">
        <v>110</v>
      </c>
      <c r="L394" s="324" t="s">
        <v>110</v>
      </c>
      <c r="M394" s="309"/>
      <c r="N394" s="309" t="s">
        <v>110</v>
      </c>
      <c r="O394" s="324" t="s">
        <v>110</v>
      </c>
      <c r="P394" s="326" t="s">
        <v>110</v>
      </c>
      <c r="Q394" s="309" t="s">
        <v>110</v>
      </c>
      <c r="R394" s="324" t="s">
        <v>110</v>
      </c>
      <c r="S394" s="204"/>
      <c r="T394" s="204"/>
    </row>
    <row r="395" spans="1:20" s="2" customFormat="1" x14ac:dyDescent="0.3">
      <c r="A395" s="304" t="s">
        <v>226</v>
      </c>
      <c r="B395" s="305" t="s">
        <v>1052</v>
      </c>
      <c r="C395" s="306" t="s">
        <v>160</v>
      </c>
      <c r="D395" s="307"/>
      <c r="E395" s="347"/>
      <c r="F395" s="348">
        <f>+F396+F400+F405+F407+F415</f>
        <v>12006.130000000001</v>
      </c>
      <c r="G395" s="308"/>
      <c r="H395" s="309" t="s">
        <v>110</v>
      </c>
      <c r="I395" s="323" t="s">
        <v>110</v>
      </c>
      <c r="J395" s="419"/>
      <c r="K395" s="309" t="s">
        <v>110</v>
      </c>
      <c r="L395" s="324" t="s">
        <v>110</v>
      </c>
      <c r="M395" s="309"/>
      <c r="N395" s="309" t="s">
        <v>110</v>
      </c>
      <c r="O395" s="324" t="s">
        <v>110</v>
      </c>
      <c r="P395" s="326" t="s">
        <v>110</v>
      </c>
      <c r="Q395" s="309" t="s">
        <v>110</v>
      </c>
      <c r="R395" s="324" t="s">
        <v>110</v>
      </c>
      <c r="S395" s="204"/>
      <c r="T395" s="204"/>
    </row>
    <row r="396" spans="1:20" s="2" customFormat="1" x14ac:dyDescent="0.3">
      <c r="A396" s="304" t="s">
        <v>227</v>
      </c>
      <c r="B396" s="305" t="s">
        <v>1053</v>
      </c>
      <c r="C396" s="306" t="s">
        <v>160</v>
      </c>
      <c r="D396" s="307"/>
      <c r="E396" s="349"/>
      <c r="F396" s="350">
        <f>SUM(F397:F399)</f>
        <v>2490.67</v>
      </c>
      <c r="G396" s="308"/>
      <c r="H396" s="309" t="s">
        <v>110</v>
      </c>
      <c r="I396" s="323" t="s">
        <v>110</v>
      </c>
      <c r="J396" s="419"/>
      <c r="K396" s="309" t="s">
        <v>110</v>
      </c>
      <c r="L396" s="324" t="s">
        <v>110</v>
      </c>
      <c r="M396" s="309"/>
      <c r="N396" s="309" t="s">
        <v>110</v>
      </c>
      <c r="O396" s="324" t="s">
        <v>110</v>
      </c>
      <c r="P396" s="326" t="s">
        <v>110</v>
      </c>
      <c r="Q396" s="309" t="s">
        <v>110</v>
      </c>
      <c r="R396" s="324" t="s">
        <v>110</v>
      </c>
      <c r="S396" s="204"/>
      <c r="T396" s="204"/>
    </row>
    <row r="397" spans="1:20" s="2" customFormat="1" x14ac:dyDescent="0.3">
      <c r="A397" s="298" t="s">
        <v>645</v>
      </c>
      <c r="B397" s="300" t="s">
        <v>1054</v>
      </c>
      <c r="C397" s="302" t="s">
        <v>275</v>
      </c>
      <c r="D397" s="303">
        <v>4</v>
      </c>
      <c r="E397" s="356">
        <v>214.68</v>
      </c>
      <c r="F397" s="356">
        <f>+ROUND((D397*E397),2)</f>
        <v>858.72</v>
      </c>
      <c r="G397" s="278">
        <v>0</v>
      </c>
      <c r="H397" s="240">
        <f t="shared" ref="H397:H399" si="828">G397*E397</f>
        <v>0</v>
      </c>
      <c r="I397" s="241">
        <f t="shared" ref="I397:I399" si="829">+G397/D397</f>
        <v>0</v>
      </c>
      <c r="J397" s="419">
        <f>+D397</f>
        <v>4</v>
      </c>
      <c r="K397" s="242">
        <f t="shared" ref="K397:K399" si="830">J397*E397</f>
        <v>858.72</v>
      </c>
      <c r="L397" s="243">
        <f t="shared" ref="L397:L399" si="831">+J397/D397</f>
        <v>1</v>
      </c>
      <c r="M397" s="240">
        <f t="shared" si="687"/>
        <v>4</v>
      </c>
      <c r="N397" s="240">
        <f t="shared" ref="N397:N399" si="832">M397*E397</f>
        <v>858.72</v>
      </c>
      <c r="O397" s="244">
        <f t="shared" ref="O397:O399" si="833">+M397/D397</f>
        <v>1</v>
      </c>
      <c r="P397" s="211">
        <f t="shared" ref="P397:P399" si="834">+D397-M397</f>
        <v>0</v>
      </c>
      <c r="Q397" s="212">
        <f t="shared" ref="Q397:Q399" si="835">P397*E397</f>
        <v>0</v>
      </c>
      <c r="R397" s="213">
        <f t="shared" ref="R397:R399" si="836">+P397/D397</f>
        <v>0</v>
      </c>
      <c r="S397" s="204">
        <f t="shared" ref="S397:S399" si="837">N397+Q397</f>
        <v>858.72</v>
      </c>
      <c r="T397" s="204">
        <f t="shared" ref="T397:T399" si="838">F397-S397</f>
        <v>0</v>
      </c>
    </row>
    <row r="398" spans="1:20" s="2" customFormat="1" x14ac:dyDescent="0.3">
      <c r="A398" s="298" t="s">
        <v>646</v>
      </c>
      <c r="B398" s="300" t="s">
        <v>1055</v>
      </c>
      <c r="C398" s="302" t="s">
        <v>275</v>
      </c>
      <c r="D398" s="303">
        <v>4</v>
      </c>
      <c r="E398" s="356">
        <v>208</v>
      </c>
      <c r="F398" s="356">
        <f>+ROUND((D398*E398),2)</f>
        <v>832</v>
      </c>
      <c r="G398" s="278">
        <v>0</v>
      </c>
      <c r="H398" s="240">
        <f t="shared" si="828"/>
        <v>0</v>
      </c>
      <c r="I398" s="241">
        <f t="shared" si="829"/>
        <v>0</v>
      </c>
      <c r="J398" s="419">
        <f t="shared" ref="J398:J399" si="839">+D398</f>
        <v>4</v>
      </c>
      <c r="K398" s="242">
        <f t="shared" si="830"/>
        <v>832</v>
      </c>
      <c r="L398" s="243">
        <f t="shared" si="831"/>
        <v>1</v>
      </c>
      <c r="M398" s="240">
        <f t="shared" si="687"/>
        <v>4</v>
      </c>
      <c r="N398" s="240">
        <f t="shared" si="832"/>
        <v>832</v>
      </c>
      <c r="O398" s="244">
        <f t="shared" si="833"/>
        <v>1</v>
      </c>
      <c r="P398" s="211">
        <f t="shared" si="834"/>
        <v>0</v>
      </c>
      <c r="Q398" s="212">
        <f t="shared" si="835"/>
        <v>0</v>
      </c>
      <c r="R398" s="213">
        <f t="shared" si="836"/>
        <v>0</v>
      </c>
      <c r="S398" s="204">
        <f t="shared" si="837"/>
        <v>832</v>
      </c>
      <c r="T398" s="204">
        <f t="shared" si="838"/>
        <v>0</v>
      </c>
    </row>
    <row r="399" spans="1:20" s="2" customFormat="1" x14ac:dyDescent="0.3">
      <c r="A399" s="298" t="s">
        <v>647</v>
      </c>
      <c r="B399" s="300" t="s">
        <v>1056</v>
      </c>
      <c r="C399" s="302" t="s">
        <v>275</v>
      </c>
      <c r="D399" s="303">
        <v>5</v>
      </c>
      <c r="E399" s="356">
        <v>159.99</v>
      </c>
      <c r="F399" s="356">
        <f>+ROUND((D399*E399),2)</f>
        <v>799.95</v>
      </c>
      <c r="G399" s="278">
        <v>0</v>
      </c>
      <c r="H399" s="240">
        <f t="shared" si="828"/>
        <v>0</v>
      </c>
      <c r="I399" s="241">
        <f t="shared" si="829"/>
        <v>0</v>
      </c>
      <c r="J399" s="419">
        <f t="shared" si="839"/>
        <v>5</v>
      </c>
      <c r="K399" s="242">
        <f t="shared" si="830"/>
        <v>799.95</v>
      </c>
      <c r="L399" s="243">
        <f t="shared" si="831"/>
        <v>1</v>
      </c>
      <c r="M399" s="240">
        <f t="shared" si="687"/>
        <v>5</v>
      </c>
      <c r="N399" s="240">
        <f t="shared" si="832"/>
        <v>799.95</v>
      </c>
      <c r="O399" s="244">
        <f t="shared" si="833"/>
        <v>1</v>
      </c>
      <c r="P399" s="211">
        <f t="shared" si="834"/>
        <v>0</v>
      </c>
      <c r="Q399" s="212">
        <f t="shared" si="835"/>
        <v>0</v>
      </c>
      <c r="R399" s="213">
        <f t="shared" si="836"/>
        <v>0</v>
      </c>
      <c r="S399" s="204">
        <f t="shared" si="837"/>
        <v>799.95</v>
      </c>
      <c r="T399" s="204">
        <f t="shared" si="838"/>
        <v>0</v>
      </c>
    </row>
    <row r="400" spans="1:20" s="2" customFormat="1" x14ac:dyDescent="0.3">
      <c r="A400" s="304" t="s">
        <v>228</v>
      </c>
      <c r="B400" s="305" t="s">
        <v>1057</v>
      </c>
      <c r="C400" s="320" t="s">
        <v>160</v>
      </c>
      <c r="D400" s="321"/>
      <c r="E400" s="349"/>
      <c r="F400" s="350">
        <f>SUM(F401:F404)</f>
        <v>6453.29</v>
      </c>
      <c r="G400" s="308"/>
      <c r="H400" s="309" t="s">
        <v>110</v>
      </c>
      <c r="I400" s="323" t="s">
        <v>110</v>
      </c>
      <c r="J400" s="419"/>
      <c r="K400" s="309" t="s">
        <v>110</v>
      </c>
      <c r="L400" s="324" t="s">
        <v>110</v>
      </c>
      <c r="M400" s="309"/>
      <c r="N400" s="309" t="s">
        <v>110</v>
      </c>
      <c r="O400" s="324" t="s">
        <v>110</v>
      </c>
      <c r="P400" s="326" t="s">
        <v>110</v>
      </c>
      <c r="Q400" s="309" t="s">
        <v>110</v>
      </c>
      <c r="R400" s="324" t="s">
        <v>110</v>
      </c>
      <c r="S400" s="204" t="e">
        <f t="shared" ref="S400:S404" si="840">N400+Q400</f>
        <v>#VALUE!</v>
      </c>
      <c r="T400" s="204" t="e">
        <f t="shared" ref="T400:T404" si="841">F400-S400</f>
        <v>#VALUE!</v>
      </c>
    </row>
    <row r="401" spans="1:20" s="2" customFormat="1" x14ac:dyDescent="0.3">
      <c r="A401" s="298" t="s">
        <v>648</v>
      </c>
      <c r="B401" s="300" t="s">
        <v>1058</v>
      </c>
      <c r="C401" s="302" t="s">
        <v>94</v>
      </c>
      <c r="D401" s="303">
        <v>5.03</v>
      </c>
      <c r="E401" s="356">
        <v>35.130000000000003</v>
      </c>
      <c r="F401" s="356">
        <f>+ROUND((D401*E401),2)</f>
        <v>176.7</v>
      </c>
      <c r="G401" s="278">
        <v>0</v>
      </c>
      <c r="H401" s="240">
        <f t="shared" ref="H401:H404" si="842">G401*E401</f>
        <v>0</v>
      </c>
      <c r="I401" s="241">
        <f t="shared" ref="I401:I404" si="843">+G401/D401</f>
        <v>0</v>
      </c>
      <c r="J401" s="419">
        <f>+D401</f>
        <v>5.03</v>
      </c>
      <c r="K401" s="242">
        <f t="shared" ref="K401:K404" si="844">J401*E401</f>
        <v>176.70390000000003</v>
      </c>
      <c r="L401" s="243">
        <f t="shared" ref="L401:L404" si="845">+J401/D401</f>
        <v>1</v>
      </c>
      <c r="M401" s="240">
        <f t="shared" si="687"/>
        <v>5.03</v>
      </c>
      <c r="N401" s="240">
        <f t="shared" ref="N401:N404" si="846">M401*E401</f>
        <v>176.70390000000003</v>
      </c>
      <c r="O401" s="244">
        <f t="shared" ref="O401:O404" si="847">+M401/D401</f>
        <v>1</v>
      </c>
      <c r="P401" s="211">
        <f t="shared" ref="P401:P404" si="848">+D401-M401</f>
        <v>0</v>
      </c>
      <c r="Q401" s="212">
        <f t="shared" ref="Q401:Q404" si="849">P401*E401</f>
        <v>0</v>
      </c>
      <c r="R401" s="213">
        <f t="shared" ref="R401:R404" si="850">+P401/D401</f>
        <v>0</v>
      </c>
      <c r="S401" s="204">
        <f t="shared" si="840"/>
        <v>176.70390000000003</v>
      </c>
      <c r="T401" s="204">
        <f t="shared" si="841"/>
        <v>-3.9000000000442014E-3</v>
      </c>
    </row>
    <row r="402" spans="1:20" s="2" customFormat="1" x14ac:dyDescent="0.3">
      <c r="A402" s="298" t="s">
        <v>649</v>
      </c>
      <c r="B402" s="300" t="s">
        <v>1059</v>
      </c>
      <c r="C402" s="302" t="s">
        <v>94</v>
      </c>
      <c r="D402" s="303">
        <v>14.52</v>
      </c>
      <c r="E402" s="356">
        <v>76.23</v>
      </c>
      <c r="F402" s="356">
        <f>+ROUND((D402*E402),2)</f>
        <v>1106.8599999999999</v>
      </c>
      <c r="G402" s="278">
        <v>0</v>
      </c>
      <c r="H402" s="240">
        <f t="shared" si="842"/>
        <v>0</v>
      </c>
      <c r="I402" s="241">
        <f t="shared" si="843"/>
        <v>0</v>
      </c>
      <c r="J402" s="419">
        <f t="shared" ref="J402:J403" si="851">+D402</f>
        <v>14.52</v>
      </c>
      <c r="K402" s="242">
        <f t="shared" si="844"/>
        <v>1106.8596</v>
      </c>
      <c r="L402" s="243">
        <f t="shared" si="845"/>
        <v>1</v>
      </c>
      <c r="M402" s="240">
        <f t="shared" si="687"/>
        <v>14.52</v>
      </c>
      <c r="N402" s="240">
        <f t="shared" si="846"/>
        <v>1106.8596</v>
      </c>
      <c r="O402" s="244">
        <f t="shared" si="847"/>
        <v>1</v>
      </c>
      <c r="P402" s="211">
        <f t="shared" si="848"/>
        <v>0</v>
      </c>
      <c r="Q402" s="212">
        <f t="shared" si="849"/>
        <v>0</v>
      </c>
      <c r="R402" s="213">
        <f t="shared" si="850"/>
        <v>0</v>
      </c>
      <c r="S402" s="204">
        <f t="shared" si="840"/>
        <v>1106.8596</v>
      </c>
      <c r="T402" s="204">
        <f t="shared" si="841"/>
        <v>3.9999999989959178E-4</v>
      </c>
    </row>
    <row r="403" spans="1:20" s="2" customFormat="1" x14ac:dyDescent="0.3">
      <c r="A403" s="298" t="s">
        <v>650</v>
      </c>
      <c r="B403" s="300" t="s">
        <v>1060</v>
      </c>
      <c r="C403" s="302" t="s">
        <v>94</v>
      </c>
      <c r="D403" s="303">
        <v>41.02</v>
      </c>
      <c r="E403" s="356">
        <v>76.23</v>
      </c>
      <c r="F403" s="356">
        <f>+ROUND((D403*E403),2)</f>
        <v>3126.95</v>
      </c>
      <c r="G403" s="278">
        <v>0</v>
      </c>
      <c r="H403" s="240">
        <f t="shared" si="842"/>
        <v>0</v>
      </c>
      <c r="I403" s="241">
        <f t="shared" si="843"/>
        <v>0</v>
      </c>
      <c r="J403" s="419">
        <f t="shared" si="851"/>
        <v>41.02</v>
      </c>
      <c r="K403" s="242">
        <f t="shared" si="844"/>
        <v>3126.9546000000005</v>
      </c>
      <c r="L403" s="243">
        <f t="shared" si="845"/>
        <v>1</v>
      </c>
      <c r="M403" s="240">
        <f t="shared" ref="M403:M466" si="852">+G403+J403</f>
        <v>41.02</v>
      </c>
      <c r="N403" s="240">
        <f t="shared" si="846"/>
        <v>3126.9546000000005</v>
      </c>
      <c r="O403" s="244">
        <f t="shared" si="847"/>
        <v>1</v>
      </c>
      <c r="P403" s="211">
        <f t="shared" si="848"/>
        <v>0</v>
      </c>
      <c r="Q403" s="212">
        <f t="shared" si="849"/>
        <v>0</v>
      </c>
      <c r="R403" s="213">
        <f t="shared" si="850"/>
        <v>0</v>
      </c>
      <c r="S403" s="204">
        <f t="shared" si="840"/>
        <v>3126.9546000000005</v>
      </c>
      <c r="T403" s="204">
        <f t="shared" si="841"/>
        <v>-4.6000000006642949E-3</v>
      </c>
    </row>
    <row r="404" spans="1:20" s="2" customFormat="1" x14ac:dyDescent="0.3">
      <c r="A404" s="298" t="s">
        <v>651</v>
      </c>
      <c r="B404" s="300" t="s">
        <v>1061</v>
      </c>
      <c r="C404" s="302" t="s">
        <v>94</v>
      </c>
      <c r="D404" s="303">
        <v>82.47</v>
      </c>
      <c r="E404" s="358">
        <v>24.77</v>
      </c>
      <c r="F404" s="358">
        <f>+ROUND((D404*E404),2)</f>
        <v>2042.78</v>
      </c>
      <c r="G404" s="278">
        <v>0</v>
      </c>
      <c r="H404" s="240">
        <f t="shared" si="842"/>
        <v>0</v>
      </c>
      <c r="I404" s="241">
        <f t="shared" si="843"/>
        <v>0</v>
      </c>
      <c r="J404" s="419"/>
      <c r="K404" s="242">
        <f t="shared" si="844"/>
        <v>0</v>
      </c>
      <c r="L404" s="243">
        <f t="shared" si="845"/>
        <v>0</v>
      </c>
      <c r="M404" s="240">
        <f t="shared" si="852"/>
        <v>0</v>
      </c>
      <c r="N404" s="240">
        <f t="shared" si="846"/>
        <v>0</v>
      </c>
      <c r="O404" s="244">
        <f t="shared" si="847"/>
        <v>0</v>
      </c>
      <c r="P404" s="211">
        <f t="shared" si="848"/>
        <v>82.47</v>
      </c>
      <c r="Q404" s="212">
        <f t="shared" si="849"/>
        <v>2042.7819</v>
      </c>
      <c r="R404" s="213">
        <f t="shared" si="850"/>
        <v>1</v>
      </c>
      <c r="S404" s="204">
        <f t="shared" si="840"/>
        <v>2042.7819</v>
      </c>
      <c r="T404" s="204">
        <f t="shared" si="841"/>
        <v>-1.8999999999778083E-3</v>
      </c>
    </row>
    <row r="405" spans="1:20" s="2" customFormat="1" x14ac:dyDescent="0.3">
      <c r="A405" s="304" t="s">
        <v>652</v>
      </c>
      <c r="B405" s="305" t="s">
        <v>1062</v>
      </c>
      <c r="C405" s="320" t="s">
        <v>160</v>
      </c>
      <c r="D405" s="321"/>
      <c r="E405" s="349"/>
      <c r="F405" s="350">
        <f>+F406</f>
        <v>270.62</v>
      </c>
      <c r="G405" s="308"/>
      <c r="H405" s="309" t="s">
        <v>110</v>
      </c>
      <c r="I405" s="323" t="s">
        <v>110</v>
      </c>
      <c r="J405" s="419"/>
      <c r="K405" s="309" t="s">
        <v>110</v>
      </c>
      <c r="L405" s="324" t="s">
        <v>110</v>
      </c>
      <c r="M405" s="309"/>
      <c r="N405" s="309" t="s">
        <v>110</v>
      </c>
      <c r="O405" s="324" t="s">
        <v>110</v>
      </c>
      <c r="P405" s="326" t="s">
        <v>110</v>
      </c>
      <c r="Q405" s="309" t="s">
        <v>110</v>
      </c>
      <c r="R405" s="324" t="s">
        <v>110</v>
      </c>
      <c r="S405" s="204" t="e">
        <f t="shared" ref="S405:S406" si="853">N405+Q405</f>
        <v>#VALUE!</v>
      </c>
      <c r="T405" s="204" t="e">
        <f t="shared" ref="T405:T406" si="854">F405-S405</f>
        <v>#VALUE!</v>
      </c>
    </row>
    <row r="406" spans="1:20" s="2" customFormat="1" x14ac:dyDescent="0.3">
      <c r="A406" s="298" t="s">
        <v>653</v>
      </c>
      <c r="B406" s="300" t="s">
        <v>1063</v>
      </c>
      <c r="C406" s="302" t="s">
        <v>94</v>
      </c>
      <c r="D406" s="303">
        <v>3.55</v>
      </c>
      <c r="E406" s="356">
        <v>76.23</v>
      </c>
      <c r="F406" s="356">
        <f>+ROUND((D406*E406),2)</f>
        <v>270.62</v>
      </c>
      <c r="G406" s="278">
        <v>0</v>
      </c>
      <c r="H406" s="240">
        <f t="shared" ref="H406" si="855">G406*E406</f>
        <v>0</v>
      </c>
      <c r="I406" s="241">
        <f t="shared" ref="I406" si="856">+G406/D406</f>
        <v>0</v>
      </c>
      <c r="J406" s="419">
        <f>+D406</f>
        <v>3.55</v>
      </c>
      <c r="K406" s="242">
        <f t="shared" ref="K406" si="857">J406*E406</f>
        <v>270.61649999999997</v>
      </c>
      <c r="L406" s="243">
        <f t="shared" ref="L406" si="858">+J406/D406</f>
        <v>1</v>
      </c>
      <c r="M406" s="240">
        <f t="shared" si="852"/>
        <v>3.55</v>
      </c>
      <c r="N406" s="240">
        <f t="shared" ref="N406" si="859">M406*E406</f>
        <v>270.61649999999997</v>
      </c>
      <c r="O406" s="244">
        <f t="shared" ref="O406" si="860">+M406/D406</f>
        <v>1</v>
      </c>
      <c r="P406" s="211">
        <f t="shared" ref="P406" si="861">+D406-M406</f>
        <v>0</v>
      </c>
      <c r="Q406" s="212">
        <f t="shared" ref="Q406" si="862">P406*E406</f>
        <v>0</v>
      </c>
      <c r="R406" s="213">
        <f t="shared" ref="R406" si="863">+P406/D406</f>
        <v>0</v>
      </c>
      <c r="S406" s="204">
        <f t="shared" si="853"/>
        <v>270.61649999999997</v>
      </c>
      <c r="T406" s="204">
        <f t="shared" si="854"/>
        <v>3.5000000000309228E-3</v>
      </c>
    </row>
    <row r="407" spans="1:20" s="2" customFormat="1" x14ac:dyDescent="0.3">
      <c r="A407" s="304" t="s">
        <v>654</v>
      </c>
      <c r="B407" s="305" t="s">
        <v>1064</v>
      </c>
      <c r="C407" s="320" t="s">
        <v>160</v>
      </c>
      <c r="D407" s="321"/>
      <c r="E407" s="349"/>
      <c r="F407" s="350">
        <f>SUM(F408:F414)</f>
        <v>1118.6199999999999</v>
      </c>
      <c r="G407" s="308"/>
      <c r="H407" s="309" t="s">
        <v>110</v>
      </c>
      <c r="I407" s="323" t="s">
        <v>110</v>
      </c>
      <c r="J407" s="419"/>
      <c r="K407" s="309" t="s">
        <v>110</v>
      </c>
      <c r="L407" s="324" t="s">
        <v>110</v>
      </c>
      <c r="M407" s="309"/>
      <c r="N407" s="309" t="s">
        <v>110</v>
      </c>
      <c r="O407" s="324" t="s">
        <v>110</v>
      </c>
      <c r="P407" s="326" t="s">
        <v>110</v>
      </c>
      <c r="Q407" s="309" t="s">
        <v>110</v>
      </c>
      <c r="R407" s="324" t="s">
        <v>110</v>
      </c>
      <c r="S407" s="204" t="e">
        <f t="shared" ref="S407:S414" si="864">N407+Q407</f>
        <v>#VALUE!</v>
      </c>
      <c r="T407" s="204" t="e">
        <f t="shared" ref="T407:T414" si="865">F407-S407</f>
        <v>#VALUE!</v>
      </c>
    </row>
    <row r="408" spans="1:20" s="2" customFormat="1" x14ac:dyDescent="0.3">
      <c r="A408" s="298" t="s">
        <v>655</v>
      </c>
      <c r="B408" s="300" t="s">
        <v>1065</v>
      </c>
      <c r="C408" s="302" t="s">
        <v>89</v>
      </c>
      <c r="D408" s="303">
        <v>2</v>
      </c>
      <c r="E408" s="356">
        <v>43.25</v>
      </c>
      <c r="F408" s="356">
        <f t="shared" ref="F408:F414" si="866">+ROUND((D408*E408),2)</f>
        <v>86.5</v>
      </c>
      <c r="G408" s="278">
        <v>0</v>
      </c>
      <c r="H408" s="240">
        <f t="shared" ref="H408:H414" si="867">G408*E408</f>
        <v>0</v>
      </c>
      <c r="I408" s="241">
        <f t="shared" ref="I408:I414" si="868">+G408/D408</f>
        <v>0</v>
      </c>
      <c r="J408" s="419">
        <f>+D408</f>
        <v>2</v>
      </c>
      <c r="K408" s="242">
        <f t="shared" ref="K408:K414" si="869">J408*E408</f>
        <v>86.5</v>
      </c>
      <c r="L408" s="243">
        <f t="shared" ref="L408:L414" si="870">+J408/D408</f>
        <v>1</v>
      </c>
      <c r="M408" s="240">
        <f t="shared" si="852"/>
        <v>2</v>
      </c>
      <c r="N408" s="240">
        <f t="shared" ref="N408:N414" si="871">M408*E408</f>
        <v>86.5</v>
      </c>
      <c r="O408" s="244">
        <f t="shared" ref="O408:O414" si="872">+M408/D408</f>
        <v>1</v>
      </c>
      <c r="P408" s="211">
        <f t="shared" ref="P408:P414" si="873">+D408-M408</f>
        <v>0</v>
      </c>
      <c r="Q408" s="212">
        <f t="shared" ref="Q408:Q414" si="874">P408*E408</f>
        <v>0</v>
      </c>
      <c r="R408" s="213">
        <f t="shared" ref="R408:R414" si="875">+P408/D408</f>
        <v>0</v>
      </c>
      <c r="S408" s="204">
        <f t="shared" si="864"/>
        <v>86.5</v>
      </c>
      <c r="T408" s="204">
        <f t="shared" si="865"/>
        <v>0</v>
      </c>
    </row>
    <row r="409" spans="1:20" s="2" customFormat="1" x14ac:dyDescent="0.3">
      <c r="A409" s="298" t="s">
        <v>656</v>
      </c>
      <c r="B409" s="300" t="s">
        <v>1066</v>
      </c>
      <c r="C409" s="302" t="s">
        <v>89</v>
      </c>
      <c r="D409" s="303">
        <v>1</v>
      </c>
      <c r="E409" s="356">
        <v>43.25</v>
      </c>
      <c r="F409" s="356">
        <f t="shared" si="866"/>
        <v>43.25</v>
      </c>
      <c r="G409" s="278">
        <v>0</v>
      </c>
      <c r="H409" s="240">
        <f t="shared" si="867"/>
        <v>0</v>
      </c>
      <c r="I409" s="241">
        <f t="shared" si="868"/>
        <v>0</v>
      </c>
      <c r="J409" s="419">
        <f t="shared" ref="J409:J414" si="876">+D409</f>
        <v>1</v>
      </c>
      <c r="K409" s="242">
        <f t="shared" si="869"/>
        <v>43.25</v>
      </c>
      <c r="L409" s="243">
        <f t="shared" si="870"/>
        <v>1</v>
      </c>
      <c r="M409" s="240">
        <f t="shared" si="852"/>
        <v>1</v>
      </c>
      <c r="N409" s="240">
        <f t="shared" si="871"/>
        <v>43.25</v>
      </c>
      <c r="O409" s="244">
        <f t="shared" si="872"/>
        <v>1</v>
      </c>
      <c r="P409" s="211">
        <f t="shared" si="873"/>
        <v>0</v>
      </c>
      <c r="Q409" s="212">
        <f t="shared" si="874"/>
        <v>0</v>
      </c>
      <c r="R409" s="213">
        <f t="shared" si="875"/>
        <v>0</v>
      </c>
      <c r="S409" s="204">
        <f t="shared" si="864"/>
        <v>43.25</v>
      </c>
      <c r="T409" s="204">
        <f t="shared" si="865"/>
        <v>0</v>
      </c>
    </row>
    <row r="410" spans="1:20" s="2" customFormat="1" x14ac:dyDescent="0.3">
      <c r="A410" s="298" t="s">
        <v>657</v>
      </c>
      <c r="B410" s="300" t="s">
        <v>1067</v>
      </c>
      <c r="C410" s="302" t="s">
        <v>89</v>
      </c>
      <c r="D410" s="303">
        <v>3</v>
      </c>
      <c r="E410" s="356">
        <v>60.96</v>
      </c>
      <c r="F410" s="356">
        <f t="shared" si="866"/>
        <v>182.88</v>
      </c>
      <c r="G410" s="278">
        <v>0</v>
      </c>
      <c r="H410" s="240">
        <f t="shared" si="867"/>
        <v>0</v>
      </c>
      <c r="I410" s="241">
        <f t="shared" si="868"/>
        <v>0</v>
      </c>
      <c r="J410" s="419">
        <f t="shared" si="876"/>
        <v>3</v>
      </c>
      <c r="K410" s="242">
        <f t="shared" si="869"/>
        <v>182.88</v>
      </c>
      <c r="L410" s="243">
        <f t="shared" si="870"/>
        <v>1</v>
      </c>
      <c r="M410" s="240">
        <f t="shared" si="852"/>
        <v>3</v>
      </c>
      <c r="N410" s="240">
        <f t="shared" si="871"/>
        <v>182.88</v>
      </c>
      <c r="O410" s="244">
        <f t="shared" si="872"/>
        <v>1</v>
      </c>
      <c r="P410" s="211">
        <f t="shared" si="873"/>
        <v>0</v>
      </c>
      <c r="Q410" s="212">
        <f t="shared" si="874"/>
        <v>0</v>
      </c>
      <c r="R410" s="213">
        <f t="shared" si="875"/>
        <v>0</v>
      </c>
      <c r="S410" s="204">
        <f t="shared" si="864"/>
        <v>182.88</v>
      </c>
      <c r="T410" s="204">
        <f t="shared" si="865"/>
        <v>0</v>
      </c>
    </row>
    <row r="411" spans="1:20" s="2" customFormat="1" x14ac:dyDescent="0.3">
      <c r="A411" s="298" t="s">
        <v>658</v>
      </c>
      <c r="B411" s="300" t="s">
        <v>1068</v>
      </c>
      <c r="C411" s="302" t="s">
        <v>89</v>
      </c>
      <c r="D411" s="303">
        <v>2</v>
      </c>
      <c r="E411" s="356">
        <v>53.96</v>
      </c>
      <c r="F411" s="356">
        <f t="shared" si="866"/>
        <v>107.92</v>
      </c>
      <c r="G411" s="278">
        <v>0</v>
      </c>
      <c r="H411" s="240">
        <f t="shared" si="867"/>
        <v>0</v>
      </c>
      <c r="I411" s="241">
        <f t="shared" si="868"/>
        <v>0</v>
      </c>
      <c r="J411" s="419">
        <f t="shared" si="876"/>
        <v>2</v>
      </c>
      <c r="K411" s="242">
        <f t="shared" si="869"/>
        <v>107.92</v>
      </c>
      <c r="L411" s="243">
        <f t="shared" si="870"/>
        <v>1</v>
      </c>
      <c r="M411" s="240">
        <f t="shared" si="852"/>
        <v>2</v>
      </c>
      <c r="N411" s="240">
        <f t="shared" si="871"/>
        <v>107.92</v>
      </c>
      <c r="O411" s="244">
        <f t="shared" si="872"/>
        <v>1</v>
      </c>
      <c r="P411" s="211">
        <f t="shared" si="873"/>
        <v>0</v>
      </c>
      <c r="Q411" s="212">
        <f t="shared" si="874"/>
        <v>0</v>
      </c>
      <c r="R411" s="213">
        <f t="shared" si="875"/>
        <v>0</v>
      </c>
      <c r="S411" s="204">
        <f t="shared" si="864"/>
        <v>107.92</v>
      </c>
      <c r="T411" s="204">
        <f t="shared" si="865"/>
        <v>0</v>
      </c>
    </row>
    <row r="412" spans="1:20" s="2" customFormat="1" x14ac:dyDescent="0.3">
      <c r="A412" s="298" t="s">
        <v>659</v>
      </c>
      <c r="B412" s="300" t="s">
        <v>1069</v>
      </c>
      <c r="C412" s="302" t="s">
        <v>89</v>
      </c>
      <c r="D412" s="303">
        <v>3</v>
      </c>
      <c r="E412" s="356">
        <v>38.729999999999997</v>
      </c>
      <c r="F412" s="356">
        <f t="shared" si="866"/>
        <v>116.19</v>
      </c>
      <c r="G412" s="278">
        <v>0</v>
      </c>
      <c r="H412" s="240">
        <f t="shared" si="867"/>
        <v>0</v>
      </c>
      <c r="I412" s="241">
        <f t="shared" si="868"/>
        <v>0</v>
      </c>
      <c r="J412" s="419">
        <f t="shared" si="876"/>
        <v>3</v>
      </c>
      <c r="K412" s="242">
        <f t="shared" si="869"/>
        <v>116.19</v>
      </c>
      <c r="L412" s="243">
        <f t="shared" si="870"/>
        <v>1</v>
      </c>
      <c r="M412" s="240">
        <f t="shared" si="852"/>
        <v>3</v>
      </c>
      <c r="N412" s="240">
        <f t="shared" si="871"/>
        <v>116.19</v>
      </c>
      <c r="O412" s="244">
        <f t="shared" si="872"/>
        <v>1</v>
      </c>
      <c r="P412" s="211">
        <f t="shared" si="873"/>
        <v>0</v>
      </c>
      <c r="Q412" s="212">
        <f t="shared" si="874"/>
        <v>0</v>
      </c>
      <c r="R412" s="213">
        <f t="shared" si="875"/>
        <v>0</v>
      </c>
      <c r="S412" s="204">
        <f t="shared" si="864"/>
        <v>116.19</v>
      </c>
      <c r="T412" s="204">
        <f t="shared" si="865"/>
        <v>0</v>
      </c>
    </row>
    <row r="413" spans="1:20" s="2" customFormat="1" x14ac:dyDescent="0.3">
      <c r="A413" s="298" t="s">
        <v>660</v>
      </c>
      <c r="B413" s="300" t="s">
        <v>1070</v>
      </c>
      <c r="C413" s="302" t="s">
        <v>89</v>
      </c>
      <c r="D413" s="303">
        <v>1</v>
      </c>
      <c r="E413" s="356">
        <v>37.14</v>
      </c>
      <c r="F413" s="356">
        <f t="shared" si="866"/>
        <v>37.14</v>
      </c>
      <c r="G413" s="278">
        <v>0</v>
      </c>
      <c r="H413" s="240">
        <f t="shared" si="867"/>
        <v>0</v>
      </c>
      <c r="I413" s="241">
        <f t="shared" si="868"/>
        <v>0</v>
      </c>
      <c r="J413" s="419">
        <f t="shared" si="876"/>
        <v>1</v>
      </c>
      <c r="K413" s="242">
        <f t="shared" si="869"/>
        <v>37.14</v>
      </c>
      <c r="L413" s="243">
        <f t="shared" si="870"/>
        <v>1</v>
      </c>
      <c r="M413" s="240">
        <f t="shared" si="852"/>
        <v>1</v>
      </c>
      <c r="N413" s="240">
        <f t="shared" si="871"/>
        <v>37.14</v>
      </c>
      <c r="O413" s="244">
        <f t="shared" si="872"/>
        <v>1</v>
      </c>
      <c r="P413" s="211">
        <f t="shared" si="873"/>
        <v>0</v>
      </c>
      <c r="Q413" s="212">
        <f t="shared" si="874"/>
        <v>0</v>
      </c>
      <c r="R413" s="213">
        <f t="shared" si="875"/>
        <v>0</v>
      </c>
      <c r="S413" s="204">
        <f t="shared" si="864"/>
        <v>37.14</v>
      </c>
      <c r="T413" s="204">
        <f t="shared" si="865"/>
        <v>0</v>
      </c>
    </row>
    <row r="414" spans="1:20" s="2" customFormat="1" x14ac:dyDescent="0.3">
      <c r="A414" s="298" t="s">
        <v>661</v>
      </c>
      <c r="B414" s="300" t="s">
        <v>1071</v>
      </c>
      <c r="C414" s="302" t="s">
        <v>89</v>
      </c>
      <c r="D414" s="303">
        <v>14</v>
      </c>
      <c r="E414" s="356">
        <v>38.909999999999997</v>
      </c>
      <c r="F414" s="356">
        <f t="shared" si="866"/>
        <v>544.74</v>
      </c>
      <c r="G414" s="278">
        <v>0</v>
      </c>
      <c r="H414" s="240">
        <f t="shared" si="867"/>
        <v>0</v>
      </c>
      <c r="I414" s="241">
        <f t="shared" si="868"/>
        <v>0</v>
      </c>
      <c r="J414" s="419">
        <f t="shared" si="876"/>
        <v>14</v>
      </c>
      <c r="K414" s="242">
        <f t="shared" si="869"/>
        <v>544.74</v>
      </c>
      <c r="L414" s="243">
        <f t="shared" si="870"/>
        <v>1</v>
      </c>
      <c r="M414" s="240">
        <f t="shared" si="852"/>
        <v>14</v>
      </c>
      <c r="N414" s="240">
        <f t="shared" si="871"/>
        <v>544.74</v>
      </c>
      <c r="O414" s="244">
        <f t="shared" si="872"/>
        <v>1</v>
      </c>
      <c r="P414" s="211">
        <f t="shared" si="873"/>
        <v>0</v>
      </c>
      <c r="Q414" s="212">
        <f t="shared" si="874"/>
        <v>0</v>
      </c>
      <c r="R414" s="213">
        <f t="shared" si="875"/>
        <v>0</v>
      </c>
      <c r="S414" s="204">
        <f t="shared" si="864"/>
        <v>544.74</v>
      </c>
      <c r="T414" s="204">
        <f t="shared" si="865"/>
        <v>0</v>
      </c>
    </row>
    <row r="415" spans="1:20" s="2" customFormat="1" x14ac:dyDescent="0.3">
      <c r="A415" s="304" t="s">
        <v>662</v>
      </c>
      <c r="B415" s="305" t="s">
        <v>1072</v>
      </c>
      <c r="C415" s="320" t="s">
        <v>160</v>
      </c>
      <c r="D415" s="321"/>
      <c r="E415" s="349"/>
      <c r="F415" s="350">
        <f>+F416</f>
        <v>1672.93</v>
      </c>
      <c r="G415" s="308"/>
      <c r="H415" s="309" t="s">
        <v>110</v>
      </c>
      <c r="I415" s="323" t="s">
        <v>110</v>
      </c>
      <c r="J415" s="419"/>
      <c r="K415" s="309" t="s">
        <v>110</v>
      </c>
      <c r="L415" s="324" t="s">
        <v>110</v>
      </c>
      <c r="M415" s="309"/>
      <c r="N415" s="309" t="s">
        <v>110</v>
      </c>
      <c r="O415" s="324" t="s">
        <v>110</v>
      </c>
      <c r="P415" s="326" t="s">
        <v>110</v>
      </c>
      <c r="Q415" s="309" t="s">
        <v>110</v>
      </c>
      <c r="R415" s="324" t="s">
        <v>110</v>
      </c>
      <c r="S415" s="204" t="e">
        <f t="shared" ref="S415:S416" si="877">N415+Q415</f>
        <v>#VALUE!</v>
      </c>
      <c r="T415" s="204" t="e">
        <f t="shared" ref="T415:T416" si="878">F415-S415</f>
        <v>#VALUE!</v>
      </c>
    </row>
    <row r="416" spans="1:20" s="2" customFormat="1" x14ac:dyDescent="0.3">
      <c r="A416" s="298" t="s">
        <v>663</v>
      </c>
      <c r="B416" s="300" t="s">
        <v>1073</v>
      </c>
      <c r="C416" s="302" t="s">
        <v>89</v>
      </c>
      <c r="D416" s="303">
        <v>7</v>
      </c>
      <c r="E416" s="356">
        <v>238.99</v>
      </c>
      <c r="F416" s="356">
        <f>+ROUND((D416*E416),2)</f>
        <v>1672.93</v>
      </c>
      <c r="G416" s="278">
        <v>0</v>
      </c>
      <c r="H416" s="240">
        <f t="shared" ref="H416" si="879">G416*E416</f>
        <v>0</v>
      </c>
      <c r="I416" s="241">
        <f t="shared" ref="I416" si="880">+G416/D416</f>
        <v>0</v>
      </c>
      <c r="J416" s="419"/>
      <c r="K416" s="242">
        <f t="shared" ref="K416" si="881">J416*E416</f>
        <v>0</v>
      </c>
      <c r="L416" s="243">
        <f t="shared" ref="L416" si="882">+J416/D416</f>
        <v>0</v>
      </c>
      <c r="M416" s="240">
        <f t="shared" si="852"/>
        <v>0</v>
      </c>
      <c r="N416" s="240">
        <f t="shared" ref="N416" si="883">M416*E416</f>
        <v>0</v>
      </c>
      <c r="O416" s="244">
        <f t="shared" ref="O416" si="884">+M416/D416</f>
        <v>0</v>
      </c>
      <c r="P416" s="211">
        <f t="shared" ref="P416" si="885">+D416-M416</f>
        <v>7</v>
      </c>
      <c r="Q416" s="212">
        <f t="shared" ref="Q416" si="886">P416*E416</f>
        <v>1672.93</v>
      </c>
      <c r="R416" s="213">
        <f t="shared" ref="R416" si="887">+P416/D416</f>
        <v>1</v>
      </c>
      <c r="S416" s="204">
        <f t="shared" si="877"/>
        <v>1672.93</v>
      </c>
      <c r="T416" s="204">
        <f t="shared" si="878"/>
        <v>0</v>
      </c>
    </row>
    <row r="417" spans="1:20" s="2" customFormat="1" x14ac:dyDescent="0.3">
      <c r="A417" s="304" t="s">
        <v>229</v>
      </c>
      <c r="B417" s="305" t="s">
        <v>1074</v>
      </c>
      <c r="C417" s="320" t="s">
        <v>160</v>
      </c>
      <c r="D417" s="321"/>
      <c r="E417" s="347"/>
      <c r="F417" s="348">
        <f>+F418+F422+F426+F433</f>
        <v>9313.6099999999988</v>
      </c>
      <c r="G417" s="308"/>
      <c r="H417" s="309" t="s">
        <v>110</v>
      </c>
      <c r="I417" s="323" t="s">
        <v>110</v>
      </c>
      <c r="J417" s="419"/>
      <c r="K417" s="309" t="s">
        <v>110</v>
      </c>
      <c r="L417" s="324" t="s">
        <v>110</v>
      </c>
      <c r="M417" s="309"/>
      <c r="N417" s="309" t="s">
        <v>110</v>
      </c>
      <c r="O417" s="324" t="s">
        <v>110</v>
      </c>
      <c r="P417" s="326" t="s">
        <v>110</v>
      </c>
      <c r="Q417" s="309" t="s">
        <v>110</v>
      </c>
      <c r="R417" s="324" t="s">
        <v>110</v>
      </c>
      <c r="S417" s="204" t="e">
        <f t="shared" ref="S417:S421" si="888">N417+Q417</f>
        <v>#VALUE!</v>
      </c>
      <c r="T417" s="204" t="e">
        <f t="shared" ref="T417:T421" si="889">F417-S417</f>
        <v>#VALUE!</v>
      </c>
    </row>
    <row r="418" spans="1:20" s="2" customFormat="1" x14ac:dyDescent="0.3">
      <c r="A418" s="304" t="s">
        <v>230</v>
      </c>
      <c r="B418" s="305" t="s">
        <v>1053</v>
      </c>
      <c r="C418" s="320" t="s">
        <v>160</v>
      </c>
      <c r="D418" s="321"/>
      <c r="E418" s="349"/>
      <c r="F418" s="350">
        <f>SUM(F419:F421)</f>
        <v>1138.5</v>
      </c>
      <c r="G418" s="308"/>
      <c r="H418" s="309" t="s">
        <v>110</v>
      </c>
      <c r="I418" s="323" t="s">
        <v>110</v>
      </c>
      <c r="J418" s="419"/>
      <c r="K418" s="309" t="s">
        <v>110</v>
      </c>
      <c r="L418" s="324" t="s">
        <v>110</v>
      </c>
      <c r="M418" s="309"/>
      <c r="N418" s="309" t="s">
        <v>110</v>
      </c>
      <c r="O418" s="324" t="s">
        <v>110</v>
      </c>
      <c r="P418" s="326" t="s">
        <v>110</v>
      </c>
      <c r="Q418" s="309" t="s">
        <v>110</v>
      </c>
      <c r="R418" s="324" t="s">
        <v>110</v>
      </c>
      <c r="S418" s="204" t="e">
        <f t="shared" si="888"/>
        <v>#VALUE!</v>
      </c>
      <c r="T418" s="204" t="e">
        <f t="shared" si="889"/>
        <v>#VALUE!</v>
      </c>
    </row>
    <row r="419" spans="1:20" s="2" customFormat="1" x14ac:dyDescent="0.3">
      <c r="A419" s="298" t="s">
        <v>664</v>
      </c>
      <c r="B419" s="300" t="s">
        <v>1075</v>
      </c>
      <c r="C419" s="302" t="s">
        <v>275</v>
      </c>
      <c r="D419" s="303">
        <v>4</v>
      </c>
      <c r="E419" s="356">
        <v>112.02</v>
      </c>
      <c r="F419" s="356">
        <f t="shared" ref="F419:F434" si="890">+ROUND((D419*E419),2)</f>
        <v>448.08</v>
      </c>
      <c r="G419" s="278">
        <v>0</v>
      </c>
      <c r="H419" s="240">
        <f t="shared" ref="H419:H421" si="891">G419*E419</f>
        <v>0</v>
      </c>
      <c r="I419" s="241">
        <f t="shared" ref="I419:I421" si="892">+G419/D419</f>
        <v>0</v>
      </c>
      <c r="J419" s="419">
        <f>+D419</f>
        <v>4</v>
      </c>
      <c r="K419" s="242">
        <f t="shared" ref="K419:K421" si="893">J419*E419</f>
        <v>448.08</v>
      </c>
      <c r="L419" s="243">
        <f t="shared" ref="L419:L421" si="894">+J419/D419</f>
        <v>1</v>
      </c>
      <c r="M419" s="240">
        <f t="shared" si="852"/>
        <v>4</v>
      </c>
      <c r="N419" s="240">
        <f t="shared" ref="N419:N421" si="895">M419*E419</f>
        <v>448.08</v>
      </c>
      <c r="O419" s="244">
        <f t="shared" ref="O419:O421" si="896">+M419/D419</f>
        <v>1</v>
      </c>
      <c r="P419" s="211">
        <f t="shared" ref="P419:P421" si="897">+D419-M419</f>
        <v>0</v>
      </c>
      <c r="Q419" s="212">
        <f t="shared" ref="Q419:Q421" si="898">P419*E419</f>
        <v>0</v>
      </c>
      <c r="R419" s="213">
        <f t="shared" ref="R419:R421" si="899">+P419/D419</f>
        <v>0</v>
      </c>
      <c r="S419" s="204">
        <f t="shared" si="888"/>
        <v>448.08</v>
      </c>
      <c r="T419" s="204">
        <f t="shared" si="889"/>
        <v>0</v>
      </c>
    </row>
    <row r="420" spans="1:20" s="2" customFormat="1" x14ac:dyDescent="0.3">
      <c r="A420" s="298" t="s">
        <v>665</v>
      </c>
      <c r="B420" s="300" t="s">
        <v>1076</v>
      </c>
      <c r="C420" s="302" t="s">
        <v>275</v>
      </c>
      <c r="D420" s="303">
        <v>2</v>
      </c>
      <c r="E420" s="356">
        <v>169.48</v>
      </c>
      <c r="F420" s="356">
        <f t="shared" si="890"/>
        <v>338.96</v>
      </c>
      <c r="G420" s="278">
        <v>0</v>
      </c>
      <c r="H420" s="240">
        <f t="shared" si="891"/>
        <v>0</v>
      </c>
      <c r="I420" s="241">
        <f t="shared" si="892"/>
        <v>0</v>
      </c>
      <c r="J420" s="419">
        <f t="shared" ref="J420:J421" si="900">+D420</f>
        <v>2</v>
      </c>
      <c r="K420" s="242">
        <f t="shared" si="893"/>
        <v>338.96</v>
      </c>
      <c r="L420" s="243">
        <f t="shared" si="894"/>
        <v>1</v>
      </c>
      <c r="M420" s="240">
        <f t="shared" si="852"/>
        <v>2</v>
      </c>
      <c r="N420" s="240">
        <f t="shared" si="895"/>
        <v>338.96</v>
      </c>
      <c r="O420" s="244">
        <f t="shared" si="896"/>
        <v>1</v>
      </c>
      <c r="P420" s="211">
        <f t="shared" si="897"/>
        <v>0</v>
      </c>
      <c r="Q420" s="212">
        <f t="shared" si="898"/>
        <v>0</v>
      </c>
      <c r="R420" s="213">
        <f t="shared" si="899"/>
        <v>0</v>
      </c>
      <c r="S420" s="204">
        <f t="shared" si="888"/>
        <v>338.96</v>
      </c>
      <c r="T420" s="204">
        <f t="shared" si="889"/>
        <v>0</v>
      </c>
    </row>
    <row r="421" spans="1:20" s="2" customFormat="1" x14ac:dyDescent="0.3">
      <c r="A421" s="298" t="s">
        <v>666</v>
      </c>
      <c r="B421" s="300" t="s">
        <v>1077</v>
      </c>
      <c r="C421" s="302" t="s">
        <v>275</v>
      </c>
      <c r="D421" s="303">
        <v>2</v>
      </c>
      <c r="E421" s="356">
        <v>175.73</v>
      </c>
      <c r="F421" s="356">
        <f t="shared" si="890"/>
        <v>351.46</v>
      </c>
      <c r="G421" s="278">
        <v>0</v>
      </c>
      <c r="H421" s="240">
        <f t="shared" si="891"/>
        <v>0</v>
      </c>
      <c r="I421" s="241">
        <f t="shared" si="892"/>
        <v>0</v>
      </c>
      <c r="J421" s="419">
        <f t="shared" si="900"/>
        <v>2</v>
      </c>
      <c r="K421" s="242">
        <f t="shared" si="893"/>
        <v>351.46</v>
      </c>
      <c r="L421" s="243">
        <f t="shared" si="894"/>
        <v>1</v>
      </c>
      <c r="M421" s="240">
        <f t="shared" si="852"/>
        <v>2</v>
      </c>
      <c r="N421" s="240">
        <f t="shared" si="895"/>
        <v>351.46</v>
      </c>
      <c r="O421" s="244">
        <f t="shared" si="896"/>
        <v>1</v>
      </c>
      <c r="P421" s="211">
        <f t="shared" si="897"/>
        <v>0</v>
      </c>
      <c r="Q421" s="212">
        <f t="shared" si="898"/>
        <v>0</v>
      </c>
      <c r="R421" s="213">
        <f t="shared" si="899"/>
        <v>0</v>
      </c>
      <c r="S421" s="204">
        <f t="shared" si="888"/>
        <v>351.46</v>
      </c>
      <c r="T421" s="204">
        <f t="shared" si="889"/>
        <v>0</v>
      </c>
    </row>
    <row r="422" spans="1:20" s="2" customFormat="1" x14ac:dyDescent="0.3">
      <c r="A422" s="304" t="s">
        <v>231</v>
      </c>
      <c r="B422" s="305" t="s">
        <v>1078</v>
      </c>
      <c r="C422" s="320" t="s">
        <v>160</v>
      </c>
      <c r="D422" s="321"/>
      <c r="E422" s="349"/>
      <c r="F422" s="350">
        <f>SUM(F423:F425)</f>
        <v>7023.8899999999994</v>
      </c>
      <c r="G422" s="308"/>
      <c r="H422" s="309" t="s">
        <v>110</v>
      </c>
      <c r="I422" s="323" t="s">
        <v>110</v>
      </c>
      <c r="J422" s="419"/>
      <c r="K422" s="309" t="s">
        <v>110</v>
      </c>
      <c r="L422" s="324" t="s">
        <v>110</v>
      </c>
      <c r="M422" s="309"/>
      <c r="N422" s="309" t="s">
        <v>110</v>
      </c>
      <c r="O422" s="324" t="s">
        <v>110</v>
      </c>
      <c r="P422" s="326" t="s">
        <v>110</v>
      </c>
      <c r="Q422" s="309" t="s">
        <v>110</v>
      </c>
      <c r="R422" s="324" t="s">
        <v>110</v>
      </c>
      <c r="S422" s="204" t="e">
        <f t="shared" ref="S422:S425" si="901">N422+Q422</f>
        <v>#VALUE!</v>
      </c>
      <c r="T422" s="204" t="e">
        <f t="shared" ref="T422:T425" si="902">F422-S422</f>
        <v>#VALUE!</v>
      </c>
    </row>
    <row r="423" spans="1:20" s="2" customFormat="1" x14ac:dyDescent="0.3">
      <c r="A423" s="298" t="s">
        <v>667</v>
      </c>
      <c r="B423" s="300" t="s">
        <v>1079</v>
      </c>
      <c r="C423" s="302" t="s">
        <v>94</v>
      </c>
      <c r="D423" s="303">
        <v>5.62</v>
      </c>
      <c r="E423" s="356">
        <v>49.98</v>
      </c>
      <c r="F423" s="356">
        <f t="shared" si="890"/>
        <v>280.89</v>
      </c>
      <c r="G423" s="278">
        <v>0</v>
      </c>
      <c r="H423" s="240">
        <f t="shared" ref="H423:H425" si="903">G423*E423</f>
        <v>0</v>
      </c>
      <c r="I423" s="241">
        <f t="shared" ref="I423:I425" si="904">+G423/D423</f>
        <v>0</v>
      </c>
      <c r="J423" s="419">
        <f>+D423</f>
        <v>5.62</v>
      </c>
      <c r="K423" s="242">
        <f t="shared" ref="K423:K425" si="905">J423*E423</f>
        <v>280.88759999999996</v>
      </c>
      <c r="L423" s="243">
        <f t="shared" ref="L423:L425" si="906">+J423/D423</f>
        <v>1</v>
      </c>
      <c r="M423" s="240">
        <f t="shared" si="852"/>
        <v>5.62</v>
      </c>
      <c r="N423" s="240">
        <f t="shared" ref="N423:N425" si="907">M423*E423</f>
        <v>280.88759999999996</v>
      </c>
      <c r="O423" s="244">
        <f t="shared" ref="O423:O425" si="908">+M423/D423</f>
        <v>1</v>
      </c>
      <c r="P423" s="211">
        <f t="shared" ref="P423:P425" si="909">+D423-M423</f>
        <v>0</v>
      </c>
      <c r="Q423" s="212">
        <f t="shared" ref="Q423:Q425" si="910">P423*E423</f>
        <v>0</v>
      </c>
      <c r="R423" s="213">
        <f t="shared" ref="R423:R425" si="911">+P423/D423</f>
        <v>0</v>
      </c>
      <c r="S423" s="204">
        <f t="shared" si="901"/>
        <v>280.88759999999996</v>
      </c>
      <c r="T423" s="204">
        <f t="shared" si="902"/>
        <v>2.4000000000228283E-3</v>
      </c>
    </row>
    <row r="424" spans="1:20" s="2" customFormat="1" x14ac:dyDescent="0.3">
      <c r="A424" s="298" t="s">
        <v>668</v>
      </c>
      <c r="B424" s="300" t="s">
        <v>1080</v>
      </c>
      <c r="C424" s="302" t="s">
        <v>94</v>
      </c>
      <c r="D424" s="303">
        <v>11.03</v>
      </c>
      <c r="E424" s="356">
        <v>463.28</v>
      </c>
      <c r="F424" s="356">
        <f t="shared" si="890"/>
        <v>5109.9799999999996</v>
      </c>
      <c r="G424" s="278">
        <v>0</v>
      </c>
      <c r="H424" s="240">
        <f t="shared" si="903"/>
        <v>0</v>
      </c>
      <c r="I424" s="241">
        <f t="shared" si="904"/>
        <v>0</v>
      </c>
      <c r="J424" s="419">
        <f t="shared" ref="J424:J425" si="912">+D424</f>
        <v>11.03</v>
      </c>
      <c r="K424" s="242">
        <f t="shared" si="905"/>
        <v>5109.9783999999991</v>
      </c>
      <c r="L424" s="243">
        <f t="shared" si="906"/>
        <v>1</v>
      </c>
      <c r="M424" s="240">
        <f t="shared" si="852"/>
        <v>11.03</v>
      </c>
      <c r="N424" s="240">
        <f t="shared" si="907"/>
        <v>5109.9783999999991</v>
      </c>
      <c r="O424" s="244">
        <f t="shared" si="908"/>
        <v>1</v>
      </c>
      <c r="P424" s="211">
        <f t="shared" si="909"/>
        <v>0</v>
      </c>
      <c r="Q424" s="212">
        <f t="shared" si="910"/>
        <v>0</v>
      </c>
      <c r="R424" s="213">
        <f t="shared" si="911"/>
        <v>0</v>
      </c>
      <c r="S424" s="204">
        <f t="shared" si="901"/>
        <v>5109.9783999999991</v>
      </c>
      <c r="T424" s="204">
        <f t="shared" si="902"/>
        <v>1.6000000005078618E-3</v>
      </c>
    </row>
    <row r="425" spans="1:20" s="2" customFormat="1" x14ac:dyDescent="0.3">
      <c r="A425" s="298" t="s">
        <v>669</v>
      </c>
      <c r="B425" s="300" t="s">
        <v>1081</v>
      </c>
      <c r="C425" s="302" t="s">
        <v>94</v>
      </c>
      <c r="D425" s="303">
        <v>20.99</v>
      </c>
      <c r="E425" s="356">
        <v>77.8</v>
      </c>
      <c r="F425" s="356">
        <f t="shared" si="890"/>
        <v>1633.02</v>
      </c>
      <c r="G425" s="278">
        <v>0</v>
      </c>
      <c r="H425" s="240">
        <f t="shared" si="903"/>
        <v>0</v>
      </c>
      <c r="I425" s="241">
        <f t="shared" si="904"/>
        <v>0</v>
      </c>
      <c r="J425" s="419">
        <f t="shared" si="912"/>
        <v>20.99</v>
      </c>
      <c r="K425" s="242">
        <f t="shared" si="905"/>
        <v>1633.0219999999997</v>
      </c>
      <c r="L425" s="243">
        <f t="shared" si="906"/>
        <v>1</v>
      </c>
      <c r="M425" s="240">
        <f t="shared" si="852"/>
        <v>20.99</v>
      </c>
      <c r="N425" s="240">
        <f t="shared" si="907"/>
        <v>1633.0219999999997</v>
      </c>
      <c r="O425" s="244">
        <f t="shared" si="908"/>
        <v>1</v>
      </c>
      <c r="P425" s="211">
        <f t="shared" si="909"/>
        <v>0</v>
      </c>
      <c r="Q425" s="212">
        <f t="shared" si="910"/>
        <v>0</v>
      </c>
      <c r="R425" s="213">
        <f t="shared" si="911"/>
        <v>0</v>
      </c>
      <c r="S425" s="204">
        <f t="shared" si="901"/>
        <v>1633.0219999999997</v>
      </c>
      <c r="T425" s="204">
        <f t="shared" si="902"/>
        <v>-1.9999999997253326E-3</v>
      </c>
    </row>
    <row r="426" spans="1:20" s="2" customFormat="1" x14ac:dyDescent="0.3">
      <c r="A426" s="304" t="s">
        <v>232</v>
      </c>
      <c r="B426" s="305" t="s">
        <v>1082</v>
      </c>
      <c r="C426" s="320" t="s">
        <v>160</v>
      </c>
      <c r="D426" s="321"/>
      <c r="E426" s="349"/>
      <c r="F426" s="350">
        <f>SUM(F427:F432)</f>
        <v>874.98</v>
      </c>
      <c r="G426" s="308"/>
      <c r="H426" s="309" t="s">
        <v>110</v>
      </c>
      <c r="I426" s="323" t="s">
        <v>110</v>
      </c>
      <c r="J426" s="419"/>
      <c r="K426" s="309" t="s">
        <v>110</v>
      </c>
      <c r="L426" s="324" t="s">
        <v>110</v>
      </c>
      <c r="M426" s="309"/>
      <c r="N426" s="309" t="s">
        <v>110</v>
      </c>
      <c r="O426" s="324" t="s">
        <v>110</v>
      </c>
      <c r="P426" s="326" t="s">
        <v>110</v>
      </c>
      <c r="Q426" s="309" t="s">
        <v>110</v>
      </c>
      <c r="R426" s="324" t="s">
        <v>110</v>
      </c>
      <c r="S426" s="204" t="e">
        <f t="shared" ref="S426:S432" si="913">N426+Q426</f>
        <v>#VALUE!</v>
      </c>
      <c r="T426" s="204" t="e">
        <f t="shared" ref="T426:T432" si="914">F426-S426</f>
        <v>#VALUE!</v>
      </c>
    </row>
    <row r="427" spans="1:20" s="2" customFormat="1" x14ac:dyDescent="0.3">
      <c r="A427" s="298" t="s">
        <v>670</v>
      </c>
      <c r="B427" s="300" t="s">
        <v>1083</v>
      </c>
      <c r="C427" s="302" t="s">
        <v>89</v>
      </c>
      <c r="D427" s="303">
        <v>6</v>
      </c>
      <c r="E427" s="356">
        <v>29.41</v>
      </c>
      <c r="F427" s="356">
        <f t="shared" si="890"/>
        <v>176.46</v>
      </c>
      <c r="G427" s="278">
        <v>0</v>
      </c>
      <c r="H427" s="240">
        <f t="shared" ref="H427:H432" si="915">G427*E427</f>
        <v>0</v>
      </c>
      <c r="I427" s="241">
        <f t="shared" ref="I427:I432" si="916">+G427/D427</f>
        <v>0</v>
      </c>
      <c r="J427" s="419">
        <f>+D427</f>
        <v>6</v>
      </c>
      <c r="K427" s="242">
        <f t="shared" ref="K427:K432" si="917">J427*E427</f>
        <v>176.46</v>
      </c>
      <c r="L427" s="243">
        <f t="shared" ref="L427:L432" si="918">+J427/D427</f>
        <v>1</v>
      </c>
      <c r="M427" s="240">
        <f t="shared" si="852"/>
        <v>6</v>
      </c>
      <c r="N427" s="240">
        <f t="shared" ref="N427:N432" si="919">M427*E427</f>
        <v>176.46</v>
      </c>
      <c r="O427" s="244">
        <f t="shared" ref="O427:O432" si="920">+M427/D427</f>
        <v>1</v>
      </c>
      <c r="P427" s="211">
        <f t="shared" ref="P427:P432" si="921">+D427-M427</f>
        <v>0</v>
      </c>
      <c r="Q427" s="212">
        <f t="shared" ref="Q427:Q432" si="922">P427*E427</f>
        <v>0</v>
      </c>
      <c r="R427" s="213">
        <f t="shared" ref="R427:R432" si="923">+P427/D427</f>
        <v>0</v>
      </c>
      <c r="S427" s="204">
        <f t="shared" si="913"/>
        <v>176.46</v>
      </c>
      <c r="T427" s="204">
        <f t="shared" si="914"/>
        <v>0</v>
      </c>
    </row>
    <row r="428" spans="1:20" s="2" customFormat="1" x14ac:dyDescent="0.3">
      <c r="A428" s="298" t="s">
        <v>671</v>
      </c>
      <c r="B428" s="300" t="s">
        <v>1084</v>
      </c>
      <c r="C428" s="302" t="s">
        <v>89</v>
      </c>
      <c r="D428" s="303">
        <v>3</v>
      </c>
      <c r="E428" s="356">
        <v>40.46</v>
      </c>
      <c r="F428" s="356">
        <f t="shared" si="890"/>
        <v>121.38</v>
      </c>
      <c r="G428" s="278">
        <v>0</v>
      </c>
      <c r="H428" s="240">
        <f t="shared" si="915"/>
        <v>0</v>
      </c>
      <c r="I428" s="241">
        <f t="shared" si="916"/>
        <v>0</v>
      </c>
      <c r="J428" s="419">
        <f t="shared" ref="J428:J432" si="924">+D428</f>
        <v>3</v>
      </c>
      <c r="K428" s="242">
        <f t="shared" si="917"/>
        <v>121.38</v>
      </c>
      <c r="L428" s="243">
        <f t="shared" si="918"/>
        <v>1</v>
      </c>
      <c r="M428" s="240">
        <f t="shared" si="852"/>
        <v>3</v>
      </c>
      <c r="N428" s="240">
        <f t="shared" si="919"/>
        <v>121.38</v>
      </c>
      <c r="O428" s="244">
        <f t="shared" si="920"/>
        <v>1</v>
      </c>
      <c r="P428" s="211">
        <f t="shared" si="921"/>
        <v>0</v>
      </c>
      <c r="Q428" s="212">
        <f t="shared" si="922"/>
        <v>0</v>
      </c>
      <c r="R428" s="213">
        <f t="shared" si="923"/>
        <v>0</v>
      </c>
      <c r="S428" s="204">
        <f t="shared" si="913"/>
        <v>121.38</v>
      </c>
      <c r="T428" s="204">
        <f t="shared" si="914"/>
        <v>0</v>
      </c>
    </row>
    <row r="429" spans="1:20" s="2" customFormat="1" x14ac:dyDescent="0.3">
      <c r="A429" s="298" t="s">
        <v>672</v>
      </c>
      <c r="B429" s="300" t="s">
        <v>1085</v>
      </c>
      <c r="C429" s="302" t="s">
        <v>89</v>
      </c>
      <c r="D429" s="303">
        <v>6</v>
      </c>
      <c r="E429" s="356">
        <v>49.77</v>
      </c>
      <c r="F429" s="356">
        <f t="shared" si="890"/>
        <v>298.62</v>
      </c>
      <c r="G429" s="278">
        <v>0</v>
      </c>
      <c r="H429" s="240">
        <f t="shared" si="915"/>
        <v>0</v>
      </c>
      <c r="I429" s="241">
        <f t="shared" si="916"/>
        <v>0</v>
      </c>
      <c r="J429" s="419">
        <f t="shared" si="924"/>
        <v>6</v>
      </c>
      <c r="K429" s="242">
        <f t="shared" si="917"/>
        <v>298.62</v>
      </c>
      <c r="L429" s="243">
        <f t="shared" si="918"/>
        <v>1</v>
      </c>
      <c r="M429" s="240">
        <f t="shared" si="852"/>
        <v>6</v>
      </c>
      <c r="N429" s="240">
        <f t="shared" si="919"/>
        <v>298.62</v>
      </c>
      <c r="O429" s="244">
        <f t="shared" si="920"/>
        <v>1</v>
      </c>
      <c r="P429" s="211">
        <f t="shared" si="921"/>
        <v>0</v>
      </c>
      <c r="Q429" s="212">
        <f t="shared" si="922"/>
        <v>0</v>
      </c>
      <c r="R429" s="213">
        <f t="shared" si="923"/>
        <v>0</v>
      </c>
      <c r="S429" s="204">
        <f t="shared" si="913"/>
        <v>298.62</v>
      </c>
      <c r="T429" s="204">
        <f t="shared" si="914"/>
        <v>0</v>
      </c>
    </row>
    <row r="430" spans="1:20" s="2" customFormat="1" x14ac:dyDescent="0.3">
      <c r="A430" s="298" t="s">
        <v>673</v>
      </c>
      <c r="B430" s="300" t="s">
        <v>1086</v>
      </c>
      <c r="C430" s="302" t="s">
        <v>89</v>
      </c>
      <c r="D430" s="303">
        <v>3</v>
      </c>
      <c r="E430" s="356">
        <v>44.46</v>
      </c>
      <c r="F430" s="356">
        <f t="shared" si="890"/>
        <v>133.38</v>
      </c>
      <c r="G430" s="278">
        <v>0</v>
      </c>
      <c r="H430" s="240">
        <f t="shared" si="915"/>
        <v>0</v>
      </c>
      <c r="I430" s="241">
        <f t="shared" si="916"/>
        <v>0</v>
      </c>
      <c r="J430" s="419">
        <f t="shared" si="924"/>
        <v>3</v>
      </c>
      <c r="K430" s="242">
        <f t="shared" si="917"/>
        <v>133.38</v>
      </c>
      <c r="L430" s="243">
        <f t="shared" si="918"/>
        <v>1</v>
      </c>
      <c r="M430" s="240">
        <f t="shared" si="852"/>
        <v>3</v>
      </c>
      <c r="N430" s="240">
        <f t="shared" si="919"/>
        <v>133.38</v>
      </c>
      <c r="O430" s="244">
        <f t="shared" si="920"/>
        <v>1</v>
      </c>
      <c r="P430" s="211">
        <f t="shared" si="921"/>
        <v>0</v>
      </c>
      <c r="Q430" s="212">
        <f t="shared" si="922"/>
        <v>0</v>
      </c>
      <c r="R430" s="213">
        <f t="shared" si="923"/>
        <v>0</v>
      </c>
      <c r="S430" s="204">
        <f t="shared" si="913"/>
        <v>133.38</v>
      </c>
      <c r="T430" s="204">
        <f t="shared" si="914"/>
        <v>0</v>
      </c>
    </row>
    <row r="431" spans="1:20" s="2" customFormat="1" x14ac:dyDescent="0.3">
      <c r="A431" s="298" t="s">
        <v>674</v>
      </c>
      <c r="B431" s="300" t="s">
        <v>1087</v>
      </c>
      <c r="C431" s="302" t="s">
        <v>89</v>
      </c>
      <c r="D431" s="303">
        <v>1</v>
      </c>
      <c r="E431" s="356">
        <v>38.28</v>
      </c>
      <c r="F431" s="356">
        <f t="shared" si="890"/>
        <v>38.28</v>
      </c>
      <c r="G431" s="278">
        <v>0</v>
      </c>
      <c r="H431" s="240">
        <f t="shared" si="915"/>
        <v>0</v>
      </c>
      <c r="I431" s="241">
        <f t="shared" si="916"/>
        <v>0</v>
      </c>
      <c r="J431" s="419">
        <f t="shared" si="924"/>
        <v>1</v>
      </c>
      <c r="K431" s="242">
        <f t="shared" si="917"/>
        <v>38.28</v>
      </c>
      <c r="L431" s="243">
        <f t="shared" si="918"/>
        <v>1</v>
      </c>
      <c r="M431" s="240">
        <f t="shared" si="852"/>
        <v>1</v>
      </c>
      <c r="N431" s="240">
        <f t="shared" si="919"/>
        <v>38.28</v>
      </c>
      <c r="O431" s="244">
        <f t="shared" si="920"/>
        <v>1</v>
      </c>
      <c r="P431" s="211">
        <f t="shared" si="921"/>
        <v>0</v>
      </c>
      <c r="Q431" s="212">
        <f t="shared" si="922"/>
        <v>0</v>
      </c>
      <c r="R431" s="213">
        <f t="shared" si="923"/>
        <v>0</v>
      </c>
      <c r="S431" s="204">
        <f t="shared" si="913"/>
        <v>38.28</v>
      </c>
      <c r="T431" s="204">
        <f t="shared" si="914"/>
        <v>0</v>
      </c>
    </row>
    <row r="432" spans="1:20" s="2" customFormat="1" x14ac:dyDescent="0.3">
      <c r="A432" s="298" t="s">
        <v>675</v>
      </c>
      <c r="B432" s="300" t="s">
        <v>1088</v>
      </c>
      <c r="C432" s="302" t="s">
        <v>89</v>
      </c>
      <c r="D432" s="303">
        <v>3</v>
      </c>
      <c r="E432" s="356">
        <v>35.619999999999997</v>
      </c>
      <c r="F432" s="356">
        <f t="shared" si="890"/>
        <v>106.86</v>
      </c>
      <c r="G432" s="278">
        <v>0</v>
      </c>
      <c r="H432" s="240">
        <f t="shared" si="915"/>
        <v>0</v>
      </c>
      <c r="I432" s="241">
        <f t="shared" si="916"/>
        <v>0</v>
      </c>
      <c r="J432" s="419">
        <f t="shared" si="924"/>
        <v>3</v>
      </c>
      <c r="K432" s="242">
        <f t="shared" si="917"/>
        <v>106.85999999999999</v>
      </c>
      <c r="L432" s="243">
        <f t="shared" si="918"/>
        <v>1</v>
      </c>
      <c r="M432" s="240">
        <f t="shared" si="852"/>
        <v>3</v>
      </c>
      <c r="N432" s="240">
        <f t="shared" si="919"/>
        <v>106.85999999999999</v>
      </c>
      <c r="O432" s="244">
        <f t="shared" si="920"/>
        <v>1</v>
      </c>
      <c r="P432" s="211">
        <f t="shared" si="921"/>
        <v>0</v>
      </c>
      <c r="Q432" s="212">
        <f t="shared" si="922"/>
        <v>0</v>
      </c>
      <c r="R432" s="213">
        <f t="shared" si="923"/>
        <v>0</v>
      </c>
      <c r="S432" s="204">
        <f t="shared" si="913"/>
        <v>106.85999999999999</v>
      </c>
      <c r="T432" s="204">
        <f t="shared" si="914"/>
        <v>0</v>
      </c>
    </row>
    <row r="433" spans="1:20" s="2" customFormat="1" x14ac:dyDescent="0.3">
      <c r="A433" s="304" t="s">
        <v>233</v>
      </c>
      <c r="B433" s="305" t="s">
        <v>1089</v>
      </c>
      <c r="C433" s="320" t="s">
        <v>160</v>
      </c>
      <c r="D433" s="321"/>
      <c r="E433" s="349"/>
      <c r="F433" s="350">
        <f>+F434</f>
        <v>276.24</v>
      </c>
      <c r="G433" s="308"/>
      <c r="H433" s="309" t="s">
        <v>110</v>
      </c>
      <c r="I433" s="323" t="s">
        <v>110</v>
      </c>
      <c r="J433" s="419"/>
      <c r="K433" s="309" t="s">
        <v>110</v>
      </c>
      <c r="L433" s="324" t="s">
        <v>110</v>
      </c>
      <c r="M433" s="309"/>
      <c r="N433" s="309" t="s">
        <v>110</v>
      </c>
      <c r="O433" s="324" t="s">
        <v>110</v>
      </c>
      <c r="P433" s="326" t="s">
        <v>110</v>
      </c>
      <c r="Q433" s="309" t="s">
        <v>110</v>
      </c>
      <c r="R433" s="324" t="s">
        <v>110</v>
      </c>
      <c r="S433" s="204" t="e">
        <f t="shared" ref="S433:S439" si="925">N433+Q433</f>
        <v>#VALUE!</v>
      </c>
      <c r="T433" s="204" t="e">
        <f t="shared" ref="T433:T439" si="926">F433-S433</f>
        <v>#VALUE!</v>
      </c>
    </row>
    <row r="434" spans="1:20" s="2" customFormat="1" x14ac:dyDescent="0.3">
      <c r="A434" s="298" t="s">
        <v>676</v>
      </c>
      <c r="B434" s="300" t="s">
        <v>1090</v>
      </c>
      <c r="C434" s="302" t="s">
        <v>89</v>
      </c>
      <c r="D434" s="303">
        <v>2</v>
      </c>
      <c r="E434" s="358">
        <v>138.12</v>
      </c>
      <c r="F434" s="358">
        <f t="shared" si="890"/>
        <v>276.24</v>
      </c>
      <c r="G434" s="278">
        <v>0</v>
      </c>
      <c r="H434" s="240">
        <f t="shared" ref="H434" si="927">G434*E434</f>
        <v>0</v>
      </c>
      <c r="I434" s="241">
        <f t="shared" ref="I434" si="928">+G434/D434</f>
        <v>0</v>
      </c>
      <c r="J434" s="419">
        <f>+D434</f>
        <v>2</v>
      </c>
      <c r="K434" s="242">
        <f t="shared" ref="K434" si="929">J434*E434</f>
        <v>276.24</v>
      </c>
      <c r="L434" s="243">
        <f t="shared" ref="L434" si="930">+J434/D434</f>
        <v>1</v>
      </c>
      <c r="M434" s="240">
        <f t="shared" si="852"/>
        <v>2</v>
      </c>
      <c r="N434" s="240">
        <f t="shared" ref="N434" si="931">M434*E434</f>
        <v>276.24</v>
      </c>
      <c r="O434" s="244">
        <f t="shared" ref="O434" si="932">+M434/D434</f>
        <v>1</v>
      </c>
      <c r="P434" s="211">
        <f t="shared" ref="P434" si="933">+D434-M434</f>
        <v>0</v>
      </c>
      <c r="Q434" s="212">
        <f t="shared" ref="Q434" si="934">P434*E434</f>
        <v>0</v>
      </c>
      <c r="R434" s="213">
        <f t="shared" ref="R434" si="935">+P434/D434</f>
        <v>0</v>
      </c>
      <c r="S434" s="204">
        <f t="shared" si="925"/>
        <v>276.24</v>
      </c>
      <c r="T434" s="204">
        <f t="shared" si="926"/>
        <v>0</v>
      </c>
    </row>
    <row r="435" spans="1:20" s="2" customFormat="1" x14ac:dyDescent="0.3">
      <c r="A435" s="304" t="s">
        <v>234</v>
      </c>
      <c r="B435" s="305" t="s">
        <v>1091</v>
      </c>
      <c r="C435" s="320" t="s">
        <v>160</v>
      </c>
      <c r="D435" s="321"/>
      <c r="E435" s="347"/>
      <c r="F435" s="348">
        <f>+F436</f>
        <v>4133.49</v>
      </c>
      <c r="G435" s="308"/>
      <c r="H435" s="309" t="s">
        <v>110</v>
      </c>
      <c r="I435" s="323" t="s">
        <v>110</v>
      </c>
      <c r="J435" s="419"/>
      <c r="K435" s="309" t="s">
        <v>110</v>
      </c>
      <c r="L435" s="324" t="s">
        <v>110</v>
      </c>
      <c r="M435" s="309"/>
      <c r="N435" s="309" t="s">
        <v>110</v>
      </c>
      <c r="O435" s="324" t="s">
        <v>110</v>
      </c>
      <c r="P435" s="326" t="s">
        <v>110</v>
      </c>
      <c r="Q435" s="309" t="s">
        <v>110</v>
      </c>
      <c r="R435" s="324" t="s">
        <v>110</v>
      </c>
      <c r="S435" s="204" t="e">
        <f t="shared" si="925"/>
        <v>#VALUE!</v>
      </c>
      <c r="T435" s="204" t="e">
        <f t="shared" si="926"/>
        <v>#VALUE!</v>
      </c>
    </row>
    <row r="436" spans="1:20" s="2" customFormat="1" x14ac:dyDescent="0.3">
      <c r="A436" s="304" t="s">
        <v>235</v>
      </c>
      <c r="B436" s="305" t="s">
        <v>1092</v>
      </c>
      <c r="C436" s="320" t="s">
        <v>160</v>
      </c>
      <c r="D436" s="321"/>
      <c r="E436" s="355"/>
      <c r="F436" s="350">
        <f>SUM(F437:F443)</f>
        <v>4133.49</v>
      </c>
      <c r="G436" s="308"/>
      <c r="H436" s="309" t="s">
        <v>110</v>
      </c>
      <c r="I436" s="323" t="s">
        <v>110</v>
      </c>
      <c r="J436" s="419"/>
      <c r="K436" s="309" t="s">
        <v>110</v>
      </c>
      <c r="L436" s="324" t="s">
        <v>110</v>
      </c>
      <c r="M436" s="309"/>
      <c r="N436" s="309" t="s">
        <v>110</v>
      </c>
      <c r="O436" s="324" t="s">
        <v>110</v>
      </c>
      <c r="P436" s="326" t="s">
        <v>110</v>
      </c>
      <c r="Q436" s="309" t="s">
        <v>110</v>
      </c>
      <c r="R436" s="324" t="s">
        <v>110</v>
      </c>
      <c r="S436" s="204" t="e">
        <f t="shared" si="925"/>
        <v>#VALUE!</v>
      </c>
      <c r="T436" s="204" t="e">
        <f t="shared" si="926"/>
        <v>#VALUE!</v>
      </c>
    </row>
    <row r="437" spans="1:20" s="2" customFormat="1" x14ac:dyDescent="0.3">
      <c r="A437" s="298" t="s">
        <v>677</v>
      </c>
      <c r="B437" s="300" t="s">
        <v>1093</v>
      </c>
      <c r="C437" s="302" t="s">
        <v>89</v>
      </c>
      <c r="D437" s="303">
        <v>2</v>
      </c>
      <c r="E437" s="356">
        <v>847.98</v>
      </c>
      <c r="F437" s="356">
        <f t="shared" ref="F437:F447" si="936">+ROUND((D437*E437),2)</f>
        <v>1695.96</v>
      </c>
      <c r="G437" s="278">
        <v>0</v>
      </c>
      <c r="H437" s="240">
        <f t="shared" ref="H437:H443" si="937">G437*E437</f>
        <v>0</v>
      </c>
      <c r="I437" s="241">
        <f t="shared" ref="I437:I443" si="938">+G437/D437</f>
        <v>0</v>
      </c>
      <c r="J437" s="419"/>
      <c r="K437" s="242">
        <f t="shared" ref="K437:K443" si="939">J437*E437</f>
        <v>0</v>
      </c>
      <c r="L437" s="243">
        <f t="shared" ref="L437:L443" si="940">+J437/D437</f>
        <v>0</v>
      </c>
      <c r="M437" s="240">
        <f t="shared" si="852"/>
        <v>0</v>
      </c>
      <c r="N437" s="240">
        <f t="shared" ref="N437:N443" si="941">M437*E437</f>
        <v>0</v>
      </c>
      <c r="O437" s="244">
        <f t="shared" ref="O437:O443" si="942">+M437/D437</f>
        <v>0</v>
      </c>
      <c r="P437" s="211">
        <f t="shared" ref="P437:P443" si="943">+D437-M437</f>
        <v>2</v>
      </c>
      <c r="Q437" s="212">
        <f t="shared" ref="Q437:Q443" si="944">P437*E437</f>
        <v>1695.96</v>
      </c>
      <c r="R437" s="213">
        <f t="shared" ref="R437:R443" si="945">+P437/D437</f>
        <v>1</v>
      </c>
      <c r="S437" s="204">
        <f t="shared" si="925"/>
        <v>1695.96</v>
      </c>
      <c r="T437" s="204">
        <f t="shared" si="926"/>
        <v>0</v>
      </c>
    </row>
    <row r="438" spans="1:20" s="2" customFormat="1" x14ac:dyDescent="0.3">
      <c r="A438" s="298" t="s">
        <v>678</v>
      </c>
      <c r="B438" s="300" t="s">
        <v>1094</v>
      </c>
      <c r="C438" s="302" t="s">
        <v>89</v>
      </c>
      <c r="D438" s="303">
        <v>2</v>
      </c>
      <c r="E438" s="356">
        <v>379.07</v>
      </c>
      <c r="F438" s="356">
        <f t="shared" si="936"/>
        <v>758.14</v>
      </c>
      <c r="G438" s="278">
        <v>0</v>
      </c>
      <c r="H438" s="240">
        <f t="shared" si="937"/>
        <v>0</v>
      </c>
      <c r="I438" s="241">
        <f t="shared" si="938"/>
        <v>0</v>
      </c>
      <c r="J438" s="419"/>
      <c r="K438" s="242">
        <f t="shared" si="939"/>
        <v>0</v>
      </c>
      <c r="L438" s="243">
        <f t="shared" si="940"/>
        <v>0</v>
      </c>
      <c r="M438" s="240">
        <f t="shared" si="852"/>
        <v>0</v>
      </c>
      <c r="N438" s="240">
        <f t="shared" si="941"/>
        <v>0</v>
      </c>
      <c r="O438" s="244">
        <f t="shared" si="942"/>
        <v>0</v>
      </c>
      <c r="P438" s="211">
        <f t="shared" si="943"/>
        <v>2</v>
      </c>
      <c r="Q438" s="212">
        <f t="shared" si="944"/>
        <v>758.14</v>
      </c>
      <c r="R438" s="213">
        <f t="shared" si="945"/>
        <v>1</v>
      </c>
      <c r="S438" s="204">
        <f t="shared" si="925"/>
        <v>758.14</v>
      </c>
      <c r="T438" s="204">
        <f t="shared" si="926"/>
        <v>0</v>
      </c>
    </row>
    <row r="439" spans="1:20" s="2" customFormat="1" x14ac:dyDescent="0.3">
      <c r="A439" s="298" t="s">
        <v>679</v>
      </c>
      <c r="B439" s="300" t="s">
        <v>1095</v>
      </c>
      <c r="C439" s="302" t="s">
        <v>89</v>
      </c>
      <c r="D439" s="303">
        <v>1</v>
      </c>
      <c r="E439" s="356">
        <v>371.09</v>
      </c>
      <c r="F439" s="356">
        <f t="shared" si="936"/>
        <v>371.09</v>
      </c>
      <c r="G439" s="278">
        <v>0</v>
      </c>
      <c r="H439" s="240">
        <f t="shared" si="937"/>
        <v>0</v>
      </c>
      <c r="I439" s="241">
        <f t="shared" si="938"/>
        <v>0</v>
      </c>
      <c r="J439" s="419"/>
      <c r="K439" s="242">
        <f t="shared" si="939"/>
        <v>0</v>
      </c>
      <c r="L439" s="243">
        <f t="shared" si="940"/>
        <v>0</v>
      </c>
      <c r="M439" s="240">
        <f t="shared" si="852"/>
        <v>0</v>
      </c>
      <c r="N439" s="240">
        <f t="shared" si="941"/>
        <v>0</v>
      </c>
      <c r="O439" s="244">
        <f t="shared" si="942"/>
        <v>0</v>
      </c>
      <c r="P439" s="211">
        <f t="shared" si="943"/>
        <v>1</v>
      </c>
      <c r="Q439" s="212">
        <f t="shared" si="944"/>
        <v>371.09</v>
      </c>
      <c r="R439" s="213">
        <f t="shared" si="945"/>
        <v>1</v>
      </c>
      <c r="S439" s="204">
        <f t="shared" si="925"/>
        <v>371.09</v>
      </c>
      <c r="T439" s="204">
        <f t="shared" si="926"/>
        <v>0</v>
      </c>
    </row>
    <row r="440" spans="1:20" s="2" customFormat="1" x14ac:dyDescent="0.3">
      <c r="A440" s="298" t="s">
        <v>680</v>
      </c>
      <c r="B440" s="300" t="s">
        <v>1096</v>
      </c>
      <c r="C440" s="302" t="s">
        <v>89</v>
      </c>
      <c r="D440" s="303">
        <v>1</v>
      </c>
      <c r="E440" s="356">
        <v>379.07</v>
      </c>
      <c r="F440" s="356">
        <f t="shared" si="936"/>
        <v>379.07</v>
      </c>
      <c r="G440" s="278">
        <v>0</v>
      </c>
      <c r="H440" s="240">
        <f t="shared" si="937"/>
        <v>0</v>
      </c>
      <c r="I440" s="241">
        <f t="shared" si="938"/>
        <v>0</v>
      </c>
      <c r="J440" s="419"/>
      <c r="K440" s="242">
        <f t="shared" si="939"/>
        <v>0</v>
      </c>
      <c r="L440" s="243">
        <f t="shared" si="940"/>
        <v>0</v>
      </c>
      <c r="M440" s="240">
        <f t="shared" si="852"/>
        <v>0</v>
      </c>
      <c r="N440" s="240">
        <f t="shared" si="941"/>
        <v>0</v>
      </c>
      <c r="O440" s="244">
        <f t="shared" si="942"/>
        <v>0</v>
      </c>
      <c r="P440" s="211">
        <f t="shared" si="943"/>
        <v>1</v>
      </c>
      <c r="Q440" s="212">
        <f t="shared" si="944"/>
        <v>379.07</v>
      </c>
      <c r="R440" s="213">
        <f t="shared" si="945"/>
        <v>1</v>
      </c>
      <c r="S440" s="204">
        <f t="shared" ref="S440:S443" si="946">N440+Q440</f>
        <v>379.07</v>
      </c>
      <c r="T440" s="204">
        <f t="shared" ref="T440:T443" si="947">F440-S440</f>
        <v>0</v>
      </c>
    </row>
    <row r="441" spans="1:20" s="2" customFormat="1" x14ac:dyDescent="0.3">
      <c r="A441" s="298" t="s">
        <v>681</v>
      </c>
      <c r="B441" s="300" t="s">
        <v>1097</v>
      </c>
      <c r="C441" s="302" t="s">
        <v>89</v>
      </c>
      <c r="D441" s="303">
        <v>1</v>
      </c>
      <c r="E441" s="356">
        <v>329.19</v>
      </c>
      <c r="F441" s="356">
        <f t="shared" si="936"/>
        <v>329.19</v>
      </c>
      <c r="G441" s="278">
        <v>0</v>
      </c>
      <c r="H441" s="240">
        <f t="shared" si="937"/>
        <v>0</v>
      </c>
      <c r="I441" s="241">
        <f t="shared" si="938"/>
        <v>0</v>
      </c>
      <c r="J441" s="419"/>
      <c r="K441" s="242">
        <f t="shared" si="939"/>
        <v>0</v>
      </c>
      <c r="L441" s="243">
        <f t="shared" si="940"/>
        <v>0</v>
      </c>
      <c r="M441" s="240">
        <f t="shared" si="852"/>
        <v>0</v>
      </c>
      <c r="N441" s="240">
        <f t="shared" si="941"/>
        <v>0</v>
      </c>
      <c r="O441" s="244">
        <f t="shared" si="942"/>
        <v>0</v>
      </c>
      <c r="P441" s="211">
        <f t="shared" si="943"/>
        <v>1</v>
      </c>
      <c r="Q441" s="212">
        <f t="shared" si="944"/>
        <v>329.19</v>
      </c>
      <c r="R441" s="213">
        <f t="shared" si="945"/>
        <v>1</v>
      </c>
      <c r="S441" s="204">
        <f t="shared" si="946"/>
        <v>329.19</v>
      </c>
      <c r="T441" s="204">
        <f t="shared" si="947"/>
        <v>0</v>
      </c>
    </row>
    <row r="442" spans="1:20" s="2" customFormat="1" x14ac:dyDescent="0.3">
      <c r="A442" s="298" t="s">
        <v>682</v>
      </c>
      <c r="B442" s="300" t="s">
        <v>1098</v>
      </c>
      <c r="C442" s="302" t="s">
        <v>89</v>
      </c>
      <c r="D442" s="303">
        <v>1</v>
      </c>
      <c r="E442" s="356">
        <v>28.18</v>
      </c>
      <c r="F442" s="356">
        <f t="shared" si="936"/>
        <v>28.18</v>
      </c>
      <c r="G442" s="278">
        <v>0</v>
      </c>
      <c r="H442" s="240">
        <f t="shared" si="937"/>
        <v>0</v>
      </c>
      <c r="I442" s="241">
        <f t="shared" si="938"/>
        <v>0</v>
      </c>
      <c r="J442" s="419"/>
      <c r="K442" s="242">
        <f t="shared" si="939"/>
        <v>0</v>
      </c>
      <c r="L442" s="243">
        <f t="shared" si="940"/>
        <v>0</v>
      </c>
      <c r="M442" s="240">
        <f t="shared" si="852"/>
        <v>0</v>
      </c>
      <c r="N442" s="240">
        <f t="shared" si="941"/>
        <v>0</v>
      </c>
      <c r="O442" s="244">
        <f t="shared" si="942"/>
        <v>0</v>
      </c>
      <c r="P442" s="211">
        <f t="shared" si="943"/>
        <v>1</v>
      </c>
      <c r="Q442" s="212">
        <f t="shared" si="944"/>
        <v>28.18</v>
      </c>
      <c r="R442" s="213">
        <f t="shared" si="945"/>
        <v>1</v>
      </c>
      <c r="S442" s="204">
        <f t="shared" si="946"/>
        <v>28.18</v>
      </c>
      <c r="T442" s="204">
        <f t="shared" si="947"/>
        <v>0</v>
      </c>
    </row>
    <row r="443" spans="1:20" s="2" customFormat="1" x14ac:dyDescent="0.3">
      <c r="A443" s="298" t="s">
        <v>683</v>
      </c>
      <c r="B443" s="300" t="s">
        <v>1099</v>
      </c>
      <c r="C443" s="302" t="s">
        <v>90</v>
      </c>
      <c r="D443" s="303">
        <v>1</v>
      </c>
      <c r="E443" s="356">
        <v>571.86</v>
      </c>
      <c r="F443" s="356">
        <f t="shared" si="936"/>
        <v>571.86</v>
      </c>
      <c r="G443" s="278">
        <v>0</v>
      </c>
      <c r="H443" s="240">
        <f t="shared" si="937"/>
        <v>0</v>
      </c>
      <c r="I443" s="241">
        <f t="shared" si="938"/>
        <v>0</v>
      </c>
      <c r="J443" s="419"/>
      <c r="K443" s="242">
        <f t="shared" si="939"/>
        <v>0</v>
      </c>
      <c r="L443" s="243">
        <f t="shared" si="940"/>
        <v>0</v>
      </c>
      <c r="M443" s="240">
        <f t="shared" si="852"/>
        <v>0</v>
      </c>
      <c r="N443" s="240">
        <f t="shared" si="941"/>
        <v>0</v>
      </c>
      <c r="O443" s="244">
        <f t="shared" si="942"/>
        <v>0</v>
      </c>
      <c r="P443" s="211">
        <f t="shared" si="943"/>
        <v>1</v>
      </c>
      <c r="Q443" s="212">
        <f t="shared" si="944"/>
        <v>571.86</v>
      </c>
      <c r="R443" s="213">
        <f t="shared" si="945"/>
        <v>1</v>
      </c>
      <c r="S443" s="204">
        <f t="shared" si="946"/>
        <v>571.86</v>
      </c>
      <c r="T443" s="204">
        <f t="shared" si="947"/>
        <v>0</v>
      </c>
    </row>
    <row r="444" spans="1:20" s="2" customFormat="1" x14ac:dyDescent="0.3">
      <c r="A444" s="304" t="s">
        <v>236</v>
      </c>
      <c r="B444" s="305" t="s">
        <v>811</v>
      </c>
      <c r="C444" s="320" t="s">
        <v>160</v>
      </c>
      <c r="D444" s="321"/>
      <c r="E444" s="347"/>
      <c r="F444" s="348">
        <f>SUM(F445:F447)</f>
        <v>469.85999999999996</v>
      </c>
      <c r="G444" s="308"/>
      <c r="H444" s="309" t="s">
        <v>110</v>
      </c>
      <c r="I444" s="323" t="s">
        <v>110</v>
      </c>
      <c r="J444" s="419"/>
      <c r="K444" s="309" t="s">
        <v>110</v>
      </c>
      <c r="L444" s="324" t="s">
        <v>110</v>
      </c>
      <c r="M444" s="309"/>
      <c r="N444" s="309" t="s">
        <v>110</v>
      </c>
      <c r="O444" s="324" t="s">
        <v>110</v>
      </c>
      <c r="P444" s="326" t="s">
        <v>110</v>
      </c>
      <c r="Q444" s="309" t="s">
        <v>110</v>
      </c>
      <c r="R444" s="324" t="s">
        <v>110</v>
      </c>
      <c r="S444" s="204" t="e">
        <f t="shared" ref="S444:S453" si="948">N444+Q444</f>
        <v>#VALUE!</v>
      </c>
      <c r="T444" s="204" t="e">
        <f t="shared" ref="T444:T453" si="949">F444-S444</f>
        <v>#VALUE!</v>
      </c>
    </row>
    <row r="445" spans="1:20" s="2" customFormat="1" x14ac:dyDescent="0.3">
      <c r="A445" s="298" t="s">
        <v>237</v>
      </c>
      <c r="B445" s="300" t="s">
        <v>1100</v>
      </c>
      <c r="C445" s="302" t="s">
        <v>90</v>
      </c>
      <c r="D445" s="303">
        <v>1</v>
      </c>
      <c r="E445" s="356">
        <v>340.15</v>
      </c>
      <c r="F445" s="356">
        <f t="shared" si="936"/>
        <v>340.15</v>
      </c>
      <c r="G445" s="278">
        <v>0</v>
      </c>
      <c r="H445" s="240">
        <f t="shared" ref="H445:H447" si="950">G445*E445</f>
        <v>0</v>
      </c>
      <c r="I445" s="241">
        <f t="shared" ref="I445:I447" si="951">+G445/D445</f>
        <v>0</v>
      </c>
      <c r="J445" s="419">
        <f>+D445</f>
        <v>1</v>
      </c>
      <c r="K445" s="242">
        <f t="shared" ref="K445:K447" si="952">J445*E445</f>
        <v>340.15</v>
      </c>
      <c r="L445" s="243">
        <f t="shared" ref="L445:L447" si="953">+J445/D445</f>
        <v>1</v>
      </c>
      <c r="M445" s="240">
        <f t="shared" si="852"/>
        <v>1</v>
      </c>
      <c r="N445" s="240">
        <f t="shared" ref="N445:N447" si="954">M445*E445</f>
        <v>340.15</v>
      </c>
      <c r="O445" s="244">
        <f t="shared" ref="O445:O447" si="955">+M445/D445</f>
        <v>1</v>
      </c>
      <c r="P445" s="211">
        <f t="shared" ref="P445:P447" si="956">+D445-M445</f>
        <v>0</v>
      </c>
      <c r="Q445" s="212">
        <f t="shared" ref="Q445:Q447" si="957">P445*E445</f>
        <v>0</v>
      </c>
      <c r="R445" s="213">
        <f t="shared" ref="R445:R447" si="958">+P445/D445</f>
        <v>0</v>
      </c>
      <c r="S445" s="204">
        <f t="shared" si="948"/>
        <v>340.15</v>
      </c>
      <c r="T445" s="204">
        <f t="shared" si="949"/>
        <v>0</v>
      </c>
    </row>
    <row r="446" spans="1:20" s="2" customFormat="1" x14ac:dyDescent="0.3">
      <c r="A446" s="298" t="s">
        <v>684</v>
      </c>
      <c r="B446" s="300" t="s">
        <v>1101</v>
      </c>
      <c r="C446" s="302" t="s">
        <v>90</v>
      </c>
      <c r="D446" s="303">
        <v>1</v>
      </c>
      <c r="E446" s="356">
        <v>8.9499999999999993</v>
      </c>
      <c r="F446" s="356">
        <f t="shared" si="936"/>
        <v>8.9499999999999993</v>
      </c>
      <c r="G446" s="278">
        <v>0</v>
      </c>
      <c r="H446" s="240">
        <f t="shared" si="950"/>
        <v>0</v>
      </c>
      <c r="I446" s="241">
        <f t="shared" si="951"/>
        <v>0</v>
      </c>
      <c r="J446" s="419">
        <f>+D446</f>
        <v>1</v>
      </c>
      <c r="K446" s="242">
        <f t="shared" si="952"/>
        <v>8.9499999999999993</v>
      </c>
      <c r="L446" s="243">
        <f t="shared" si="953"/>
        <v>1</v>
      </c>
      <c r="M446" s="240">
        <f t="shared" si="852"/>
        <v>1</v>
      </c>
      <c r="N446" s="240">
        <f t="shared" si="954"/>
        <v>8.9499999999999993</v>
      </c>
      <c r="O446" s="244">
        <f t="shared" si="955"/>
        <v>1</v>
      </c>
      <c r="P446" s="211">
        <f t="shared" si="956"/>
        <v>0</v>
      </c>
      <c r="Q446" s="212">
        <f t="shared" si="957"/>
        <v>0</v>
      </c>
      <c r="R446" s="213">
        <f t="shared" si="958"/>
        <v>0</v>
      </c>
      <c r="S446" s="204">
        <f t="shared" si="948"/>
        <v>8.9499999999999993</v>
      </c>
      <c r="T446" s="204">
        <f t="shared" si="949"/>
        <v>0</v>
      </c>
    </row>
    <row r="447" spans="1:20" s="2" customFormat="1" x14ac:dyDescent="0.3">
      <c r="A447" s="298" t="s">
        <v>685</v>
      </c>
      <c r="B447" s="300" t="s">
        <v>1102</v>
      </c>
      <c r="C447" s="302" t="s">
        <v>89</v>
      </c>
      <c r="D447" s="303">
        <v>1</v>
      </c>
      <c r="E447" s="356">
        <v>120.76</v>
      </c>
      <c r="F447" s="356">
        <f t="shared" si="936"/>
        <v>120.76</v>
      </c>
      <c r="G447" s="278">
        <v>0</v>
      </c>
      <c r="H447" s="240">
        <f t="shared" si="950"/>
        <v>0</v>
      </c>
      <c r="I447" s="241">
        <f t="shared" si="951"/>
        <v>0</v>
      </c>
      <c r="J447" s="419">
        <f>+D447</f>
        <v>1</v>
      </c>
      <c r="K447" s="242">
        <f t="shared" si="952"/>
        <v>120.76</v>
      </c>
      <c r="L447" s="243">
        <f t="shared" si="953"/>
        <v>1</v>
      </c>
      <c r="M447" s="240">
        <f t="shared" si="852"/>
        <v>1</v>
      </c>
      <c r="N447" s="240">
        <f t="shared" si="954"/>
        <v>120.76</v>
      </c>
      <c r="O447" s="244">
        <f t="shared" si="955"/>
        <v>1</v>
      </c>
      <c r="P447" s="211">
        <f t="shared" si="956"/>
        <v>0</v>
      </c>
      <c r="Q447" s="212">
        <f t="shared" si="957"/>
        <v>0</v>
      </c>
      <c r="R447" s="213">
        <f t="shared" si="958"/>
        <v>0</v>
      </c>
      <c r="S447" s="204">
        <f t="shared" si="948"/>
        <v>120.76</v>
      </c>
      <c r="T447" s="204">
        <f t="shared" si="949"/>
        <v>0</v>
      </c>
    </row>
    <row r="448" spans="1:20" s="2" customFormat="1" x14ac:dyDescent="0.3">
      <c r="A448" s="304" t="s">
        <v>288</v>
      </c>
      <c r="B448" s="305" t="s">
        <v>812</v>
      </c>
      <c r="C448" s="320" t="s">
        <v>160</v>
      </c>
      <c r="D448" s="321"/>
      <c r="E448" s="345"/>
      <c r="F448" s="346">
        <f>+F449+F454+F460</f>
        <v>3114.23</v>
      </c>
      <c r="G448" s="308"/>
      <c r="H448" s="309" t="s">
        <v>110</v>
      </c>
      <c r="I448" s="323" t="s">
        <v>110</v>
      </c>
      <c r="J448" s="419"/>
      <c r="K448" s="309" t="s">
        <v>110</v>
      </c>
      <c r="L448" s="324" t="s">
        <v>110</v>
      </c>
      <c r="M448" s="309"/>
      <c r="N448" s="309" t="s">
        <v>110</v>
      </c>
      <c r="O448" s="324" t="s">
        <v>110</v>
      </c>
      <c r="P448" s="326" t="s">
        <v>110</v>
      </c>
      <c r="Q448" s="309" t="s">
        <v>110</v>
      </c>
      <c r="R448" s="324" t="s">
        <v>110</v>
      </c>
      <c r="S448" s="204" t="e">
        <f t="shared" si="948"/>
        <v>#VALUE!</v>
      </c>
      <c r="T448" s="204" t="e">
        <f t="shared" si="949"/>
        <v>#VALUE!</v>
      </c>
    </row>
    <row r="449" spans="1:20" s="2" customFormat="1" x14ac:dyDescent="0.3">
      <c r="A449" s="304" t="s">
        <v>238</v>
      </c>
      <c r="B449" s="305" t="s">
        <v>1091</v>
      </c>
      <c r="C449" s="306" t="s">
        <v>160</v>
      </c>
      <c r="D449" s="307"/>
      <c r="E449" s="347"/>
      <c r="F449" s="348">
        <f>SUM(F450:F453)</f>
        <v>587.5</v>
      </c>
      <c r="G449" s="308"/>
      <c r="H449" s="309" t="s">
        <v>110</v>
      </c>
      <c r="I449" s="323" t="s">
        <v>110</v>
      </c>
      <c r="J449" s="419"/>
      <c r="K449" s="309" t="s">
        <v>110</v>
      </c>
      <c r="L449" s="324" t="s">
        <v>110</v>
      </c>
      <c r="M449" s="309"/>
      <c r="N449" s="309" t="s">
        <v>110</v>
      </c>
      <c r="O449" s="324" t="s">
        <v>110</v>
      </c>
      <c r="P449" s="326" t="s">
        <v>110</v>
      </c>
      <c r="Q449" s="309" t="s">
        <v>110</v>
      </c>
      <c r="R449" s="324" t="s">
        <v>110</v>
      </c>
      <c r="S449" s="204" t="e">
        <f t="shared" si="948"/>
        <v>#VALUE!</v>
      </c>
      <c r="T449" s="204" t="e">
        <f t="shared" si="949"/>
        <v>#VALUE!</v>
      </c>
    </row>
    <row r="450" spans="1:20" s="2" customFormat="1" x14ac:dyDescent="0.3">
      <c r="A450" s="298" t="s">
        <v>239</v>
      </c>
      <c r="B450" s="300" t="s">
        <v>1103</v>
      </c>
      <c r="C450" s="302" t="s">
        <v>89</v>
      </c>
      <c r="D450" s="303">
        <v>1</v>
      </c>
      <c r="E450" s="356">
        <v>372.92</v>
      </c>
      <c r="F450" s="356">
        <f t="shared" ref="F450:F469" si="959">+ROUND((D450*E450),2)</f>
        <v>372.92</v>
      </c>
      <c r="G450" s="278">
        <v>0</v>
      </c>
      <c r="H450" s="240">
        <f t="shared" ref="H450:H453" si="960">G450*E450</f>
        <v>0</v>
      </c>
      <c r="I450" s="241">
        <f t="shared" ref="I450:I453" si="961">+G450/D450</f>
        <v>0</v>
      </c>
      <c r="J450" s="419"/>
      <c r="K450" s="242">
        <f t="shared" ref="K450:K453" si="962">J450*E450</f>
        <v>0</v>
      </c>
      <c r="L450" s="243">
        <f t="shared" ref="L450:L453" si="963">+J450/D450</f>
        <v>0</v>
      </c>
      <c r="M450" s="240">
        <f t="shared" si="852"/>
        <v>0</v>
      </c>
      <c r="N450" s="240">
        <f t="shared" ref="N450:N453" si="964">M450*E450</f>
        <v>0</v>
      </c>
      <c r="O450" s="244">
        <f t="shared" ref="O450:O453" si="965">+M450/D450</f>
        <v>0</v>
      </c>
      <c r="P450" s="211">
        <f t="shared" ref="P450:P453" si="966">+D450-M450</f>
        <v>1</v>
      </c>
      <c r="Q450" s="212">
        <f t="shared" ref="Q450:Q453" si="967">P450*E450</f>
        <v>372.92</v>
      </c>
      <c r="R450" s="213">
        <f t="shared" ref="R450:R453" si="968">+P450/D450</f>
        <v>1</v>
      </c>
      <c r="S450" s="204">
        <f t="shared" si="948"/>
        <v>372.92</v>
      </c>
      <c r="T450" s="204">
        <f t="shared" si="949"/>
        <v>0</v>
      </c>
    </row>
    <row r="451" spans="1:20" s="2" customFormat="1" x14ac:dyDescent="0.3">
      <c r="A451" s="298" t="s">
        <v>240</v>
      </c>
      <c r="B451" s="300" t="s">
        <v>1104</v>
      </c>
      <c r="C451" s="302" t="s">
        <v>89</v>
      </c>
      <c r="D451" s="303">
        <v>1</v>
      </c>
      <c r="E451" s="356">
        <v>82.14</v>
      </c>
      <c r="F451" s="356">
        <f t="shared" si="959"/>
        <v>82.14</v>
      </c>
      <c r="G451" s="278">
        <v>0</v>
      </c>
      <c r="H451" s="240">
        <f t="shared" si="960"/>
        <v>0</v>
      </c>
      <c r="I451" s="241">
        <f t="shared" si="961"/>
        <v>0</v>
      </c>
      <c r="J451" s="419"/>
      <c r="K451" s="242">
        <f t="shared" si="962"/>
        <v>0</v>
      </c>
      <c r="L451" s="243">
        <f t="shared" si="963"/>
        <v>0</v>
      </c>
      <c r="M451" s="240">
        <f t="shared" si="852"/>
        <v>0</v>
      </c>
      <c r="N451" s="240">
        <f t="shared" si="964"/>
        <v>0</v>
      </c>
      <c r="O451" s="244">
        <f t="shared" si="965"/>
        <v>0</v>
      </c>
      <c r="P451" s="211">
        <f t="shared" si="966"/>
        <v>1</v>
      </c>
      <c r="Q451" s="212">
        <f t="shared" si="967"/>
        <v>82.14</v>
      </c>
      <c r="R451" s="213">
        <f t="shared" si="968"/>
        <v>1</v>
      </c>
      <c r="S451" s="204">
        <f t="shared" si="948"/>
        <v>82.14</v>
      </c>
      <c r="T451" s="204">
        <f t="shared" si="949"/>
        <v>0</v>
      </c>
    </row>
    <row r="452" spans="1:20" s="2" customFormat="1" x14ac:dyDescent="0.3">
      <c r="A452" s="298" t="s">
        <v>686</v>
      </c>
      <c r="B452" s="300" t="s">
        <v>1105</v>
      </c>
      <c r="C452" s="302" t="s">
        <v>89</v>
      </c>
      <c r="D452" s="303">
        <v>1</v>
      </c>
      <c r="E452" s="356">
        <v>110.36</v>
      </c>
      <c r="F452" s="356">
        <f t="shared" si="959"/>
        <v>110.36</v>
      </c>
      <c r="G452" s="278">
        <v>0</v>
      </c>
      <c r="H452" s="240">
        <f t="shared" si="960"/>
        <v>0</v>
      </c>
      <c r="I452" s="241">
        <f t="shared" si="961"/>
        <v>0</v>
      </c>
      <c r="J452" s="419"/>
      <c r="K452" s="242">
        <f t="shared" si="962"/>
        <v>0</v>
      </c>
      <c r="L452" s="243">
        <f t="shared" si="963"/>
        <v>0</v>
      </c>
      <c r="M452" s="240">
        <f t="shared" si="852"/>
        <v>0</v>
      </c>
      <c r="N452" s="240">
        <f t="shared" si="964"/>
        <v>0</v>
      </c>
      <c r="O452" s="244">
        <f t="shared" si="965"/>
        <v>0</v>
      </c>
      <c r="P452" s="211">
        <f t="shared" si="966"/>
        <v>1</v>
      </c>
      <c r="Q452" s="212">
        <f t="shared" si="967"/>
        <v>110.36</v>
      </c>
      <c r="R452" s="213">
        <f t="shared" si="968"/>
        <v>1</v>
      </c>
      <c r="S452" s="204">
        <f t="shared" si="948"/>
        <v>110.36</v>
      </c>
      <c r="T452" s="204">
        <f t="shared" si="949"/>
        <v>0</v>
      </c>
    </row>
    <row r="453" spans="1:20" s="2" customFormat="1" x14ac:dyDescent="0.3">
      <c r="A453" s="298" t="s">
        <v>687</v>
      </c>
      <c r="B453" s="300" t="s">
        <v>1106</v>
      </c>
      <c r="C453" s="302" t="s">
        <v>89</v>
      </c>
      <c r="D453" s="303">
        <v>1</v>
      </c>
      <c r="E453" s="356">
        <v>22.08</v>
      </c>
      <c r="F453" s="356">
        <f t="shared" si="959"/>
        <v>22.08</v>
      </c>
      <c r="G453" s="278">
        <v>0</v>
      </c>
      <c r="H453" s="240">
        <f t="shared" si="960"/>
        <v>0</v>
      </c>
      <c r="I453" s="241">
        <f t="shared" si="961"/>
        <v>0</v>
      </c>
      <c r="J453" s="419"/>
      <c r="K453" s="242">
        <f t="shared" si="962"/>
        <v>0</v>
      </c>
      <c r="L453" s="243">
        <f t="shared" si="963"/>
        <v>0</v>
      </c>
      <c r="M453" s="240">
        <f t="shared" si="852"/>
        <v>0</v>
      </c>
      <c r="N453" s="240">
        <f t="shared" si="964"/>
        <v>0</v>
      </c>
      <c r="O453" s="244">
        <f t="shared" si="965"/>
        <v>0</v>
      </c>
      <c r="P453" s="211">
        <f t="shared" si="966"/>
        <v>1</v>
      </c>
      <c r="Q453" s="212">
        <f t="shared" si="967"/>
        <v>22.08</v>
      </c>
      <c r="R453" s="213">
        <f t="shared" si="968"/>
        <v>1</v>
      </c>
      <c r="S453" s="204">
        <f t="shared" si="948"/>
        <v>22.08</v>
      </c>
      <c r="T453" s="204">
        <f t="shared" si="949"/>
        <v>0</v>
      </c>
    </row>
    <row r="454" spans="1:20" s="70" customFormat="1" x14ac:dyDescent="0.3">
      <c r="A454" s="304" t="s">
        <v>241</v>
      </c>
      <c r="B454" s="305" t="s">
        <v>1074</v>
      </c>
      <c r="C454" s="320" t="s">
        <v>160</v>
      </c>
      <c r="D454" s="321"/>
      <c r="E454" s="347"/>
      <c r="F454" s="348">
        <f>SUM(F455:F459)</f>
        <v>980.79</v>
      </c>
      <c r="G454" s="308"/>
      <c r="H454" s="309" t="s">
        <v>110</v>
      </c>
      <c r="I454" s="323" t="s">
        <v>110</v>
      </c>
      <c r="J454" s="419"/>
      <c r="K454" s="309" t="s">
        <v>110</v>
      </c>
      <c r="L454" s="324" t="s">
        <v>110</v>
      </c>
      <c r="M454" s="309"/>
      <c r="N454" s="309" t="s">
        <v>110</v>
      </c>
      <c r="O454" s="324" t="s">
        <v>110</v>
      </c>
      <c r="P454" s="326" t="s">
        <v>110</v>
      </c>
      <c r="Q454" s="309" t="s">
        <v>110</v>
      </c>
      <c r="R454" s="324" t="s">
        <v>110</v>
      </c>
      <c r="S454" s="204" t="e">
        <f t="shared" ref="S454:S459" si="969">N454+Q454</f>
        <v>#VALUE!</v>
      </c>
      <c r="T454" s="204" t="e">
        <f t="shared" ref="T454:T459" si="970">F454-S454</f>
        <v>#VALUE!</v>
      </c>
    </row>
    <row r="455" spans="1:20" s="2" customFormat="1" x14ac:dyDescent="0.3">
      <c r="A455" s="298" t="s">
        <v>242</v>
      </c>
      <c r="B455" s="300" t="s">
        <v>1107</v>
      </c>
      <c r="C455" s="302" t="s">
        <v>275</v>
      </c>
      <c r="D455" s="303">
        <v>1</v>
      </c>
      <c r="E455" s="356">
        <v>112.02</v>
      </c>
      <c r="F455" s="356">
        <f t="shared" si="959"/>
        <v>112.02</v>
      </c>
      <c r="G455" s="278">
        <v>0</v>
      </c>
      <c r="H455" s="240">
        <f t="shared" ref="H455:H459" si="971">G455*E455</f>
        <v>0</v>
      </c>
      <c r="I455" s="241">
        <f t="shared" ref="I455:I459" si="972">+G455/D455</f>
        <v>0</v>
      </c>
      <c r="J455" s="419">
        <f>+D455</f>
        <v>1</v>
      </c>
      <c r="K455" s="242">
        <f t="shared" ref="K455:K459" si="973">J455*E455</f>
        <v>112.02</v>
      </c>
      <c r="L455" s="243">
        <f t="shared" ref="L455:L459" si="974">+J455/D455</f>
        <v>1</v>
      </c>
      <c r="M455" s="240">
        <f t="shared" si="852"/>
        <v>1</v>
      </c>
      <c r="N455" s="240">
        <f t="shared" ref="N455:N459" si="975">M455*E455</f>
        <v>112.02</v>
      </c>
      <c r="O455" s="244">
        <f t="shared" ref="O455:O459" si="976">+M455/D455</f>
        <v>1</v>
      </c>
      <c r="P455" s="211">
        <f t="shared" ref="P455:P459" si="977">+D455-M455</f>
        <v>0</v>
      </c>
      <c r="Q455" s="212">
        <f t="shared" ref="Q455:Q459" si="978">P455*E455</f>
        <v>0</v>
      </c>
      <c r="R455" s="213">
        <f t="shared" ref="R455:R459" si="979">+P455/D455</f>
        <v>0</v>
      </c>
      <c r="S455" s="204">
        <f t="shared" si="969"/>
        <v>112.02</v>
      </c>
      <c r="T455" s="204">
        <f t="shared" si="970"/>
        <v>0</v>
      </c>
    </row>
    <row r="456" spans="1:20" s="2" customFormat="1" x14ac:dyDescent="0.3">
      <c r="A456" s="298" t="s">
        <v>243</v>
      </c>
      <c r="B456" s="300" t="s">
        <v>1108</v>
      </c>
      <c r="C456" s="302" t="s">
        <v>94</v>
      </c>
      <c r="D456" s="303">
        <v>3.96</v>
      </c>
      <c r="E456" s="356">
        <v>47.17</v>
      </c>
      <c r="F456" s="356">
        <f t="shared" si="959"/>
        <v>186.79</v>
      </c>
      <c r="G456" s="278">
        <v>0</v>
      </c>
      <c r="H456" s="240">
        <f t="shared" si="971"/>
        <v>0</v>
      </c>
      <c r="I456" s="241">
        <f t="shared" si="972"/>
        <v>0</v>
      </c>
      <c r="J456" s="419">
        <f>+D456</f>
        <v>3.96</v>
      </c>
      <c r="K456" s="242">
        <f t="shared" si="973"/>
        <v>186.79320000000001</v>
      </c>
      <c r="L456" s="243">
        <f t="shared" si="974"/>
        <v>1</v>
      </c>
      <c r="M456" s="240">
        <f t="shared" si="852"/>
        <v>3.96</v>
      </c>
      <c r="N456" s="240">
        <f t="shared" si="975"/>
        <v>186.79320000000001</v>
      </c>
      <c r="O456" s="244">
        <f t="shared" si="976"/>
        <v>1</v>
      </c>
      <c r="P456" s="211">
        <f t="shared" si="977"/>
        <v>0</v>
      </c>
      <c r="Q456" s="212">
        <f t="shared" si="978"/>
        <v>0</v>
      </c>
      <c r="R456" s="213">
        <f t="shared" si="979"/>
        <v>0</v>
      </c>
      <c r="S456" s="204">
        <f t="shared" si="969"/>
        <v>186.79320000000001</v>
      </c>
      <c r="T456" s="204">
        <f t="shared" si="970"/>
        <v>-3.2000000000209639E-3</v>
      </c>
    </row>
    <row r="457" spans="1:20" s="2" customFormat="1" x14ac:dyDescent="0.3">
      <c r="A457" s="298" t="s">
        <v>244</v>
      </c>
      <c r="B457" s="300" t="s">
        <v>1109</v>
      </c>
      <c r="C457" s="302" t="s">
        <v>89</v>
      </c>
      <c r="D457" s="303">
        <v>8</v>
      </c>
      <c r="E457" s="356">
        <v>75.59</v>
      </c>
      <c r="F457" s="356">
        <f t="shared" si="959"/>
        <v>604.72</v>
      </c>
      <c r="G457" s="278">
        <v>0</v>
      </c>
      <c r="H457" s="240">
        <f t="shared" si="971"/>
        <v>0</v>
      </c>
      <c r="I457" s="241">
        <f t="shared" si="972"/>
        <v>0</v>
      </c>
      <c r="J457" s="419">
        <f>+D457</f>
        <v>8</v>
      </c>
      <c r="K457" s="242">
        <f t="shared" si="973"/>
        <v>604.72</v>
      </c>
      <c r="L457" s="243">
        <f t="shared" si="974"/>
        <v>1</v>
      </c>
      <c r="M457" s="240">
        <f t="shared" si="852"/>
        <v>8</v>
      </c>
      <c r="N457" s="240">
        <f t="shared" si="975"/>
        <v>604.72</v>
      </c>
      <c r="O457" s="244">
        <f t="shared" si="976"/>
        <v>1</v>
      </c>
      <c r="P457" s="211">
        <f t="shared" si="977"/>
        <v>0</v>
      </c>
      <c r="Q457" s="212">
        <f t="shared" si="978"/>
        <v>0</v>
      </c>
      <c r="R457" s="213">
        <f t="shared" si="979"/>
        <v>0</v>
      </c>
      <c r="S457" s="204">
        <f t="shared" si="969"/>
        <v>604.72</v>
      </c>
      <c r="T457" s="204">
        <f t="shared" si="970"/>
        <v>0</v>
      </c>
    </row>
    <row r="458" spans="1:20" s="2" customFormat="1" x14ac:dyDescent="0.3">
      <c r="A458" s="298" t="s">
        <v>245</v>
      </c>
      <c r="B458" s="300" t="s">
        <v>1110</v>
      </c>
      <c r="C458" s="302" t="s">
        <v>89</v>
      </c>
      <c r="D458" s="303">
        <v>1</v>
      </c>
      <c r="E458" s="356">
        <v>39.47</v>
      </c>
      <c r="F458" s="356">
        <f t="shared" si="959"/>
        <v>39.47</v>
      </c>
      <c r="G458" s="278">
        <v>0</v>
      </c>
      <c r="H458" s="240">
        <f t="shared" si="971"/>
        <v>0</v>
      </c>
      <c r="I458" s="241">
        <f t="shared" si="972"/>
        <v>0</v>
      </c>
      <c r="J458" s="419">
        <f>+D458</f>
        <v>1</v>
      </c>
      <c r="K458" s="242">
        <f t="shared" si="973"/>
        <v>39.47</v>
      </c>
      <c r="L458" s="243">
        <f t="shared" si="974"/>
        <v>1</v>
      </c>
      <c r="M458" s="240">
        <f t="shared" si="852"/>
        <v>1</v>
      </c>
      <c r="N458" s="240">
        <f t="shared" si="975"/>
        <v>39.47</v>
      </c>
      <c r="O458" s="244">
        <f t="shared" si="976"/>
        <v>1</v>
      </c>
      <c r="P458" s="211">
        <f t="shared" si="977"/>
        <v>0</v>
      </c>
      <c r="Q458" s="212">
        <f t="shared" si="978"/>
        <v>0</v>
      </c>
      <c r="R458" s="213">
        <f t="shared" si="979"/>
        <v>0</v>
      </c>
      <c r="S458" s="204">
        <f t="shared" si="969"/>
        <v>39.47</v>
      </c>
      <c r="T458" s="204">
        <f t="shared" si="970"/>
        <v>0</v>
      </c>
    </row>
    <row r="459" spans="1:20" s="2" customFormat="1" x14ac:dyDescent="0.3">
      <c r="A459" s="298" t="s">
        <v>688</v>
      </c>
      <c r="B459" s="300" t="s">
        <v>1111</v>
      </c>
      <c r="C459" s="302" t="s">
        <v>90</v>
      </c>
      <c r="D459" s="303">
        <v>1</v>
      </c>
      <c r="E459" s="356">
        <v>37.79</v>
      </c>
      <c r="F459" s="356">
        <f t="shared" si="959"/>
        <v>37.79</v>
      </c>
      <c r="G459" s="278">
        <v>0</v>
      </c>
      <c r="H459" s="240">
        <f t="shared" si="971"/>
        <v>0</v>
      </c>
      <c r="I459" s="241">
        <f t="shared" si="972"/>
        <v>0</v>
      </c>
      <c r="J459" s="419">
        <f>+D459</f>
        <v>1</v>
      </c>
      <c r="K459" s="242">
        <f t="shared" si="973"/>
        <v>37.79</v>
      </c>
      <c r="L459" s="243">
        <f t="shared" si="974"/>
        <v>1</v>
      </c>
      <c r="M459" s="240">
        <f t="shared" si="852"/>
        <v>1</v>
      </c>
      <c r="N459" s="240">
        <f t="shared" si="975"/>
        <v>37.79</v>
      </c>
      <c r="O459" s="244">
        <f t="shared" si="976"/>
        <v>1</v>
      </c>
      <c r="P459" s="211">
        <f t="shared" si="977"/>
        <v>0</v>
      </c>
      <c r="Q459" s="212">
        <f t="shared" si="978"/>
        <v>0</v>
      </c>
      <c r="R459" s="213">
        <f t="shared" si="979"/>
        <v>0</v>
      </c>
      <c r="S459" s="204">
        <f t="shared" si="969"/>
        <v>37.79</v>
      </c>
      <c r="T459" s="204">
        <f t="shared" si="970"/>
        <v>0</v>
      </c>
    </row>
    <row r="460" spans="1:20" s="2" customFormat="1" x14ac:dyDescent="0.3">
      <c r="A460" s="304" t="s">
        <v>246</v>
      </c>
      <c r="B460" s="305" t="s">
        <v>1112</v>
      </c>
      <c r="C460" s="320" t="s">
        <v>160</v>
      </c>
      <c r="D460" s="321"/>
      <c r="E460" s="347"/>
      <c r="F460" s="348">
        <f>SUM(F461:F469)</f>
        <v>1545.94</v>
      </c>
      <c r="G460" s="308"/>
      <c r="H460" s="309" t="s">
        <v>110</v>
      </c>
      <c r="I460" s="323" t="s">
        <v>110</v>
      </c>
      <c r="J460" s="419"/>
      <c r="K460" s="309" t="s">
        <v>110</v>
      </c>
      <c r="L460" s="324" t="s">
        <v>110</v>
      </c>
      <c r="M460" s="309"/>
      <c r="N460" s="309" t="s">
        <v>110</v>
      </c>
      <c r="O460" s="324" t="s">
        <v>110</v>
      </c>
      <c r="P460" s="326" t="s">
        <v>110</v>
      </c>
      <c r="Q460" s="309" t="s">
        <v>110</v>
      </c>
      <c r="R460" s="324" t="s">
        <v>110</v>
      </c>
      <c r="S460" s="204" t="e">
        <f t="shared" ref="S460:S473" si="980">N460+Q460</f>
        <v>#VALUE!</v>
      </c>
      <c r="T460" s="204" t="e">
        <f t="shared" ref="T460:T469" si="981">F460-S460</f>
        <v>#VALUE!</v>
      </c>
    </row>
    <row r="461" spans="1:20" s="2" customFormat="1" x14ac:dyDescent="0.3">
      <c r="A461" s="298" t="s">
        <v>247</v>
      </c>
      <c r="B461" s="300" t="s">
        <v>1113</v>
      </c>
      <c r="C461" s="302" t="s">
        <v>275</v>
      </c>
      <c r="D461" s="303">
        <v>1</v>
      </c>
      <c r="E461" s="356">
        <v>146.29</v>
      </c>
      <c r="F461" s="356">
        <f t="shared" si="959"/>
        <v>146.29</v>
      </c>
      <c r="G461" s="278">
        <v>0</v>
      </c>
      <c r="H461" s="240">
        <f t="shared" ref="H461:H469" si="982">G461*E461</f>
        <v>0</v>
      </c>
      <c r="I461" s="241">
        <f t="shared" ref="I461:I469" si="983">+G461/D461</f>
        <v>0</v>
      </c>
      <c r="J461" s="419">
        <f>+D461</f>
        <v>1</v>
      </c>
      <c r="K461" s="242">
        <f t="shared" ref="K461:K469" si="984">J461*E461</f>
        <v>146.29</v>
      </c>
      <c r="L461" s="243">
        <f t="shared" ref="L461:L469" si="985">+J461/D461</f>
        <v>1</v>
      </c>
      <c r="M461" s="240">
        <f t="shared" si="852"/>
        <v>1</v>
      </c>
      <c r="N461" s="240">
        <f t="shared" ref="N461:N469" si="986">M461*E461</f>
        <v>146.29</v>
      </c>
      <c r="O461" s="244">
        <f t="shared" ref="O461:O469" si="987">+M461/D461</f>
        <v>1</v>
      </c>
      <c r="P461" s="211">
        <f t="shared" ref="P461:P469" si="988">+D461-M461</f>
        <v>0</v>
      </c>
      <c r="Q461" s="212">
        <f t="shared" ref="Q461:Q469" si="989">P461*E461</f>
        <v>0</v>
      </c>
      <c r="R461" s="213">
        <f t="shared" ref="R461:R469" si="990">+P461/D461</f>
        <v>0</v>
      </c>
      <c r="S461" s="204">
        <f t="shared" si="980"/>
        <v>146.29</v>
      </c>
      <c r="T461" s="204">
        <f t="shared" si="981"/>
        <v>0</v>
      </c>
    </row>
    <row r="462" spans="1:20" s="2" customFormat="1" x14ac:dyDescent="0.3">
      <c r="A462" s="298" t="s">
        <v>248</v>
      </c>
      <c r="B462" s="300" t="s">
        <v>1114</v>
      </c>
      <c r="C462" s="302" t="s">
        <v>275</v>
      </c>
      <c r="D462" s="303">
        <v>1</v>
      </c>
      <c r="E462" s="356">
        <v>67.739999999999995</v>
      </c>
      <c r="F462" s="356">
        <f t="shared" si="959"/>
        <v>67.739999999999995</v>
      </c>
      <c r="G462" s="278">
        <v>1</v>
      </c>
      <c r="H462" s="240">
        <f t="shared" si="982"/>
        <v>67.739999999999995</v>
      </c>
      <c r="I462" s="241">
        <f t="shared" si="983"/>
        <v>1</v>
      </c>
      <c r="J462" s="419"/>
      <c r="K462" s="242">
        <f t="shared" si="984"/>
        <v>0</v>
      </c>
      <c r="L462" s="243">
        <f t="shared" si="985"/>
        <v>0</v>
      </c>
      <c r="M462" s="240">
        <f t="shared" si="852"/>
        <v>1</v>
      </c>
      <c r="N462" s="240">
        <f t="shared" si="986"/>
        <v>67.739999999999995</v>
      </c>
      <c r="O462" s="244">
        <f t="shared" si="987"/>
        <v>1</v>
      </c>
      <c r="P462" s="211">
        <f t="shared" si="988"/>
        <v>0</v>
      </c>
      <c r="Q462" s="212">
        <f t="shared" si="989"/>
        <v>0</v>
      </c>
      <c r="R462" s="213">
        <f t="shared" si="990"/>
        <v>0</v>
      </c>
      <c r="S462" s="204">
        <f t="shared" si="980"/>
        <v>67.739999999999995</v>
      </c>
      <c r="T462" s="204">
        <f t="shared" si="981"/>
        <v>0</v>
      </c>
    </row>
    <row r="463" spans="1:20" s="2" customFormat="1" x14ac:dyDescent="0.3">
      <c r="A463" s="298" t="s">
        <v>249</v>
      </c>
      <c r="B463" s="300" t="s">
        <v>1115</v>
      </c>
      <c r="C463" s="302" t="s">
        <v>93</v>
      </c>
      <c r="D463" s="303">
        <v>0.12</v>
      </c>
      <c r="E463" s="356">
        <v>75.59</v>
      </c>
      <c r="F463" s="356">
        <f t="shared" si="959"/>
        <v>9.07</v>
      </c>
      <c r="G463" s="278">
        <v>0</v>
      </c>
      <c r="H463" s="240">
        <f t="shared" si="982"/>
        <v>0</v>
      </c>
      <c r="I463" s="241">
        <f t="shared" si="983"/>
        <v>0</v>
      </c>
      <c r="J463" s="419">
        <f>+D463</f>
        <v>0.12</v>
      </c>
      <c r="K463" s="242">
        <f t="shared" si="984"/>
        <v>9.0708000000000002</v>
      </c>
      <c r="L463" s="243">
        <f t="shared" si="985"/>
        <v>1</v>
      </c>
      <c r="M463" s="240">
        <f t="shared" si="852"/>
        <v>0.12</v>
      </c>
      <c r="N463" s="240">
        <f t="shared" si="986"/>
        <v>9.0708000000000002</v>
      </c>
      <c r="O463" s="244">
        <f t="shared" si="987"/>
        <v>1</v>
      </c>
      <c r="P463" s="211">
        <f t="shared" si="988"/>
        <v>0</v>
      </c>
      <c r="Q463" s="212">
        <f t="shared" si="989"/>
        <v>0</v>
      </c>
      <c r="R463" s="213">
        <f t="shared" si="990"/>
        <v>0</v>
      </c>
      <c r="S463" s="204">
        <f t="shared" si="980"/>
        <v>9.0708000000000002</v>
      </c>
      <c r="T463" s="204">
        <f t="shared" si="981"/>
        <v>-7.9999999999991189E-4</v>
      </c>
    </row>
    <row r="464" spans="1:20" s="2" customFormat="1" x14ac:dyDescent="0.3">
      <c r="A464" s="298" t="s">
        <v>250</v>
      </c>
      <c r="B464" s="300" t="s">
        <v>1116</v>
      </c>
      <c r="C464" s="302" t="s">
        <v>275</v>
      </c>
      <c r="D464" s="303">
        <v>3</v>
      </c>
      <c r="E464" s="358">
        <v>329.19</v>
      </c>
      <c r="F464" s="358">
        <f t="shared" si="959"/>
        <v>987.57</v>
      </c>
      <c r="G464" s="278">
        <v>0</v>
      </c>
      <c r="H464" s="240">
        <f t="shared" si="982"/>
        <v>0</v>
      </c>
      <c r="I464" s="241">
        <f t="shared" si="983"/>
        <v>0</v>
      </c>
      <c r="J464" s="419"/>
      <c r="K464" s="242">
        <f t="shared" si="984"/>
        <v>0</v>
      </c>
      <c r="L464" s="243">
        <f t="shared" si="985"/>
        <v>0</v>
      </c>
      <c r="M464" s="240">
        <f t="shared" si="852"/>
        <v>0</v>
      </c>
      <c r="N464" s="240">
        <f t="shared" si="986"/>
        <v>0</v>
      </c>
      <c r="O464" s="244">
        <f t="shared" si="987"/>
        <v>0</v>
      </c>
      <c r="P464" s="211">
        <f t="shared" si="988"/>
        <v>3</v>
      </c>
      <c r="Q464" s="212">
        <f t="shared" si="989"/>
        <v>987.56999999999994</v>
      </c>
      <c r="R464" s="213">
        <f t="shared" si="990"/>
        <v>1</v>
      </c>
      <c r="S464" s="204">
        <f t="shared" si="980"/>
        <v>987.56999999999994</v>
      </c>
      <c r="T464" s="204">
        <f t="shared" si="981"/>
        <v>0</v>
      </c>
    </row>
    <row r="465" spans="1:20" s="2" customFormat="1" x14ac:dyDescent="0.3">
      <c r="A465" s="298" t="s">
        <v>251</v>
      </c>
      <c r="B465" s="300" t="s">
        <v>1117</v>
      </c>
      <c r="C465" s="302" t="s">
        <v>94</v>
      </c>
      <c r="D465" s="303">
        <v>4.8499999999999996</v>
      </c>
      <c r="E465" s="356">
        <v>23.57</v>
      </c>
      <c r="F465" s="356">
        <f t="shared" si="959"/>
        <v>114.31</v>
      </c>
      <c r="G465" s="278">
        <v>0</v>
      </c>
      <c r="H465" s="240">
        <f t="shared" si="982"/>
        <v>0</v>
      </c>
      <c r="I465" s="241">
        <f t="shared" si="983"/>
        <v>0</v>
      </c>
      <c r="J465" s="419">
        <f>+D465</f>
        <v>4.8499999999999996</v>
      </c>
      <c r="K465" s="242">
        <f t="shared" si="984"/>
        <v>114.3145</v>
      </c>
      <c r="L465" s="243">
        <f t="shared" si="985"/>
        <v>1</v>
      </c>
      <c r="M465" s="240">
        <f t="shared" si="852"/>
        <v>4.8499999999999996</v>
      </c>
      <c r="N465" s="240">
        <f t="shared" si="986"/>
        <v>114.3145</v>
      </c>
      <c r="O465" s="244">
        <f t="shared" si="987"/>
        <v>1</v>
      </c>
      <c r="P465" s="211">
        <f t="shared" si="988"/>
        <v>0</v>
      </c>
      <c r="Q465" s="212">
        <f t="shared" si="989"/>
        <v>0</v>
      </c>
      <c r="R465" s="213">
        <f t="shared" si="990"/>
        <v>0</v>
      </c>
      <c r="S465" s="204">
        <f t="shared" si="980"/>
        <v>114.3145</v>
      </c>
      <c r="T465" s="204">
        <f t="shared" si="981"/>
        <v>-4.4999999999930651E-3</v>
      </c>
    </row>
    <row r="466" spans="1:20" s="2" customFormat="1" x14ac:dyDescent="0.3">
      <c r="A466" s="298" t="s">
        <v>252</v>
      </c>
      <c r="B466" s="300" t="s">
        <v>1118</v>
      </c>
      <c r="C466" s="302" t="s">
        <v>94</v>
      </c>
      <c r="D466" s="303">
        <v>2.09</v>
      </c>
      <c r="E466" s="356">
        <v>40.54</v>
      </c>
      <c r="F466" s="356">
        <f t="shared" si="959"/>
        <v>84.73</v>
      </c>
      <c r="G466" s="278">
        <v>0</v>
      </c>
      <c r="H466" s="240">
        <f t="shared" si="982"/>
        <v>0</v>
      </c>
      <c r="I466" s="241">
        <f t="shared" si="983"/>
        <v>0</v>
      </c>
      <c r="J466" s="419">
        <f>+D466</f>
        <v>2.09</v>
      </c>
      <c r="K466" s="242">
        <f t="shared" si="984"/>
        <v>84.728599999999986</v>
      </c>
      <c r="L466" s="243">
        <f t="shared" si="985"/>
        <v>1</v>
      </c>
      <c r="M466" s="240">
        <f t="shared" si="852"/>
        <v>2.09</v>
      </c>
      <c r="N466" s="240">
        <f t="shared" si="986"/>
        <v>84.728599999999986</v>
      </c>
      <c r="O466" s="244">
        <f t="shared" si="987"/>
        <v>1</v>
      </c>
      <c r="P466" s="211">
        <f t="shared" si="988"/>
        <v>0</v>
      </c>
      <c r="Q466" s="212">
        <f t="shared" si="989"/>
        <v>0</v>
      </c>
      <c r="R466" s="213">
        <f t="shared" si="990"/>
        <v>0</v>
      </c>
      <c r="S466" s="204">
        <f t="shared" si="980"/>
        <v>84.728599999999986</v>
      </c>
      <c r="T466" s="204">
        <f t="shared" si="981"/>
        <v>1.4000000000180535E-3</v>
      </c>
    </row>
    <row r="467" spans="1:20" s="2" customFormat="1" x14ac:dyDescent="0.3">
      <c r="A467" s="298" t="s">
        <v>253</v>
      </c>
      <c r="B467" s="300" t="s">
        <v>1119</v>
      </c>
      <c r="C467" s="302" t="s">
        <v>89</v>
      </c>
      <c r="D467" s="303">
        <v>3</v>
      </c>
      <c r="E467" s="356">
        <v>31.35</v>
      </c>
      <c r="F467" s="356">
        <f t="shared" si="959"/>
        <v>94.05</v>
      </c>
      <c r="G467" s="278">
        <v>0</v>
      </c>
      <c r="H467" s="240">
        <f t="shared" si="982"/>
        <v>0</v>
      </c>
      <c r="I467" s="241">
        <f t="shared" si="983"/>
        <v>0</v>
      </c>
      <c r="J467" s="419">
        <f>+D467</f>
        <v>3</v>
      </c>
      <c r="K467" s="242">
        <f t="shared" si="984"/>
        <v>94.050000000000011</v>
      </c>
      <c r="L467" s="243">
        <f t="shared" si="985"/>
        <v>1</v>
      </c>
      <c r="M467" s="240">
        <f t="shared" ref="M467:M530" si="991">+G467+J467</f>
        <v>3</v>
      </c>
      <c r="N467" s="240">
        <f t="shared" si="986"/>
        <v>94.050000000000011</v>
      </c>
      <c r="O467" s="244">
        <f t="shared" si="987"/>
        <v>1</v>
      </c>
      <c r="P467" s="211">
        <f t="shared" si="988"/>
        <v>0</v>
      </c>
      <c r="Q467" s="212">
        <f t="shared" si="989"/>
        <v>0</v>
      </c>
      <c r="R467" s="213">
        <f t="shared" si="990"/>
        <v>0</v>
      </c>
      <c r="S467" s="204">
        <f t="shared" si="980"/>
        <v>94.050000000000011</v>
      </c>
      <c r="T467" s="204">
        <f t="shared" si="981"/>
        <v>0</v>
      </c>
    </row>
    <row r="468" spans="1:20" s="2" customFormat="1" x14ac:dyDescent="0.3">
      <c r="A468" s="298" t="s">
        <v>689</v>
      </c>
      <c r="B468" s="300" t="s">
        <v>1120</v>
      </c>
      <c r="C468" s="302" t="s">
        <v>89</v>
      </c>
      <c r="D468" s="303">
        <v>1</v>
      </c>
      <c r="E468" s="356">
        <v>37.79</v>
      </c>
      <c r="F468" s="356">
        <f t="shared" si="959"/>
        <v>37.79</v>
      </c>
      <c r="G468" s="278">
        <v>0</v>
      </c>
      <c r="H468" s="240">
        <f t="shared" si="982"/>
        <v>0</v>
      </c>
      <c r="I468" s="241">
        <f t="shared" si="983"/>
        <v>0</v>
      </c>
      <c r="J468" s="419">
        <f>+D468</f>
        <v>1</v>
      </c>
      <c r="K468" s="242">
        <f t="shared" si="984"/>
        <v>37.79</v>
      </c>
      <c r="L468" s="243">
        <f t="shared" si="985"/>
        <v>1</v>
      </c>
      <c r="M468" s="240">
        <f t="shared" si="991"/>
        <v>1</v>
      </c>
      <c r="N468" s="240">
        <f t="shared" si="986"/>
        <v>37.79</v>
      </c>
      <c r="O468" s="244">
        <f t="shared" si="987"/>
        <v>1</v>
      </c>
      <c r="P468" s="211">
        <f t="shared" si="988"/>
        <v>0</v>
      </c>
      <c r="Q468" s="212">
        <f t="shared" si="989"/>
        <v>0</v>
      </c>
      <c r="R468" s="213">
        <f t="shared" si="990"/>
        <v>0</v>
      </c>
      <c r="S468" s="204">
        <f t="shared" si="980"/>
        <v>37.79</v>
      </c>
      <c r="T468" s="204">
        <f t="shared" si="981"/>
        <v>0</v>
      </c>
    </row>
    <row r="469" spans="1:20" s="2" customFormat="1" x14ac:dyDescent="0.3">
      <c r="A469" s="298" t="s">
        <v>690</v>
      </c>
      <c r="B469" s="300" t="s">
        <v>837</v>
      </c>
      <c r="C469" s="302" t="s">
        <v>93</v>
      </c>
      <c r="D469" s="303">
        <v>0.14000000000000001</v>
      </c>
      <c r="E469" s="356">
        <v>31.34</v>
      </c>
      <c r="F469" s="356">
        <f t="shared" si="959"/>
        <v>4.3899999999999997</v>
      </c>
      <c r="G469" s="278">
        <v>0</v>
      </c>
      <c r="H469" s="240">
        <f t="shared" si="982"/>
        <v>0</v>
      </c>
      <c r="I469" s="241">
        <f t="shared" si="983"/>
        <v>0</v>
      </c>
      <c r="J469" s="419">
        <f>+D469</f>
        <v>0.14000000000000001</v>
      </c>
      <c r="K469" s="242">
        <f t="shared" si="984"/>
        <v>4.3876000000000008</v>
      </c>
      <c r="L469" s="243">
        <f t="shared" si="985"/>
        <v>1</v>
      </c>
      <c r="M469" s="240">
        <f t="shared" si="991"/>
        <v>0.14000000000000001</v>
      </c>
      <c r="N469" s="240">
        <f t="shared" si="986"/>
        <v>4.3876000000000008</v>
      </c>
      <c r="O469" s="244">
        <f t="shared" si="987"/>
        <v>1</v>
      </c>
      <c r="P469" s="211">
        <f t="shared" si="988"/>
        <v>0</v>
      </c>
      <c r="Q469" s="212">
        <f t="shared" si="989"/>
        <v>0</v>
      </c>
      <c r="R469" s="213">
        <f t="shared" si="990"/>
        <v>0</v>
      </c>
      <c r="S469" s="204">
        <f t="shared" si="980"/>
        <v>4.3876000000000008</v>
      </c>
      <c r="T469" s="204">
        <f t="shared" si="981"/>
        <v>2.3999999999988475E-3</v>
      </c>
    </row>
    <row r="470" spans="1:20" s="2" customFormat="1" x14ac:dyDescent="0.3">
      <c r="A470" s="317" t="s">
        <v>289</v>
      </c>
      <c r="B470" s="316" t="s">
        <v>281</v>
      </c>
      <c r="C470" s="318" t="s">
        <v>160</v>
      </c>
      <c r="D470" s="319"/>
      <c r="E470" s="343"/>
      <c r="F470" s="344">
        <f>+F537+F471</f>
        <v>44777.75</v>
      </c>
      <c r="G470" s="308"/>
      <c r="H470" s="309" t="s">
        <v>110</v>
      </c>
      <c r="I470" s="323" t="s">
        <v>110</v>
      </c>
      <c r="J470" s="419"/>
      <c r="K470" s="309" t="s">
        <v>110</v>
      </c>
      <c r="L470" s="324" t="s">
        <v>110</v>
      </c>
      <c r="M470" s="309"/>
      <c r="N470" s="309" t="s">
        <v>110</v>
      </c>
      <c r="O470" s="324" t="s">
        <v>110</v>
      </c>
      <c r="P470" s="326" t="s">
        <v>110</v>
      </c>
      <c r="Q470" s="309" t="s">
        <v>110</v>
      </c>
      <c r="R470" s="324" t="s">
        <v>110</v>
      </c>
      <c r="S470" s="204" t="e">
        <f t="shared" si="980"/>
        <v>#VALUE!</v>
      </c>
      <c r="T470" s="204" t="e">
        <f t="shared" ref="T470:T473" si="992">F470-S470</f>
        <v>#VALUE!</v>
      </c>
    </row>
    <row r="471" spans="1:20" s="2" customFormat="1" x14ac:dyDescent="0.3">
      <c r="A471" s="304" t="s">
        <v>290</v>
      </c>
      <c r="B471" s="312" t="s">
        <v>766</v>
      </c>
      <c r="C471" s="320" t="s">
        <v>160</v>
      </c>
      <c r="D471" s="321"/>
      <c r="E471" s="345"/>
      <c r="F471" s="346">
        <f>+F472+F476+F489+F496+F501+F511+F522+F527+F529+F531+F535</f>
        <v>37310.21</v>
      </c>
      <c r="G471" s="308"/>
      <c r="H471" s="309" t="s">
        <v>110</v>
      </c>
      <c r="I471" s="323" t="s">
        <v>110</v>
      </c>
      <c r="J471" s="419"/>
      <c r="K471" s="309" t="s">
        <v>110</v>
      </c>
      <c r="L471" s="324" t="s">
        <v>110</v>
      </c>
      <c r="M471" s="309"/>
      <c r="N471" s="309" t="s">
        <v>110</v>
      </c>
      <c r="O471" s="324" t="s">
        <v>110</v>
      </c>
      <c r="P471" s="326" t="s">
        <v>110</v>
      </c>
      <c r="Q471" s="309" t="s">
        <v>110</v>
      </c>
      <c r="R471" s="324" t="s">
        <v>110</v>
      </c>
      <c r="S471" s="204" t="e">
        <f t="shared" si="980"/>
        <v>#VALUE!</v>
      </c>
      <c r="T471" s="204" t="e">
        <f t="shared" si="992"/>
        <v>#VALUE!</v>
      </c>
    </row>
    <row r="472" spans="1:20" s="2" customFormat="1" x14ac:dyDescent="0.3">
      <c r="A472" s="304" t="s">
        <v>291</v>
      </c>
      <c r="B472" s="305" t="s">
        <v>1121</v>
      </c>
      <c r="C472" s="306" t="s">
        <v>160</v>
      </c>
      <c r="D472" s="307"/>
      <c r="E472" s="347"/>
      <c r="F472" s="348">
        <f>SUM(F473:F475)</f>
        <v>332.25</v>
      </c>
      <c r="G472" s="308"/>
      <c r="H472" s="309" t="s">
        <v>110</v>
      </c>
      <c r="I472" s="323" t="s">
        <v>110</v>
      </c>
      <c r="J472" s="419"/>
      <c r="K472" s="309" t="s">
        <v>110</v>
      </c>
      <c r="L472" s="324" t="s">
        <v>110</v>
      </c>
      <c r="M472" s="309"/>
      <c r="N472" s="309" t="s">
        <v>110</v>
      </c>
      <c r="O472" s="324" t="s">
        <v>110</v>
      </c>
      <c r="P472" s="326" t="s">
        <v>110</v>
      </c>
      <c r="Q472" s="309" t="s">
        <v>110</v>
      </c>
      <c r="R472" s="324" t="s">
        <v>110</v>
      </c>
      <c r="S472" s="204" t="e">
        <f t="shared" si="980"/>
        <v>#VALUE!</v>
      </c>
      <c r="T472" s="204" t="e">
        <f t="shared" si="992"/>
        <v>#VALUE!</v>
      </c>
    </row>
    <row r="473" spans="1:20" s="2" customFormat="1" x14ac:dyDescent="0.3">
      <c r="A473" s="298" t="s">
        <v>254</v>
      </c>
      <c r="B473" s="300" t="s">
        <v>1122</v>
      </c>
      <c r="C473" s="302" t="s">
        <v>89</v>
      </c>
      <c r="D473" s="303">
        <v>2</v>
      </c>
      <c r="E473" s="358">
        <v>51.2</v>
      </c>
      <c r="F473" s="358">
        <f>+ROUND((D473*E473),2)</f>
        <v>102.4</v>
      </c>
      <c r="G473" s="278">
        <v>2</v>
      </c>
      <c r="H473" s="240">
        <f t="shared" ref="H473" si="993">G473*E473</f>
        <v>102.4</v>
      </c>
      <c r="I473" s="241">
        <f t="shared" ref="I473" si="994">+G473/D473</f>
        <v>1</v>
      </c>
      <c r="J473" s="419"/>
      <c r="K473" s="242">
        <f t="shared" ref="K473" si="995">J473*E473</f>
        <v>0</v>
      </c>
      <c r="L473" s="243">
        <f t="shared" ref="L473" si="996">+J473/D473</f>
        <v>0</v>
      </c>
      <c r="M473" s="240">
        <f t="shared" si="991"/>
        <v>2</v>
      </c>
      <c r="N473" s="240">
        <f t="shared" ref="N473" si="997">M473*E473</f>
        <v>102.4</v>
      </c>
      <c r="O473" s="244">
        <f t="shared" ref="O473" si="998">+M473/D473</f>
        <v>1</v>
      </c>
      <c r="P473" s="211">
        <f t="shared" ref="P473" si="999">+D473-M473</f>
        <v>0</v>
      </c>
      <c r="Q473" s="212">
        <f t="shared" ref="Q473" si="1000">P473*E473</f>
        <v>0</v>
      </c>
      <c r="R473" s="213">
        <f t="shared" ref="R473" si="1001">+P473/D473</f>
        <v>0</v>
      </c>
      <c r="S473" s="204">
        <f t="shared" si="980"/>
        <v>102.4</v>
      </c>
      <c r="T473" s="204">
        <f t="shared" si="992"/>
        <v>0</v>
      </c>
    </row>
    <row r="474" spans="1:20" s="2" customFormat="1" ht="18" customHeight="1" x14ac:dyDescent="0.3">
      <c r="A474" s="298" t="s">
        <v>255</v>
      </c>
      <c r="B474" s="300" t="s">
        <v>1123</v>
      </c>
      <c r="C474" s="302" t="s">
        <v>89</v>
      </c>
      <c r="D474" s="303">
        <v>3</v>
      </c>
      <c r="E474" s="358">
        <v>54.01</v>
      </c>
      <c r="F474" s="358">
        <f>+ROUND((D474*E474),2)</f>
        <v>162.03</v>
      </c>
      <c r="G474" s="278">
        <v>3</v>
      </c>
      <c r="H474" s="240">
        <f t="shared" ref="H474:H475" si="1002">G474*E474</f>
        <v>162.03</v>
      </c>
      <c r="I474" s="241">
        <f t="shared" ref="I474:I475" si="1003">+G474/D474</f>
        <v>1</v>
      </c>
      <c r="J474" s="421"/>
      <c r="K474" s="242">
        <f t="shared" ref="K474:K475" si="1004">J474*E474</f>
        <v>0</v>
      </c>
      <c r="L474" s="243">
        <f t="shared" ref="L474:L475" si="1005">+J474/D474</f>
        <v>0</v>
      </c>
      <c r="M474" s="240">
        <f t="shared" si="991"/>
        <v>3</v>
      </c>
      <c r="N474" s="240">
        <f t="shared" ref="N474:N475" si="1006">M474*E474</f>
        <v>162.03</v>
      </c>
      <c r="O474" s="244">
        <f t="shared" ref="O474:O475" si="1007">+M474/D474</f>
        <v>1</v>
      </c>
      <c r="P474" s="211">
        <f t="shared" ref="P474:P475" si="1008">+D474-M474</f>
        <v>0</v>
      </c>
      <c r="Q474" s="212">
        <f t="shared" ref="Q474:Q475" si="1009">P474*E474</f>
        <v>0</v>
      </c>
      <c r="R474" s="213">
        <f t="shared" ref="R474:R475" si="1010">+P474/D474</f>
        <v>0</v>
      </c>
      <c r="S474" s="204">
        <f t="shared" ref="S474:S487" si="1011">N474+Q474</f>
        <v>162.03</v>
      </c>
      <c r="T474" s="204">
        <f t="shared" ref="T474:T487" si="1012">F474-S474</f>
        <v>0</v>
      </c>
    </row>
    <row r="475" spans="1:20" s="2" customFormat="1" x14ac:dyDescent="0.3">
      <c r="A475" s="298" t="s">
        <v>256</v>
      </c>
      <c r="B475" s="300" t="s">
        <v>1124</v>
      </c>
      <c r="C475" s="302" t="s">
        <v>89</v>
      </c>
      <c r="D475" s="303">
        <v>1</v>
      </c>
      <c r="E475" s="356">
        <v>67.819999999999993</v>
      </c>
      <c r="F475" s="356">
        <f>+ROUND((D475*E475),2)</f>
        <v>67.819999999999993</v>
      </c>
      <c r="G475" s="278">
        <v>1</v>
      </c>
      <c r="H475" s="240">
        <f t="shared" si="1002"/>
        <v>67.819999999999993</v>
      </c>
      <c r="I475" s="241">
        <f t="shared" si="1003"/>
        <v>1</v>
      </c>
      <c r="J475" s="421"/>
      <c r="K475" s="242">
        <f t="shared" si="1004"/>
        <v>0</v>
      </c>
      <c r="L475" s="243">
        <f t="shared" si="1005"/>
        <v>0</v>
      </c>
      <c r="M475" s="240">
        <f t="shared" si="991"/>
        <v>1</v>
      </c>
      <c r="N475" s="240">
        <f t="shared" si="1006"/>
        <v>67.819999999999993</v>
      </c>
      <c r="O475" s="244">
        <f t="shared" si="1007"/>
        <v>1</v>
      </c>
      <c r="P475" s="211">
        <f t="shared" si="1008"/>
        <v>0</v>
      </c>
      <c r="Q475" s="212">
        <f t="shared" si="1009"/>
        <v>0</v>
      </c>
      <c r="R475" s="213">
        <f t="shared" si="1010"/>
        <v>0</v>
      </c>
      <c r="S475" s="204">
        <f t="shared" si="1011"/>
        <v>67.819999999999993</v>
      </c>
      <c r="T475" s="204">
        <f t="shared" si="1012"/>
        <v>0</v>
      </c>
    </row>
    <row r="476" spans="1:20" s="2" customFormat="1" x14ac:dyDescent="0.3">
      <c r="A476" s="304" t="s">
        <v>292</v>
      </c>
      <c r="B476" s="305" t="s">
        <v>1125</v>
      </c>
      <c r="C476" s="320" t="s">
        <v>160</v>
      </c>
      <c r="D476" s="321"/>
      <c r="E476" s="347"/>
      <c r="F476" s="348">
        <f>+F477+F479+F483+F486</f>
        <v>3534.68</v>
      </c>
      <c r="G476" s="308"/>
      <c r="H476" s="309" t="s">
        <v>110</v>
      </c>
      <c r="I476" s="323" t="s">
        <v>110</v>
      </c>
      <c r="J476" s="419"/>
      <c r="K476" s="309" t="s">
        <v>110</v>
      </c>
      <c r="L476" s="324" t="s">
        <v>110</v>
      </c>
      <c r="M476" s="309"/>
      <c r="N476" s="309" t="s">
        <v>110</v>
      </c>
      <c r="O476" s="324" t="s">
        <v>110</v>
      </c>
      <c r="P476" s="326" t="s">
        <v>110</v>
      </c>
      <c r="Q476" s="309" t="s">
        <v>110</v>
      </c>
      <c r="R476" s="324" t="s">
        <v>110</v>
      </c>
      <c r="S476" s="204" t="e">
        <f t="shared" si="1011"/>
        <v>#VALUE!</v>
      </c>
      <c r="T476" s="204" t="e">
        <f t="shared" si="1012"/>
        <v>#VALUE!</v>
      </c>
    </row>
    <row r="477" spans="1:20" s="2" customFormat="1" x14ac:dyDescent="0.3">
      <c r="A477" s="304" t="s">
        <v>257</v>
      </c>
      <c r="B477" s="305" t="s">
        <v>1126</v>
      </c>
      <c r="C477" s="320" t="s">
        <v>160</v>
      </c>
      <c r="D477" s="321"/>
      <c r="E477" s="349"/>
      <c r="F477" s="350">
        <f>+F478</f>
        <v>2293.11</v>
      </c>
      <c r="G477" s="308"/>
      <c r="H477" s="309" t="s">
        <v>110</v>
      </c>
      <c r="I477" s="323" t="s">
        <v>110</v>
      </c>
      <c r="J477" s="419"/>
      <c r="K477" s="309" t="s">
        <v>110</v>
      </c>
      <c r="L477" s="324" t="s">
        <v>110</v>
      </c>
      <c r="M477" s="309"/>
      <c r="N477" s="309" t="s">
        <v>110</v>
      </c>
      <c r="O477" s="324" t="s">
        <v>110</v>
      </c>
      <c r="P477" s="326" t="s">
        <v>110</v>
      </c>
      <c r="Q477" s="309" t="s">
        <v>110</v>
      </c>
      <c r="R477" s="324" t="s">
        <v>110</v>
      </c>
      <c r="S477" s="204" t="e">
        <f t="shared" si="1011"/>
        <v>#VALUE!</v>
      </c>
      <c r="T477" s="204" t="e">
        <f t="shared" si="1012"/>
        <v>#VALUE!</v>
      </c>
    </row>
    <row r="478" spans="1:20" s="2" customFormat="1" x14ac:dyDescent="0.3">
      <c r="A478" s="298" t="s">
        <v>691</v>
      </c>
      <c r="B478" s="300" t="s">
        <v>1127</v>
      </c>
      <c r="C478" s="302" t="s">
        <v>275</v>
      </c>
      <c r="D478" s="303">
        <v>27</v>
      </c>
      <c r="E478" s="356">
        <v>84.93</v>
      </c>
      <c r="F478" s="356">
        <f>+ROUND((D478*E478),2)</f>
        <v>2293.11</v>
      </c>
      <c r="G478" s="278">
        <v>27</v>
      </c>
      <c r="H478" s="240">
        <f t="shared" ref="H478" si="1013">G478*E478</f>
        <v>2293.11</v>
      </c>
      <c r="I478" s="241">
        <f t="shared" ref="I478" si="1014">+G478/D478</f>
        <v>1</v>
      </c>
      <c r="J478" s="419"/>
      <c r="K478" s="242">
        <f t="shared" ref="K478" si="1015">J478*E478</f>
        <v>0</v>
      </c>
      <c r="L478" s="243">
        <f t="shared" ref="L478" si="1016">+J478/D478</f>
        <v>0</v>
      </c>
      <c r="M478" s="240">
        <f t="shared" si="991"/>
        <v>27</v>
      </c>
      <c r="N478" s="240">
        <f t="shared" ref="N478" si="1017">M478*E478</f>
        <v>2293.11</v>
      </c>
      <c r="O478" s="244">
        <f t="shared" ref="O478" si="1018">+M478/D478</f>
        <v>1</v>
      </c>
      <c r="P478" s="211">
        <f t="shared" ref="P478" si="1019">+D478-M478</f>
        <v>0</v>
      </c>
      <c r="Q478" s="212">
        <f t="shared" ref="Q478" si="1020">P478*E478</f>
        <v>0</v>
      </c>
      <c r="R478" s="213">
        <f t="shared" ref="R478" si="1021">+P478/D478</f>
        <v>0</v>
      </c>
      <c r="S478" s="204">
        <f t="shared" si="1011"/>
        <v>2293.11</v>
      </c>
      <c r="T478" s="204">
        <f t="shared" si="1012"/>
        <v>0</v>
      </c>
    </row>
    <row r="479" spans="1:20" s="2" customFormat="1" x14ac:dyDescent="0.3">
      <c r="A479" s="304" t="s">
        <v>258</v>
      </c>
      <c r="B479" s="305" t="s">
        <v>1128</v>
      </c>
      <c r="C479" s="320" t="s">
        <v>160</v>
      </c>
      <c r="D479" s="321"/>
      <c r="E479" s="349"/>
      <c r="F479" s="350">
        <f>SUM(F480:F482)</f>
        <v>685.85</v>
      </c>
      <c r="G479" s="308"/>
      <c r="H479" s="309" t="s">
        <v>110</v>
      </c>
      <c r="I479" s="323" t="s">
        <v>110</v>
      </c>
      <c r="J479" s="419"/>
      <c r="K479" s="309" t="s">
        <v>110</v>
      </c>
      <c r="L479" s="324" t="s">
        <v>110</v>
      </c>
      <c r="M479" s="309"/>
      <c r="N479" s="309" t="s">
        <v>110</v>
      </c>
      <c r="O479" s="324" t="s">
        <v>110</v>
      </c>
      <c r="P479" s="326" t="s">
        <v>110</v>
      </c>
      <c r="Q479" s="309" t="s">
        <v>110</v>
      </c>
      <c r="R479" s="324" t="s">
        <v>110</v>
      </c>
      <c r="S479" s="204" t="e">
        <f t="shared" si="1011"/>
        <v>#VALUE!</v>
      </c>
      <c r="T479" s="204" t="e">
        <f t="shared" si="1012"/>
        <v>#VALUE!</v>
      </c>
    </row>
    <row r="480" spans="1:20" s="2" customFormat="1" x14ac:dyDescent="0.3">
      <c r="A480" s="298" t="s">
        <v>692</v>
      </c>
      <c r="B480" s="300" t="s">
        <v>1129</v>
      </c>
      <c r="C480" s="302" t="s">
        <v>275</v>
      </c>
      <c r="D480" s="303">
        <v>5</v>
      </c>
      <c r="E480" s="356">
        <v>57.41</v>
      </c>
      <c r="F480" s="356">
        <f t="shared" ref="F480:F495" si="1022">+ROUND((D480*E480),2)</f>
        <v>287.05</v>
      </c>
      <c r="G480" s="278">
        <v>5</v>
      </c>
      <c r="H480" s="240">
        <f t="shared" ref="H480:H485" si="1023">G480*E480</f>
        <v>287.04999999999995</v>
      </c>
      <c r="I480" s="241">
        <f t="shared" ref="I480:I485" si="1024">+G480/D480</f>
        <v>1</v>
      </c>
      <c r="J480" s="419"/>
      <c r="K480" s="242">
        <f t="shared" ref="K480:K485" si="1025">J480*E480</f>
        <v>0</v>
      </c>
      <c r="L480" s="243">
        <f t="shared" ref="L480:L485" si="1026">+J480/D480</f>
        <v>0</v>
      </c>
      <c r="M480" s="240">
        <f t="shared" si="991"/>
        <v>5</v>
      </c>
      <c r="N480" s="240">
        <f t="shared" ref="N480:N485" si="1027">M480*E480</f>
        <v>287.04999999999995</v>
      </c>
      <c r="O480" s="244">
        <f t="shared" ref="O480:O485" si="1028">+M480/D480</f>
        <v>1</v>
      </c>
      <c r="P480" s="211">
        <f t="shared" ref="P480:P485" si="1029">+D480-M480</f>
        <v>0</v>
      </c>
      <c r="Q480" s="212">
        <f t="shared" ref="Q480:Q485" si="1030">P480*E480</f>
        <v>0</v>
      </c>
      <c r="R480" s="213">
        <f t="shared" ref="R480:R485" si="1031">+P480/D480</f>
        <v>0</v>
      </c>
      <c r="S480" s="204">
        <f t="shared" si="1011"/>
        <v>287.04999999999995</v>
      </c>
      <c r="T480" s="204">
        <f t="shared" si="1012"/>
        <v>0</v>
      </c>
    </row>
    <row r="481" spans="1:20" s="70" customFormat="1" x14ac:dyDescent="0.3">
      <c r="A481" s="298" t="s">
        <v>693</v>
      </c>
      <c r="B481" s="300" t="s">
        <v>1130</v>
      </c>
      <c r="C481" s="302" t="s">
        <v>275</v>
      </c>
      <c r="D481" s="303">
        <v>2</v>
      </c>
      <c r="E481" s="356">
        <v>79.760000000000005</v>
      </c>
      <c r="F481" s="356">
        <f t="shared" si="1022"/>
        <v>159.52000000000001</v>
      </c>
      <c r="G481" s="278">
        <v>2</v>
      </c>
      <c r="H481" s="240">
        <f t="shared" si="1023"/>
        <v>159.52000000000001</v>
      </c>
      <c r="I481" s="241">
        <f t="shared" si="1024"/>
        <v>1</v>
      </c>
      <c r="J481" s="419"/>
      <c r="K481" s="242">
        <f t="shared" si="1025"/>
        <v>0</v>
      </c>
      <c r="L481" s="243">
        <f t="shared" si="1026"/>
        <v>0</v>
      </c>
      <c r="M481" s="240">
        <f t="shared" si="991"/>
        <v>2</v>
      </c>
      <c r="N481" s="240">
        <f t="shared" si="1027"/>
        <v>159.52000000000001</v>
      </c>
      <c r="O481" s="244">
        <f t="shared" si="1028"/>
        <v>1</v>
      </c>
      <c r="P481" s="211">
        <f t="shared" si="1029"/>
        <v>0</v>
      </c>
      <c r="Q481" s="212">
        <f t="shared" si="1030"/>
        <v>0</v>
      </c>
      <c r="R481" s="213">
        <f t="shared" si="1031"/>
        <v>0</v>
      </c>
      <c r="S481" s="204">
        <f t="shared" si="1011"/>
        <v>159.52000000000001</v>
      </c>
      <c r="T481" s="204">
        <f t="shared" si="1012"/>
        <v>0</v>
      </c>
    </row>
    <row r="482" spans="1:20" s="70" customFormat="1" x14ac:dyDescent="0.3">
      <c r="A482" s="298" t="s">
        <v>694</v>
      </c>
      <c r="B482" s="300" t="s">
        <v>1131</v>
      </c>
      <c r="C482" s="302" t="s">
        <v>275</v>
      </c>
      <c r="D482" s="303">
        <v>3</v>
      </c>
      <c r="E482" s="356">
        <v>79.760000000000005</v>
      </c>
      <c r="F482" s="356">
        <f t="shared" si="1022"/>
        <v>239.28</v>
      </c>
      <c r="G482" s="278">
        <v>3</v>
      </c>
      <c r="H482" s="240">
        <f t="shared" si="1023"/>
        <v>239.28000000000003</v>
      </c>
      <c r="I482" s="241">
        <f t="shared" si="1024"/>
        <v>1</v>
      </c>
      <c r="J482" s="419"/>
      <c r="K482" s="242">
        <f t="shared" si="1025"/>
        <v>0</v>
      </c>
      <c r="L482" s="243">
        <f t="shared" si="1026"/>
        <v>0</v>
      </c>
      <c r="M482" s="240">
        <f t="shared" si="991"/>
        <v>3</v>
      </c>
      <c r="N482" s="240">
        <f t="shared" si="1027"/>
        <v>239.28000000000003</v>
      </c>
      <c r="O482" s="244">
        <f t="shared" si="1028"/>
        <v>1</v>
      </c>
      <c r="P482" s="211">
        <f t="shared" si="1029"/>
        <v>0</v>
      </c>
      <c r="Q482" s="212">
        <f t="shared" si="1030"/>
        <v>0</v>
      </c>
      <c r="R482" s="213">
        <f t="shared" si="1031"/>
        <v>0</v>
      </c>
      <c r="S482" s="204">
        <f t="shared" si="1011"/>
        <v>239.28000000000003</v>
      </c>
      <c r="T482" s="204">
        <f t="shared" si="1012"/>
        <v>0</v>
      </c>
    </row>
    <row r="483" spans="1:20" s="70" customFormat="1" x14ac:dyDescent="0.3">
      <c r="A483" s="304" t="s">
        <v>259</v>
      </c>
      <c r="B483" s="305" t="s">
        <v>1132</v>
      </c>
      <c r="C483" s="320" t="s">
        <v>160</v>
      </c>
      <c r="D483" s="321"/>
      <c r="E483" s="349"/>
      <c r="F483" s="350">
        <f>SUM(F484:F485)</f>
        <v>356</v>
      </c>
      <c r="G483" s="308"/>
      <c r="H483" s="309" t="s">
        <v>110</v>
      </c>
      <c r="I483" s="323" t="s">
        <v>110</v>
      </c>
      <c r="J483" s="419"/>
      <c r="K483" s="309" t="s">
        <v>110</v>
      </c>
      <c r="L483" s="324" t="s">
        <v>110</v>
      </c>
      <c r="M483" s="309"/>
      <c r="N483" s="309" t="s">
        <v>110</v>
      </c>
      <c r="O483" s="324" t="s">
        <v>110</v>
      </c>
      <c r="P483" s="326" t="s">
        <v>110</v>
      </c>
      <c r="Q483" s="309" t="s">
        <v>110</v>
      </c>
      <c r="R483" s="324" t="s">
        <v>110</v>
      </c>
      <c r="S483" s="204" t="e">
        <f t="shared" si="1011"/>
        <v>#VALUE!</v>
      </c>
      <c r="T483" s="204" t="e">
        <f t="shared" si="1012"/>
        <v>#VALUE!</v>
      </c>
    </row>
    <row r="484" spans="1:20" s="2" customFormat="1" x14ac:dyDescent="0.3">
      <c r="A484" s="298" t="s">
        <v>695</v>
      </c>
      <c r="B484" s="300" t="s">
        <v>1133</v>
      </c>
      <c r="C484" s="302" t="s">
        <v>275</v>
      </c>
      <c r="D484" s="303">
        <v>4</v>
      </c>
      <c r="E484" s="356">
        <v>43.6</v>
      </c>
      <c r="F484" s="356">
        <f t="shared" si="1022"/>
        <v>174.4</v>
      </c>
      <c r="G484" s="278">
        <v>4</v>
      </c>
      <c r="H484" s="240">
        <f t="shared" si="1023"/>
        <v>174.4</v>
      </c>
      <c r="I484" s="241">
        <f t="shared" si="1024"/>
        <v>1</v>
      </c>
      <c r="J484" s="419"/>
      <c r="K484" s="242">
        <f t="shared" si="1025"/>
        <v>0</v>
      </c>
      <c r="L484" s="243">
        <f t="shared" si="1026"/>
        <v>0</v>
      </c>
      <c r="M484" s="240">
        <f t="shared" si="991"/>
        <v>4</v>
      </c>
      <c r="N484" s="240">
        <f t="shared" si="1027"/>
        <v>174.4</v>
      </c>
      <c r="O484" s="244">
        <f t="shared" si="1028"/>
        <v>1</v>
      </c>
      <c r="P484" s="211">
        <f t="shared" si="1029"/>
        <v>0</v>
      </c>
      <c r="Q484" s="212">
        <f t="shared" si="1030"/>
        <v>0</v>
      </c>
      <c r="R484" s="213">
        <f t="shared" si="1031"/>
        <v>0</v>
      </c>
      <c r="S484" s="204">
        <f t="shared" si="1011"/>
        <v>174.4</v>
      </c>
      <c r="T484" s="204">
        <f t="shared" si="1012"/>
        <v>0</v>
      </c>
    </row>
    <row r="485" spans="1:20" s="2" customFormat="1" x14ac:dyDescent="0.3">
      <c r="A485" s="298" t="s">
        <v>696</v>
      </c>
      <c r="B485" s="300" t="s">
        <v>1134</v>
      </c>
      <c r="C485" s="302" t="s">
        <v>275</v>
      </c>
      <c r="D485" s="303">
        <v>4</v>
      </c>
      <c r="E485" s="356">
        <v>45.4</v>
      </c>
      <c r="F485" s="356">
        <f t="shared" si="1022"/>
        <v>181.6</v>
      </c>
      <c r="G485" s="278">
        <v>4</v>
      </c>
      <c r="H485" s="240">
        <f t="shared" si="1023"/>
        <v>181.6</v>
      </c>
      <c r="I485" s="241">
        <f t="shared" si="1024"/>
        <v>1</v>
      </c>
      <c r="J485" s="419"/>
      <c r="K485" s="242">
        <f t="shared" si="1025"/>
        <v>0</v>
      </c>
      <c r="L485" s="243">
        <f t="shared" si="1026"/>
        <v>0</v>
      </c>
      <c r="M485" s="240">
        <f t="shared" si="991"/>
        <v>4</v>
      </c>
      <c r="N485" s="240">
        <f t="shared" si="1027"/>
        <v>181.6</v>
      </c>
      <c r="O485" s="244">
        <f t="shared" si="1028"/>
        <v>1</v>
      </c>
      <c r="P485" s="211">
        <f t="shared" si="1029"/>
        <v>0</v>
      </c>
      <c r="Q485" s="212">
        <f t="shared" si="1030"/>
        <v>0</v>
      </c>
      <c r="R485" s="213">
        <f t="shared" si="1031"/>
        <v>0</v>
      </c>
      <c r="S485" s="204">
        <f t="shared" si="1011"/>
        <v>181.6</v>
      </c>
      <c r="T485" s="204">
        <f t="shared" si="1012"/>
        <v>0</v>
      </c>
    </row>
    <row r="486" spans="1:20" s="2" customFormat="1" x14ac:dyDescent="0.3">
      <c r="A486" s="304" t="s">
        <v>260</v>
      </c>
      <c r="B486" s="305" t="s">
        <v>273</v>
      </c>
      <c r="C486" s="320" t="s">
        <v>160</v>
      </c>
      <c r="D486" s="321"/>
      <c r="E486" s="349"/>
      <c r="F486" s="350">
        <f>SUM(F487:F488)</f>
        <v>199.72</v>
      </c>
      <c r="G486" s="308"/>
      <c r="H486" s="309" t="s">
        <v>110</v>
      </c>
      <c r="I486" s="323" t="s">
        <v>110</v>
      </c>
      <c r="J486" s="419"/>
      <c r="K486" s="309" t="s">
        <v>110</v>
      </c>
      <c r="L486" s="324" t="s">
        <v>110</v>
      </c>
      <c r="M486" s="309"/>
      <c r="N486" s="309" t="s">
        <v>110</v>
      </c>
      <c r="O486" s="324" t="s">
        <v>110</v>
      </c>
      <c r="P486" s="326" t="s">
        <v>110</v>
      </c>
      <c r="Q486" s="309" t="s">
        <v>110</v>
      </c>
      <c r="R486" s="324" t="s">
        <v>110</v>
      </c>
      <c r="S486" s="204" t="e">
        <f t="shared" si="1011"/>
        <v>#VALUE!</v>
      </c>
      <c r="T486" s="204" t="e">
        <f t="shared" si="1012"/>
        <v>#VALUE!</v>
      </c>
    </row>
    <row r="487" spans="1:20" s="2" customFormat="1" x14ac:dyDescent="0.3">
      <c r="A487" s="298" t="s">
        <v>697</v>
      </c>
      <c r="B487" s="300" t="s">
        <v>1135</v>
      </c>
      <c r="C487" s="302" t="s">
        <v>275</v>
      </c>
      <c r="D487" s="303">
        <v>1</v>
      </c>
      <c r="E487" s="356">
        <v>99.86</v>
      </c>
      <c r="F487" s="356">
        <f t="shared" si="1022"/>
        <v>99.86</v>
      </c>
      <c r="G487" s="278">
        <v>1</v>
      </c>
      <c r="H487" s="240">
        <f t="shared" ref="H487" si="1032">G487*E487</f>
        <v>99.86</v>
      </c>
      <c r="I487" s="241">
        <f t="shared" ref="I487" si="1033">+G487/D487</f>
        <v>1</v>
      </c>
      <c r="J487" s="419"/>
      <c r="K487" s="242">
        <f t="shared" ref="K487" si="1034">J487*E487</f>
        <v>0</v>
      </c>
      <c r="L487" s="243">
        <f t="shared" ref="L487" si="1035">+J487/D487</f>
        <v>0</v>
      </c>
      <c r="M487" s="240">
        <f t="shared" si="991"/>
        <v>1</v>
      </c>
      <c r="N487" s="240">
        <f t="shared" ref="N487" si="1036">M487*E487</f>
        <v>99.86</v>
      </c>
      <c r="O487" s="244">
        <f t="shared" ref="O487" si="1037">+M487/D487</f>
        <v>1</v>
      </c>
      <c r="P487" s="211">
        <f t="shared" ref="P487" si="1038">+D487-M487</f>
        <v>0</v>
      </c>
      <c r="Q487" s="212">
        <f t="shared" ref="Q487" si="1039">P487*E487</f>
        <v>0</v>
      </c>
      <c r="R487" s="213">
        <f t="shared" ref="R487" si="1040">+P487/D487</f>
        <v>0</v>
      </c>
      <c r="S487" s="204">
        <f t="shared" si="1011"/>
        <v>99.86</v>
      </c>
      <c r="T487" s="204">
        <f t="shared" si="1012"/>
        <v>0</v>
      </c>
    </row>
    <row r="488" spans="1:20" s="2" customFormat="1" x14ac:dyDescent="0.3">
      <c r="A488" s="298" t="s">
        <v>698</v>
      </c>
      <c r="B488" s="300" t="s">
        <v>1136</v>
      </c>
      <c r="C488" s="302" t="s">
        <v>275</v>
      </c>
      <c r="D488" s="303">
        <v>1</v>
      </c>
      <c r="E488" s="356">
        <v>99.86</v>
      </c>
      <c r="F488" s="356">
        <f t="shared" si="1022"/>
        <v>99.86</v>
      </c>
      <c r="G488" s="278">
        <v>1</v>
      </c>
      <c r="H488" s="240">
        <f t="shared" ref="H488" si="1041">G488*E488</f>
        <v>99.86</v>
      </c>
      <c r="I488" s="241">
        <f t="shared" ref="I488" si="1042">+G488/D488</f>
        <v>1</v>
      </c>
      <c r="J488" s="419"/>
      <c r="K488" s="242">
        <f t="shared" ref="K488" si="1043">J488*E488</f>
        <v>0</v>
      </c>
      <c r="L488" s="243">
        <f t="shared" ref="L488" si="1044">+J488/D488</f>
        <v>0</v>
      </c>
      <c r="M488" s="240">
        <f t="shared" si="991"/>
        <v>1</v>
      </c>
      <c r="N488" s="240">
        <f t="shared" ref="N488" si="1045">M488*E488</f>
        <v>99.86</v>
      </c>
      <c r="O488" s="244">
        <f t="shared" ref="O488" si="1046">+M488/D488</f>
        <v>1</v>
      </c>
      <c r="P488" s="211">
        <f t="shared" ref="P488" si="1047">+D488-M488</f>
        <v>0</v>
      </c>
      <c r="Q488" s="212">
        <f t="shared" ref="Q488" si="1048">P488*E488</f>
        <v>0</v>
      </c>
      <c r="R488" s="213">
        <f t="shared" ref="R488" si="1049">+P488/D488</f>
        <v>0</v>
      </c>
      <c r="S488" s="204">
        <f t="shared" ref="S488" si="1050">N488+Q488</f>
        <v>99.86</v>
      </c>
      <c r="T488" s="204">
        <f t="shared" ref="T488" si="1051">F488-S488</f>
        <v>0</v>
      </c>
    </row>
    <row r="489" spans="1:20" s="2" customFormat="1" x14ac:dyDescent="0.3">
      <c r="A489" s="304" t="s">
        <v>293</v>
      </c>
      <c r="B489" s="305" t="s">
        <v>1137</v>
      </c>
      <c r="C489" s="306" t="s">
        <v>160</v>
      </c>
      <c r="D489" s="307"/>
      <c r="E489" s="347"/>
      <c r="F489" s="348">
        <f>SUM(F490:F495)</f>
        <v>626.46</v>
      </c>
      <c r="G489" s="308"/>
      <c r="H489" s="309" t="s">
        <v>110</v>
      </c>
      <c r="I489" s="323" t="s">
        <v>110</v>
      </c>
      <c r="J489" s="419"/>
      <c r="K489" s="309" t="s">
        <v>110</v>
      </c>
      <c r="L489" s="324" t="s">
        <v>110</v>
      </c>
      <c r="M489" s="309"/>
      <c r="N489" s="309" t="s">
        <v>110</v>
      </c>
      <c r="O489" s="324" t="s">
        <v>110</v>
      </c>
      <c r="P489" s="326" t="s">
        <v>110</v>
      </c>
      <c r="Q489" s="309" t="s">
        <v>110</v>
      </c>
      <c r="R489" s="324" t="s">
        <v>110</v>
      </c>
      <c r="S489" s="204" t="e">
        <f t="shared" ref="S489:S495" si="1052">N489+Q489</f>
        <v>#VALUE!</v>
      </c>
      <c r="T489" s="204" t="e">
        <f t="shared" ref="T489:T495" si="1053">F489-S489</f>
        <v>#VALUE!</v>
      </c>
    </row>
    <row r="490" spans="1:20" s="2" customFormat="1" x14ac:dyDescent="0.3">
      <c r="A490" s="298" t="s">
        <v>294</v>
      </c>
      <c r="B490" s="300" t="s">
        <v>1138</v>
      </c>
      <c r="C490" s="302" t="s">
        <v>275</v>
      </c>
      <c r="D490" s="303">
        <v>2</v>
      </c>
      <c r="E490" s="356">
        <v>45.58</v>
      </c>
      <c r="F490" s="356">
        <f t="shared" si="1022"/>
        <v>91.16</v>
      </c>
      <c r="G490" s="278">
        <v>2</v>
      </c>
      <c r="H490" s="240">
        <f t="shared" ref="H490:H495" si="1054">G490*E490</f>
        <v>91.16</v>
      </c>
      <c r="I490" s="241">
        <f t="shared" ref="I490:I495" si="1055">+G490/D490</f>
        <v>1</v>
      </c>
      <c r="J490" s="419"/>
      <c r="K490" s="242">
        <f t="shared" ref="K490:K495" si="1056">J490*E490</f>
        <v>0</v>
      </c>
      <c r="L490" s="243">
        <f t="shared" ref="L490:L495" si="1057">+J490/D490</f>
        <v>0</v>
      </c>
      <c r="M490" s="240">
        <f t="shared" si="991"/>
        <v>2</v>
      </c>
      <c r="N490" s="240">
        <f t="shared" ref="N490:N495" si="1058">M490*E490</f>
        <v>91.16</v>
      </c>
      <c r="O490" s="244">
        <f t="shared" ref="O490:O495" si="1059">+M490/D490</f>
        <v>1</v>
      </c>
      <c r="P490" s="211">
        <f t="shared" ref="P490:P495" si="1060">+D490-M490</f>
        <v>0</v>
      </c>
      <c r="Q490" s="212">
        <f t="shared" ref="Q490:Q495" si="1061">P490*E490</f>
        <v>0</v>
      </c>
      <c r="R490" s="213">
        <f t="shared" ref="R490:R495" si="1062">+P490/D490</f>
        <v>0</v>
      </c>
      <c r="S490" s="204">
        <f t="shared" si="1052"/>
        <v>91.16</v>
      </c>
      <c r="T490" s="204">
        <f t="shared" si="1053"/>
        <v>0</v>
      </c>
    </row>
    <row r="491" spans="1:20" s="2" customFormat="1" x14ac:dyDescent="0.3">
      <c r="A491" s="298" t="s">
        <v>295</v>
      </c>
      <c r="B491" s="300" t="s">
        <v>1139</v>
      </c>
      <c r="C491" s="302" t="s">
        <v>275</v>
      </c>
      <c r="D491" s="303">
        <v>1</v>
      </c>
      <c r="E491" s="356">
        <v>53.53</v>
      </c>
      <c r="F491" s="356">
        <f t="shared" si="1022"/>
        <v>53.53</v>
      </c>
      <c r="G491" s="278">
        <v>1</v>
      </c>
      <c r="H491" s="240">
        <f t="shared" si="1054"/>
        <v>53.53</v>
      </c>
      <c r="I491" s="241">
        <f t="shared" si="1055"/>
        <v>1</v>
      </c>
      <c r="J491" s="419"/>
      <c r="K491" s="242">
        <f t="shared" si="1056"/>
        <v>0</v>
      </c>
      <c r="L491" s="243">
        <f t="shared" si="1057"/>
        <v>0</v>
      </c>
      <c r="M491" s="240">
        <f t="shared" si="991"/>
        <v>1</v>
      </c>
      <c r="N491" s="240">
        <f t="shared" si="1058"/>
        <v>53.53</v>
      </c>
      <c r="O491" s="244">
        <f t="shared" si="1059"/>
        <v>1</v>
      </c>
      <c r="P491" s="211">
        <f t="shared" si="1060"/>
        <v>0</v>
      </c>
      <c r="Q491" s="212">
        <f t="shared" si="1061"/>
        <v>0</v>
      </c>
      <c r="R491" s="213">
        <f t="shared" si="1062"/>
        <v>0</v>
      </c>
      <c r="S491" s="204">
        <f t="shared" si="1052"/>
        <v>53.53</v>
      </c>
      <c r="T491" s="204">
        <f t="shared" si="1053"/>
        <v>0</v>
      </c>
    </row>
    <row r="492" spans="1:20" s="2" customFormat="1" x14ac:dyDescent="0.3">
      <c r="A492" s="298" t="s">
        <v>296</v>
      </c>
      <c r="B492" s="300" t="s">
        <v>1140</v>
      </c>
      <c r="C492" s="302" t="s">
        <v>275</v>
      </c>
      <c r="D492" s="303">
        <v>1</v>
      </c>
      <c r="E492" s="356">
        <v>53.53</v>
      </c>
      <c r="F492" s="356">
        <f t="shared" si="1022"/>
        <v>53.53</v>
      </c>
      <c r="G492" s="278">
        <v>1</v>
      </c>
      <c r="H492" s="240">
        <f t="shared" si="1054"/>
        <v>53.53</v>
      </c>
      <c r="I492" s="241">
        <f t="shared" si="1055"/>
        <v>1</v>
      </c>
      <c r="J492" s="419"/>
      <c r="K492" s="242">
        <f t="shared" si="1056"/>
        <v>0</v>
      </c>
      <c r="L492" s="243">
        <f t="shared" si="1057"/>
        <v>0</v>
      </c>
      <c r="M492" s="240">
        <f t="shared" si="991"/>
        <v>1</v>
      </c>
      <c r="N492" s="240">
        <f t="shared" si="1058"/>
        <v>53.53</v>
      </c>
      <c r="O492" s="244">
        <f t="shared" si="1059"/>
        <v>1</v>
      </c>
      <c r="P492" s="211">
        <f t="shared" si="1060"/>
        <v>0</v>
      </c>
      <c r="Q492" s="212">
        <f t="shared" si="1061"/>
        <v>0</v>
      </c>
      <c r="R492" s="213">
        <f t="shared" si="1062"/>
        <v>0</v>
      </c>
      <c r="S492" s="204">
        <f t="shared" si="1052"/>
        <v>53.53</v>
      </c>
      <c r="T492" s="204">
        <f t="shared" si="1053"/>
        <v>0</v>
      </c>
    </row>
    <row r="493" spans="1:20" s="2" customFormat="1" x14ac:dyDescent="0.3">
      <c r="A493" s="298" t="s">
        <v>297</v>
      </c>
      <c r="B493" s="300" t="s">
        <v>1141</v>
      </c>
      <c r="C493" s="302" t="s">
        <v>275</v>
      </c>
      <c r="D493" s="303">
        <v>3</v>
      </c>
      <c r="E493" s="356">
        <v>53.53</v>
      </c>
      <c r="F493" s="356">
        <f t="shared" si="1022"/>
        <v>160.59</v>
      </c>
      <c r="G493" s="278">
        <v>3</v>
      </c>
      <c r="H493" s="240">
        <f t="shared" si="1054"/>
        <v>160.59</v>
      </c>
      <c r="I493" s="241">
        <f t="shared" si="1055"/>
        <v>1</v>
      </c>
      <c r="J493" s="419"/>
      <c r="K493" s="242">
        <f t="shared" si="1056"/>
        <v>0</v>
      </c>
      <c r="L493" s="243">
        <f t="shared" si="1057"/>
        <v>0</v>
      </c>
      <c r="M493" s="240">
        <f t="shared" si="991"/>
        <v>3</v>
      </c>
      <c r="N493" s="240">
        <f t="shared" si="1058"/>
        <v>160.59</v>
      </c>
      <c r="O493" s="244">
        <f t="shared" si="1059"/>
        <v>1</v>
      </c>
      <c r="P493" s="211">
        <f t="shared" si="1060"/>
        <v>0</v>
      </c>
      <c r="Q493" s="212">
        <f t="shared" si="1061"/>
        <v>0</v>
      </c>
      <c r="R493" s="213">
        <f t="shared" si="1062"/>
        <v>0</v>
      </c>
      <c r="S493" s="204">
        <f t="shared" si="1052"/>
        <v>160.59</v>
      </c>
      <c r="T493" s="204">
        <f t="shared" si="1053"/>
        <v>0</v>
      </c>
    </row>
    <row r="494" spans="1:20" s="2" customFormat="1" x14ac:dyDescent="0.3">
      <c r="A494" s="298" t="s">
        <v>298</v>
      </c>
      <c r="B494" s="300" t="s">
        <v>1142</v>
      </c>
      <c r="C494" s="302" t="s">
        <v>275</v>
      </c>
      <c r="D494" s="303">
        <v>4</v>
      </c>
      <c r="E494" s="356">
        <v>53.53</v>
      </c>
      <c r="F494" s="356">
        <f t="shared" si="1022"/>
        <v>214.12</v>
      </c>
      <c r="G494" s="278">
        <v>4</v>
      </c>
      <c r="H494" s="240">
        <f t="shared" si="1054"/>
        <v>214.12</v>
      </c>
      <c r="I494" s="241">
        <f t="shared" si="1055"/>
        <v>1</v>
      </c>
      <c r="J494" s="419"/>
      <c r="K494" s="242">
        <f t="shared" si="1056"/>
        <v>0</v>
      </c>
      <c r="L494" s="243">
        <f t="shared" si="1057"/>
        <v>0</v>
      </c>
      <c r="M494" s="240">
        <f t="shared" si="991"/>
        <v>4</v>
      </c>
      <c r="N494" s="240">
        <f t="shared" si="1058"/>
        <v>214.12</v>
      </c>
      <c r="O494" s="244">
        <f t="shared" si="1059"/>
        <v>1</v>
      </c>
      <c r="P494" s="211">
        <f t="shared" si="1060"/>
        <v>0</v>
      </c>
      <c r="Q494" s="212">
        <f t="shared" si="1061"/>
        <v>0</v>
      </c>
      <c r="R494" s="213">
        <f t="shared" si="1062"/>
        <v>0</v>
      </c>
      <c r="S494" s="204">
        <f t="shared" si="1052"/>
        <v>214.12</v>
      </c>
      <c r="T494" s="204">
        <f t="shared" si="1053"/>
        <v>0</v>
      </c>
    </row>
    <row r="495" spans="1:20" s="2" customFormat="1" x14ac:dyDescent="0.3">
      <c r="A495" s="298" t="s">
        <v>299</v>
      </c>
      <c r="B495" s="300" t="s">
        <v>1143</v>
      </c>
      <c r="C495" s="302" t="s">
        <v>275</v>
      </c>
      <c r="D495" s="303">
        <v>1</v>
      </c>
      <c r="E495" s="356">
        <v>53.53</v>
      </c>
      <c r="F495" s="356">
        <f t="shared" si="1022"/>
        <v>53.53</v>
      </c>
      <c r="G495" s="278">
        <v>1</v>
      </c>
      <c r="H495" s="240">
        <f t="shared" si="1054"/>
        <v>53.53</v>
      </c>
      <c r="I495" s="241">
        <f t="shared" si="1055"/>
        <v>1</v>
      </c>
      <c r="J495" s="419"/>
      <c r="K495" s="242">
        <f t="shared" si="1056"/>
        <v>0</v>
      </c>
      <c r="L495" s="243">
        <f t="shared" si="1057"/>
        <v>0</v>
      </c>
      <c r="M495" s="240">
        <f t="shared" si="991"/>
        <v>1</v>
      </c>
      <c r="N495" s="240">
        <f t="shared" si="1058"/>
        <v>53.53</v>
      </c>
      <c r="O495" s="244">
        <f t="shared" si="1059"/>
        <v>1</v>
      </c>
      <c r="P495" s="211">
        <f t="shared" si="1060"/>
        <v>0</v>
      </c>
      <c r="Q495" s="212">
        <f t="shared" si="1061"/>
        <v>0</v>
      </c>
      <c r="R495" s="213">
        <f t="shared" si="1062"/>
        <v>0</v>
      </c>
      <c r="S495" s="204">
        <f t="shared" si="1052"/>
        <v>53.53</v>
      </c>
      <c r="T495" s="204">
        <f t="shared" si="1053"/>
        <v>0</v>
      </c>
    </row>
    <row r="496" spans="1:20" s="2" customFormat="1" x14ac:dyDescent="0.3">
      <c r="A496" s="304" t="s">
        <v>261</v>
      </c>
      <c r="B496" s="305" t="s">
        <v>1144</v>
      </c>
      <c r="C496" s="320" t="s">
        <v>160</v>
      </c>
      <c r="D496" s="321"/>
      <c r="E496" s="347"/>
      <c r="F496" s="348">
        <f>+F497</f>
        <v>2157.66</v>
      </c>
      <c r="G496" s="308"/>
      <c r="H496" s="309" t="s">
        <v>110</v>
      </c>
      <c r="I496" s="323" t="s">
        <v>110</v>
      </c>
      <c r="J496" s="419"/>
      <c r="K496" s="309" t="s">
        <v>110</v>
      </c>
      <c r="L496" s="324" t="s">
        <v>110</v>
      </c>
      <c r="M496" s="309"/>
      <c r="N496" s="309" t="s">
        <v>110</v>
      </c>
      <c r="O496" s="324" t="s">
        <v>110</v>
      </c>
      <c r="P496" s="326" t="s">
        <v>110</v>
      </c>
      <c r="Q496" s="309" t="s">
        <v>110</v>
      </c>
      <c r="R496" s="324" t="s">
        <v>110</v>
      </c>
      <c r="S496" s="204" t="e">
        <f t="shared" ref="S496:S500" si="1063">N496+Q496</f>
        <v>#VALUE!</v>
      </c>
      <c r="T496" s="204" t="e">
        <f t="shared" ref="T496:T500" si="1064">F496-S496</f>
        <v>#VALUE!</v>
      </c>
    </row>
    <row r="497" spans="1:25" s="2" customFormat="1" x14ac:dyDescent="0.3">
      <c r="A497" s="304" t="s">
        <v>262</v>
      </c>
      <c r="B497" s="305" t="s">
        <v>1145</v>
      </c>
      <c r="C497" s="320" t="s">
        <v>160</v>
      </c>
      <c r="D497" s="321"/>
      <c r="E497" s="349"/>
      <c r="F497" s="350">
        <f>SUM(F498:F500)</f>
        <v>2157.66</v>
      </c>
      <c r="G497" s="308"/>
      <c r="H497" s="309" t="s">
        <v>110</v>
      </c>
      <c r="I497" s="323" t="s">
        <v>110</v>
      </c>
      <c r="J497" s="419"/>
      <c r="K497" s="309" t="s">
        <v>110</v>
      </c>
      <c r="L497" s="324" t="s">
        <v>110</v>
      </c>
      <c r="M497" s="309"/>
      <c r="N497" s="309" t="s">
        <v>110</v>
      </c>
      <c r="O497" s="324" t="s">
        <v>110</v>
      </c>
      <c r="P497" s="326" t="s">
        <v>110</v>
      </c>
      <c r="Q497" s="309" t="s">
        <v>110</v>
      </c>
      <c r="R497" s="324" t="s">
        <v>110</v>
      </c>
      <c r="S497" s="204" t="e">
        <f t="shared" si="1063"/>
        <v>#VALUE!</v>
      </c>
      <c r="T497" s="204" t="e">
        <f t="shared" si="1064"/>
        <v>#VALUE!</v>
      </c>
      <c r="X497" s="204"/>
      <c r="Y497" s="204"/>
    </row>
    <row r="498" spans="1:25" s="2" customFormat="1" x14ac:dyDescent="0.3">
      <c r="A498" s="298" t="s">
        <v>263</v>
      </c>
      <c r="B498" s="300" t="s">
        <v>1146</v>
      </c>
      <c r="C498" s="302" t="s">
        <v>94</v>
      </c>
      <c r="D498" s="303">
        <v>55.1</v>
      </c>
      <c r="E498" s="356">
        <v>18.53</v>
      </c>
      <c r="F498" s="356">
        <f t="shared" ref="F498:F510" si="1065">+ROUND((D498*E498),2)</f>
        <v>1021</v>
      </c>
      <c r="G498" s="278">
        <v>55.1</v>
      </c>
      <c r="H498" s="240">
        <f t="shared" ref="H498:H500" si="1066">G498*E498</f>
        <v>1021.003</v>
      </c>
      <c r="I498" s="241">
        <f t="shared" ref="I498:I500" si="1067">+G498/D498</f>
        <v>1</v>
      </c>
      <c r="J498" s="419"/>
      <c r="K498" s="242">
        <f t="shared" ref="K498:K500" si="1068">J498*E498</f>
        <v>0</v>
      </c>
      <c r="L498" s="243">
        <f t="shared" ref="L498:L500" si="1069">+J498/D498</f>
        <v>0</v>
      </c>
      <c r="M498" s="240">
        <f t="shared" si="991"/>
        <v>55.1</v>
      </c>
      <c r="N498" s="240">
        <f t="shared" ref="N498:N500" si="1070">M498*E498</f>
        <v>1021.003</v>
      </c>
      <c r="O498" s="244">
        <f t="shared" ref="O498:O500" si="1071">+M498/D498</f>
        <v>1</v>
      </c>
      <c r="P498" s="211">
        <f t="shared" ref="P498:P500" si="1072">+D498-M498</f>
        <v>0</v>
      </c>
      <c r="Q498" s="212">
        <f t="shared" ref="Q498:Q500" si="1073">P498*E498</f>
        <v>0</v>
      </c>
      <c r="R498" s="213">
        <f t="shared" ref="R498:R500" si="1074">+P498/D498</f>
        <v>0</v>
      </c>
      <c r="S498" s="204">
        <f t="shared" si="1063"/>
        <v>1021.003</v>
      </c>
      <c r="T498" s="204">
        <f t="shared" si="1064"/>
        <v>-3.0000000000427463E-3</v>
      </c>
      <c r="X498" s="204"/>
      <c r="Y498" s="204"/>
    </row>
    <row r="499" spans="1:25" s="2" customFormat="1" x14ac:dyDescent="0.3">
      <c r="A499" s="298" t="s">
        <v>264</v>
      </c>
      <c r="B499" s="300" t="s">
        <v>1147</v>
      </c>
      <c r="C499" s="302" t="s">
        <v>94</v>
      </c>
      <c r="D499" s="303">
        <v>38.9</v>
      </c>
      <c r="E499" s="356">
        <v>19.309999999999999</v>
      </c>
      <c r="F499" s="356">
        <f t="shared" si="1065"/>
        <v>751.16</v>
      </c>
      <c r="G499" s="278">
        <v>38.9</v>
      </c>
      <c r="H499" s="240">
        <f t="shared" si="1066"/>
        <v>751.15899999999988</v>
      </c>
      <c r="I499" s="241">
        <f t="shared" si="1067"/>
        <v>1</v>
      </c>
      <c r="J499" s="419"/>
      <c r="K499" s="242">
        <f t="shared" si="1068"/>
        <v>0</v>
      </c>
      <c r="L499" s="243">
        <f t="shared" si="1069"/>
        <v>0</v>
      </c>
      <c r="M499" s="240">
        <f t="shared" si="991"/>
        <v>38.9</v>
      </c>
      <c r="N499" s="240">
        <f t="shared" si="1070"/>
        <v>751.15899999999988</v>
      </c>
      <c r="O499" s="244">
        <f t="shared" si="1071"/>
        <v>1</v>
      </c>
      <c r="P499" s="211">
        <f t="shared" si="1072"/>
        <v>0</v>
      </c>
      <c r="Q499" s="212">
        <f t="shared" si="1073"/>
        <v>0</v>
      </c>
      <c r="R499" s="213">
        <f t="shared" si="1074"/>
        <v>0</v>
      </c>
      <c r="S499" s="204">
        <f t="shared" si="1063"/>
        <v>751.15899999999988</v>
      </c>
      <c r="T499" s="204">
        <f t="shared" si="1064"/>
        <v>1.00000000009004E-3</v>
      </c>
      <c r="X499" s="204"/>
      <c r="Y499" s="204"/>
    </row>
    <row r="500" spans="1:25" s="2" customFormat="1" x14ac:dyDescent="0.3">
      <c r="A500" s="298" t="s">
        <v>265</v>
      </c>
      <c r="B500" s="300" t="s">
        <v>1148</v>
      </c>
      <c r="C500" s="302" t="s">
        <v>94</v>
      </c>
      <c r="D500" s="303">
        <v>18.86</v>
      </c>
      <c r="E500" s="356">
        <v>20.440000000000001</v>
      </c>
      <c r="F500" s="356">
        <f t="shared" si="1065"/>
        <v>385.5</v>
      </c>
      <c r="G500" s="278">
        <v>0</v>
      </c>
      <c r="H500" s="240">
        <f t="shared" si="1066"/>
        <v>0</v>
      </c>
      <c r="I500" s="241">
        <f t="shared" si="1067"/>
        <v>0</v>
      </c>
      <c r="J500" s="419">
        <f>+D500</f>
        <v>18.86</v>
      </c>
      <c r="K500" s="242">
        <f t="shared" si="1068"/>
        <v>385.4984</v>
      </c>
      <c r="L500" s="243">
        <f t="shared" si="1069"/>
        <v>1</v>
      </c>
      <c r="M500" s="240">
        <f t="shared" si="991"/>
        <v>18.86</v>
      </c>
      <c r="N500" s="240">
        <f t="shared" si="1070"/>
        <v>385.4984</v>
      </c>
      <c r="O500" s="244">
        <f t="shared" si="1071"/>
        <v>1</v>
      </c>
      <c r="P500" s="211">
        <f t="shared" si="1072"/>
        <v>0</v>
      </c>
      <c r="Q500" s="212">
        <f t="shared" si="1073"/>
        <v>0</v>
      </c>
      <c r="R500" s="213">
        <f t="shared" si="1074"/>
        <v>0</v>
      </c>
      <c r="S500" s="204">
        <f t="shared" si="1063"/>
        <v>385.4984</v>
      </c>
      <c r="T500" s="204">
        <f t="shared" si="1064"/>
        <v>1.5999999999962711E-3</v>
      </c>
      <c r="X500" s="204"/>
      <c r="Y500" s="204"/>
    </row>
    <row r="501" spans="1:25" s="2" customFormat="1" x14ac:dyDescent="0.3">
      <c r="A501" s="304" t="s">
        <v>699</v>
      </c>
      <c r="B501" s="305" t="s">
        <v>1149</v>
      </c>
      <c r="C501" s="320" t="s">
        <v>160</v>
      </c>
      <c r="D501" s="321"/>
      <c r="E501" s="347"/>
      <c r="F501" s="348">
        <f>SUM(F502:F510)</f>
        <v>6139.09</v>
      </c>
      <c r="G501" s="308"/>
      <c r="H501" s="309" t="s">
        <v>110</v>
      </c>
      <c r="I501" s="323" t="s">
        <v>110</v>
      </c>
      <c r="J501" s="419"/>
      <c r="K501" s="309" t="s">
        <v>110</v>
      </c>
      <c r="L501" s="324" t="s">
        <v>110</v>
      </c>
      <c r="M501" s="309"/>
      <c r="N501" s="309" t="s">
        <v>110</v>
      </c>
      <c r="O501" s="324" t="s">
        <v>110</v>
      </c>
      <c r="P501" s="326" t="s">
        <v>110</v>
      </c>
      <c r="Q501" s="309" t="s">
        <v>110</v>
      </c>
      <c r="R501" s="324" t="s">
        <v>110</v>
      </c>
      <c r="S501" s="204" t="e">
        <f t="shared" ref="S501:S559" si="1075">N501+Q501</f>
        <v>#VALUE!</v>
      </c>
      <c r="T501" s="204" t="e">
        <f t="shared" ref="T501:T559" si="1076">F501-S501</f>
        <v>#VALUE!</v>
      </c>
      <c r="X501" s="204"/>
      <c r="Y501" s="204"/>
    </row>
    <row r="502" spans="1:25" s="2" customFormat="1" x14ac:dyDescent="0.3">
      <c r="A502" s="298" t="s">
        <v>700</v>
      </c>
      <c r="B502" s="300" t="s">
        <v>1150</v>
      </c>
      <c r="C502" s="302" t="s">
        <v>94</v>
      </c>
      <c r="D502" s="303">
        <v>29.79</v>
      </c>
      <c r="E502" s="356">
        <v>32.92</v>
      </c>
      <c r="F502" s="356">
        <f t="shared" si="1065"/>
        <v>980.69</v>
      </c>
      <c r="G502" s="278">
        <v>0</v>
      </c>
      <c r="H502" s="240">
        <f t="shared" ref="H502:H510" si="1077">G502*E502</f>
        <v>0</v>
      </c>
      <c r="I502" s="241">
        <f t="shared" ref="I502:I510" si="1078">+G502/D502</f>
        <v>0</v>
      </c>
      <c r="J502" s="419"/>
      <c r="K502" s="242">
        <f t="shared" ref="K502:K510" si="1079">J502*E502</f>
        <v>0</v>
      </c>
      <c r="L502" s="243">
        <f t="shared" ref="L502:L510" si="1080">+J502/D502</f>
        <v>0</v>
      </c>
      <c r="M502" s="240">
        <f t="shared" si="991"/>
        <v>0</v>
      </c>
      <c r="N502" s="240">
        <f t="shared" ref="N502:N510" si="1081">M502*E502</f>
        <v>0</v>
      </c>
      <c r="O502" s="244">
        <f t="shared" ref="O502:O510" si="1082">+M502/D502</f>
        <v>0</v>
      </c>
      <c r="P502" s="211">
        <f t="shared" ref="P502:P510" si="1083">+D502-M502</f>
        <v>29.79</v>
      </c>
      <c r="Q502" s="212">
        <f t="shared" ref="Q502:Q510" si="1084">P502*E502</f>
        <v>980.68680000000006</v>
      </c>
      <c r="R502" s="213">
        <f t="shared" ref="R502:R510" si="1085">+P502/D502</f>
        <v>1</v>
      </c>
      <c r="S502" s="204">
        <f t="shared" si="1075"/>
        <v>980.68680000000006</v>
      </c>
      <c r="T502" s="204">
        <f t="shared" si="1076"/>
        <v>3.1999999999925421E-3</v>
      </c>
      <c r="X502" s="204"/>
      <c r="Y502" s="204"/>
    </row>
    <row r="503" spans="1:25" s="2" customFormat="1" x14ac:dyDescent="0.3">
      <c r="A503" s="298" t="s">
        <v>701</v>
      </c>
      <c r="B503" s="300" t="s">
        <v>1151</v>
      </c>
      <c r="C503" s="302" t="s">
        <v>94</v>
      </c>
      <c r="D503" s="303">
        <v>25.31</v>
      </c>
      <c r="E503" s="356">
        <v>35.090000000000003</v>
      </c>
      <c r="F503" s="356">
        <f t="shared" si="1065"/>
        <v>888.13</v>
      </c>
      <c r="G503" s="278">
        <v>0</v>
      </c>
      <c r="H503" s="240">
        <f t="shared" si="1077"/>
        <v>0</v>
      </c>
      <c r="I503" s="241">
        <f t="shared" si="1078"/>
        <v>0</v>
      </c>
      <c r="J503" s="419"/>
      <c r="K503" s="242">
        <f t="shared" si="1079"/>
        <v>0</v>
      </c>
      <c r="L503" s="243">
        <f t="shared" si="1080"/>
        <v>0</v>
      </c>
      <c r="M503" s="240">
        <f t="shared" si="991"/>
        <v>0</v>
      </c>
      <c r="N503" s="240">
        <f t="shared" si="1081"/>
        <v>0</v>
      </c>
      <c r="O503" s="244">
        <f t="shared" si="1082"/>
        <v>0</v>
      </c>
      <c r="P503" s="211">
        <f t="shared" si="1083"/>
        <v>25.31</v>
      </c>
      <c r="Q503" s="212">
        <f t="shared" si="1084"/>
        <v>888.12790000000007</v>
      </c>
      <c r="R503" s="213">
        <f t="shared" si="1085"/>
        <v>1</v>
      </c>
      <c r="S503" s="204">
        <f t="shared" si="1075"/>
        <v>888.12790000000007</v>
      </c>
      <c r="T503" s="204">
        <f t="shared" si="1076"/>
        <v>2.0999999999276042E-3</v>
      </c>
      <c r="X503" s="204"/>
      <c r="Y503" s="204"/>
    </row>
    <row r="504" spans="1:25" s="2" customFormat="1" x14ac:dyDescent="0.3">
      <c r="A504" s="298" t="s">
        <v>702</v>
      </c>
      <c r="B504" s="300" t="s">
        <v>1151</v>
      </c>
      <c r="C504" s="302" t="s">
        <v>94</v>
      </c>
      <c r="D504" s="303">
        <v>19.7</v>
      </c>
      <c r="E504" s="356">
        <v>41.13</v>
      </c>
      <c r="F504" s="356">
        <f t="shared" si="1065"/>
        <v>810.26</v>
      </c>
      <c r="G504" s="278">
        <v>0</v>
      </c>
      <c r="H504" s="240">
        <f t="shared" si="1077"/>
        <v>0</v>
      </c>
      <c r="I504" s="241">
        <f t="shared" si="1078"/>
        <v>0</v>
      </c>
      <c r="J504" s="419"/>
      <c r="K504" s="242">
        <f t="shared" si="1079"/>
        <v>0</v>
      </c>
      <c r="L504" s="243">
        <f t="shared" si="1080"/>
        <v>0</v>
      </c>
      <c r="M504" s="240">
        <f t="shared" si="991"/>
        <v>0</v>
      </c>
      <c r="N504" s="240">
        <f t="shared" si="1081"/>
        <v>0</v>
      </c>
      <c r="O504" s="244">
        <f t="shared" si="1082"/>
        <v>0</v>
      </c>
      <c r="P504" s="211">
        <f t="shared" si="1083"/>
        <v>19.7</v>
      </c>
      <c r="Q504" s="212">
        <f t="shared" si="1084"/>
        <v>810.26099999999997</v>
      </c>
      <c r="R504" s="213">
        <f t="shared" si="1085"/>
        <v>1</v>
      </c>
      <c r="S504" s="204">
        <f t="shared" si="1075"/>
        <v>810.26099999999997</v>
      </c>
      <c r="T504" s="204">
        <f t="shared" si="1076"/>
        <v>-9.9999999997635314E-4</v>
      </c>
      <c r="X504" s="204"/>
      <c r="Y504" s="204"/>
    </row>
    <row r="505" spans="1:25" s="2" customFormat="1" x14ac:dyDescent="0.3">
      <c r="A505" s="298" t="s">
        <v>703</v>
      </c>
      <c r="B505" s="300" t="s">
        <v>1152</v>
      </c>
      <c r="C505" s="302" t="s">
        <v>94</v>
      </c>
      <c r="D505" s="303">
        <v>10.6</v>
      </c>
      <c r="E505" s="356">
        <v>45.09</v>
      </c>
      <c r="F505" s="356">
        <f t="shared" si="1065"/>
        <v>477.95</v>
      </c>
      <c r="G505" s="278">
        <v>0</v>
      </c>
      <c r="H505" s="240">
        <f t="shared" si="1077"/>
        <v>0</v>
      </c>
      <c r="I505" s="241">
        <f t="shared" si="1078"/>
        <v>0</v>
      </c>
      <c r="J505" s="419"/>
      <c r="K505" s="242">
        <f t="shared" si="1079"/>
        <v>0</v>
      </c>
      <c r="L505" s="243">
        <f t="shared" si="1080"/>
        <v>0</v>
      </c>
      <c r="M505" s="240">
        <f t="shared" si="991"/>
        <v>0</v>
      </c>
      <c r="N505" s="240">
        <f t="shared" si="1081"/>
        <v>0</v>
      </c>
      <c r="O505" s="244">
        <f t="shared" si="1082"/>
        <v>0</v>
      </c>
      <c r="P505" s="211">
        <f t="shared" si="1083"/>
        <v>10.6</v>
      </c>
      <c r="Q505" s="212">
        <f t="shared" si="1084"/>
        <v>477.95400000000001</v>
      </c>
      <c r="R505" s="213">
        <f t="shared" si="1085"/>
        <v>1</v>
      </c>
      <c r="S505" s="204">
        <f t="shared" si="1075"/>
        <v>477.95400000000001</v>
      </c>
      <c r="T505" s="204">
        <f t="shared" si="1076"/>
        <v>-4.0000000000190994E-3</v>
      </c>
      <c r="X505" s="204"/>
      <c r="Y505" s="204"/>
    </row>
    <row r="506" spans="1:25" s="2" customFormat="1" x14ac:dyDescent="0.3">
      <c r="A506" s="298" t="s">
        <v>704</v>
      </c>
      <c r="B506" s="300" t="s">
        <v>1153</v>
      </c>
      <c r="C506" s="302" t="s">
        <v>94</v>
      </c>
      <c r="D506" s="303">
        <v>7.48</v>
      </c>
      <c r="E506" s="356">
        <v>38.6</v>
      </c>
      <c r="F506" s="356">
        <f t="shared" si="1065"/>
        <v>288.73</v>
      </c>
      <c r="G506" s="278">
        <v>0</v>
      </c>
      <c r="H506" s="240">
        <f t="shared" si="1077"/>
        <v>0</v>
      </c>
      <c r="I506" s="241">
        <f t="shared" si="1078"/>
        <v>0</v>
      </c>
      <c r="J506" s="419"/>
      <c r="K506" s="242">
        <f t="shared" si="1079"/>
        <v>0</v>
      </c>
      <c r="L506" s="243">
        <f t="shared" si="1080"/>
        <v>0</v>
      </c>
      <c r="M506" s="240">
        <f t="shared" si="991"/>
        <v>0</v>
      </c>
      <c r="N506" s="240">
        <f t="shared" si="1081"/>
        <v>0</v>
      </c>
      <c r="O506" s="244">
        <f t="shared" si="1082"/>
        <v>0</v>
      </c>
      <c r="P506" s="211">
        <f t="shared" si="1083"/>
        <v>7.48</v>
      </c>
      <c r="Q506" s="212">
        <f t="shared" si="1084"/>
        <v>288.72800000000001</v>
      </c>
      <c r="R506" s="213">
        <f t="shared" si="1085"/>
        <v>1</v>
      </c>
      <c r="S506" s="204">
        <f t="shared" si="1075"/>
        <v>288.72800000000001</v>
      </c>
      <c r="T506" s="204">
        <f t="shared" si="1076"/>
        <v>2.0000000000095497E-3</v>
      </c>
      <c r="X506" s="204"/>
      <c r="Y506" s="204"/>
    </row>
    <row r="507" spans="1:25" s="2" customFormat="1" x14ac:dyDescent="0.3">
      <c r="A507" s="298" t="s">
        <v>705</v>
      </c>
      <c r="B507" s="300" t="s">
        <v>1154</v>
      </c>
      <c r="C507" s="302" t="s">
        <v>94</v>
      </c>
      <c r="D507" s="303">
        <v>19.2</v>
      </c>
      <c r="E507" s="356">
        <v>34.83</v>
      </c>
      <c r="F507" s="356">
        <f t="shared" si="1065"/>
        <v>668.74</v>
      </c>
      <c r="G507" s="278">
        <v>0</v>
      </c>
      <c r="H507" s="240">
        <f t="shared" si="1077"/>
        <v>0</v>
      </c>
      <c r="I507" s="241">
        <f t="shared" si="1078"/>
        <v>0</v>
      </c>
      <c r="J507" s="419"/>
      <c r="K507" s="242">
        <f t="shared" si="1079"/>
        <v>0</v>
      </c>
      <c r="L507" s="243">
        <f t="shared" si="1080"/>
        <v>0</v>
      </c>
      <c r="M507" s="240">
        <f t="shared" si="991"/>
        <v>0</v>
      </c>
      <c r="N507" s="240">
        <f t="shared" si="1081"/>
        <v>0</v>
      </c>
      <c r="O507" s="244">
        <f t="shared" si="1082"/>
        <v>0</v>
      </c>
      <c r="P507" s="211">
        <f t="shared" si="1083"/>
        <v>19.2</v>
      </c>
      <c r="Q507" s="212">
        <f t="shared" si="1084"/>
        <v>668.73599999999999</v>
      </c>
      <c r="R507" s="213">
        <f t="shared" si="1085"/>
        <v>1</v>
      </c>
      <c r="S507" s="204">
        <f t="shared" si="1075"/>
        <v>668.73599999999999</v>
      </c>
      <c r="T507" s="204">
        <f t="shared" si="1076"/>
        <v>4.0000000000190994E-3</v>
      </c>
      <c r="X507" s="204"/>
      <c r="Y507" s="204"/>
    </row>
    <row r="508" spans="1:25" s="2" customFormat="1" x14ac:dyDescent="0.3">
      <c r="A508" s="298" t="s">
        <v>706</v>
      </c>
      <c r="B508" s="300" t="s">
        <v>1155</v>
      </c>
      <c r="C508" s="302" t="s">
        <v>94</v>
      </c>
      <c r="D508" s="303">
        <v>19.2</v>
      </c>
      <c r="E508" s="356">
        <v>38.6</v>
      </c>
      <c r="F508" s="356">
        <f t="shared" si="1065"/>
        <v>741.12</v>
      </c>
      <c r="G508" s="278">
        <v>0</v>
      </c>
      <c r="H508" s="240">
        <f t="shared" si="1077"/>
        <v>0</v>
      </c>
      <c r="I508" s="241">
        <f t="shared" si="1078"/>
        <v>0</v>
      </c>
      <c r="J508" s="419"/>
      <c r="K508" s="242">
        <f t="shared" si="1079"/>
        <v>0</v>
      </c>
      <c r="L508" s="243">
        <f t="shared" si="1080"/>
        <v>0</v>
      </c>
      <c r="M508" s="240">
        <f t="shared" si="991"/>
        <v>0</v>
      </c>
      <c r="N508" s="240">
        <f t="shared" si="1081"/>
        <v>0</v>
      </c>
      <c r="O508" s="244">
        <f t="shared" si="1082"/>
        <v>0</v>
      </c>
      <c r="P508" s="211">
        <f t="shared" si="1083"/>
        <v>19.2</v>
      </c>
      <c r="Q508" s="212">
        <f t="shared" si="1084"/>
        <v>741.12</v>
      </c>
      <c r="R508" s="213">
        <f t="shared" si="1085"/>
        <v>1</v>
      </c>
      <c r="S508" s="204">
        <f t="shared" si="1075"/>
        <v>741.12</v>
      </c>
      <c r="T508" s="204">
        <f t="shared" si="1076"/>
        <v>0</v>
      </c>
      <c r="X508" s="204"/>
      <c r="Y508" s="204"/>
    </row>
    <row r="509" spans="1:25" s="2" customFormat="1" x14ac:dyDescent="0.3">
      <c r="A509" s="298" t="s">
        <v>707</v>
      </c>
      <c r="B509" s="300" t="s">
        <v>1156</v>
      </c>
      <c r="C509" s="302" t="s">
        <v>94</v>
      </c>
      <c r="D509" s="303">
        <v>8.25</v>
      </c>
      <c r="E509" s="356">
        <v>44.15</v>
      </c>
      <c r="F509" s="356">
        <f t="shared" si="1065"/>
        <v>364.24</v>
      </c>
      <c r="G509" s="278">
        <v>0</v>
      </c>
      <c r="H509" s="240">
        <f t="shared" si="1077"/>
        <v>0</v>
      </c>
      <c r="I509" s="241">
        <f t="shared" si="1078"/>
        <v>0</v>
      </c>
      <c r="J509" s="419"/>
      <c r="K509" s="242">
        <f t="shared" si="1079"/>
        <v>0</v>
      </c>
      <c r="L509" s="243">
        <f t="shared" si="1080"/>
        <v>0</v>
      </c>
      <c r="M509" s="240">
        <f t="shared" si="991"/>
        <v>0</v>
      </c>
      <c r="N509" s="240">
        <f t="shared" si="1081"/>
        <v>0</v>
      </c>
      <c r="O509" s="244">
        <f t="shared" si="1082"/>
        <v>0</v>
      </c>
      <c r="P509" s="211">
        <f t="shared" si="1083"/>
        <v>8.25</v>
      </c>
      <c r="Q509" s="212">
        <f t="shared" si="1084"/>
        <v>364.23750000000001</v>
      </c>
      <c r="R509" s="213">
        <f t="shared" si="1085"/>
        <v>1</v>
      </c>
      <c r="S509" s="204">
        <f t="shared" si="1075"/>
        <v>364.23750000000001</v>
      </c>
      <c r="T509" s="204">
        <f t="shared" si="1076"/>
        <v>2.4999999999977263E-3</v>
      </c>
      <c r="X509" s="204"/>
      <c r="Y509" s="204"/>
    </row>
    <row r="510" spans="1:25" s="2" customFormat="1" x14ac:dyDescent="0.3">
      <c r="A510" s="298" t="s">
        <v>708</v>
      </c>
      <c r="B510" s="300" t="s">
        <v>1157</v>
      </c>
      <c r="C510" s="302" t="s">
        <v>94</v>
      </c>
      <c r="D510" s="303">
        <v>23.39</v>
      </c>
      <c r="E510" s="356">
        <v>39.299999999999997</v>
      </c>
      <c r="F510" s="356">
        <f t="shared" si="1065"/>
        <v>919.23</v>
      </c>
      <c r="G510" s="278">
        <v>0</v>
      </c>
      <c r="H510" s="240">
        <f t="shared" si="1077"/>
        <v>0</v>
      </c>
      <c r="I510" s="241">
        <f t="shared" si="1078"/>
        <v>0</v>
      </c>
      <c r="J510" s="419"/>
      <c r="K510" s="242">
        <f t="shared" si="1079"/>
        <v>0</v>
      </c>
      <c r="L510" s="243">
        <f t="shared" si="1080"/>
        <v>0</v>
      </c>
      <c r="M510" s="240">
        <f t="shared" si="991"/>
        <v>0</v>
      </c>
      <c r="N510" s="240">
        <f t="shared" si="1081"/>
        <v>0</v>
      </c>
      <c r="O510" s="244">
        <f t="shared" si="1082"/>
        <v>0</v>
      </c>
      <c r="P510" s="211">
        <f t="shared" si="1083"/>
        <v>23.39</v>
      </c>
      <c r="Q510" s="212">
        <f t="shared" si="1084"/>
        <v>919.22699999999998</v>
      </c>
      <c r="R510" s="213">
        <f t="shared" si="1085"/>
        <v>1</v>
      </c>
      <c r="S510" s="204">
        <f t="shared" si="1075"/>
        <v>919.22699999999998</v>
      </c>
      <c r="T510" s="204">
        <f t="shared" si="1076"/>
        <v>3.0000000000427463E-3</v>
      </c>
      <c r="X510" s="204"/>
      <c r="Y510" s="204"/>
    </row>
    <row r="511" spans="1:25" s="2" customFormat="1" x14ac:dyDescent="0.3">
      <c r="A511" s="304" t="s">
        <v>709</v>
      </c>
      <c r="B511" s="305" t="s">
        <v>1158</v>
      </c>
      <c r="C511" s="320" t="s">
        <v>160</v>
      </c>
      <c r="D511" s="321"/>
      <c r="E511" s="347"/>
      <c r="F511" s="348">
        <f>+F512+F515+F519</f>
        <v>3751.3</v>
      </c>
      <c r="G511" s="308"/>
      <c r="H511" s="309" t="s">
        <v>110</v>
      </c>
      <c r="I511" s="323" t="s">
        <v>110</v>
      </c>
      <c r="J511" s="419"/>
      <c r="K511" s="309" t="s">
        <v>110</v>
      </c>
      <c r="L511" s="324" t="s">
        <v>110</v>
      </c>
      <c r="M511" s="309"/>
      <c r="N511" s="309" t="s">
        <v>110</v>
      </c>
      <c r="O511" s="324" t="s">
        <v>110</v>
      </c>
      <c r="P511" s="326" t="s">
        <v>110</v>
      </c>
      <c r="Q511" s="309" t="s">
        <v>110</v>
      </c>
      <c r="R511" s="324" t="s">
        <v>110</v>
      </c>
      <c r="S511" s="204" t="s">
        <v>110</v>
      </c>
      <c r="T511" s="204" t="s">
        <v>110</v>
      </c>
      <c r="X511" s="204"/>
      <c r="Y511" s="204"/>
    </row>
    <row r="512" spans="1:25" s="2" customFormat="1" x14ac:dyDescent="0.3">
      <c r="A512" s="304" t="s">
        <v>710</v>
      </c>
      <c r="B512" s="305" t="s">
        <v>1159</v>
      </c>
      <c r="C512" s="320" t="s">
        <v>160</v>
      </c>
      <c r="D512" s="321"/>
      <c r="E512" s="349"/>
      <c r="F512" s="350">
        <f>SUM(F513:F514)</f>
        <v>2237.86</v>
      </c>
      <c r="G512" s="308"/>
      <c r="H512" s="309" t="s">
        <v>110</v>
      </c>
      <c r="I512" s="323" t="s">
        <v>110</v>
      </c>
      <c r="J512" s="419"/>
      <c r="K512" s="309" t="s">
        <v>110</v>
      </c>
      <c r="L512" s="324" t="s">
        <v>110</v>
      </c>
      <c r="M512" s="309"/>
      <c r="N512" s="309" t="s">
        <v>110</v>
      </c>
      <c r="O512" s="324" t="s">
        <v>110</v>
      </c>
      <c r="P512" s="326" t="s">
        <v>110</v>
      </c>
      <c r="Q512" s="309" t="s">
        <v>110</v>
      </c>
      <c r="R512" s="324" t="s">
        <v>110</v>
      </c>
      <c r="S512" s="204" t="s">
        <v>110</v>
      </c>
      <c r="T512" s="204" t="s">
        <v>110</v>
      </c>
      <c r="X512" s="204"/>
      <c r="Y512" s="204"/>
    </row>
    <row r="513" spans="1:25" s="2" customFormat="1" x14ac:dyDescent="0.3">
      <c r="A513" s="298" t="s">
        <v>711</v>
      </c>
      <c r="B513" s="300" t="s">
        <v>1160</v>
      </c>
      <c r="C513" s="302" t="s">
        <v>89</v>
      </c>
      <c r="D513" s="303">
        <v>27</v>
      </c>
      <c r="E513" s="356">
        <v>66.48</v>
      </c>
      <c r="F513" s="356">
        <f t="shared" ref="F513:F536" si="1086">+ROUND((D513*E513),2)</f>
        <v>1794.96</v>
      </c>
      <c r="G513" s="278">
        <v>0</v>
      </c>
      <c r="H513" s="240">
        <f t="shared" ref="H513:H514" si="1087">G513*E513</f>
        <v>0</v>
      </c>
      <c r="I513" s="241">
        <f t="shared" ref="I513:I514" si="1088">+G513/D513</f>
        <v>0</v>
      </c>
      <c r="J513" s="419"/>
      <c r="K513" s="242">
        <f t="shared" ref="K513:K514" si="1089">J513*E513</f>
        <v>0</v>
      </c>
      <c r="L513" s="243">
        <f t="shared" ref="L513:L514" si="1090">+J513/D513</f>
        <v>0</v>
      </c>
      <c r="M513" s="240">
        <f t="shared" si="991"/>
        <v>0</v>
      </c>
      <c r="N513" s="240">
        <f t="shared" ref="N513:N514" si="1091">M513*E513</f>
        <v>0</v>
      </c>
      <c r="O513" s="244">
        <f t="shared" ref="O513:O514" si="1092">+M513/D513</f>
        <v>0</v>
      </c>
      <c r="P513" s="211">
        <f t="shared" ref="P513:P514" si="1093">+D513-M513</f>
        <v>27</v>
      </c>
      <c r="Q513" s="212">
        <f t="shared" ref="Q513:Q514" si="1094">P513*E513</f>
        <v>1794.96</v>
      </c>
      <c r="R513" s="213">
        <f t="shared" ref="R513:R514" si="1095">+P513/D513</f>
        <v>1</v>
      </c>
      <c r="S513" s="204">
        <f t="shared" si="1075"/>
        <v>1794.96</v>
      </c>
      <c r="T513" s="204">
        <f t="shared" si="1076"/>
        <v>0</v>
      </c>
      <c r="X513" s="204"/>
      <c r="Y513" s="204"/>
    </row>
    <row r="514" spans="1:25" s="2" customFormat="1" x14ac:dyDescent="0.3">
      <c r="A514" s="298" t="s">
        <v>712</v>
      </c>
      <c r="B514" s="300" t="s">
        <v>1161</v>
      </c>
      <c r="C514" s="302" t="s">
        <v>89</v>
      </c>
      <c r="D514" s="303">
        <v>5</v>
      </c>
      <c r="E514" s="356">
        <v>88.58</v>
      </c>
      <c r="F514" s="356">
        <f t="shared" si="1086"/>
        <v>442.9</v>
      </c>
      <c r="G514" s="278">
        <v>0</v>
      </c>
      <c r="H514" s="240">
        <f t="shared" si="1087"/>
        <v>0</v>
      </c>
      <c r="I514" s="241">
        <f t="shared" si="1088"/>
        <v>0</v>
      </c>
      <c r="J514" s="419"/>
      <c r="K514" s="242">
        <f t="shared" si="1089"/>
        <v>0</v>
      </c>
      <c r="L514" s="243">
        <f t="shared" si="1090"/>
        <v>0</v>
      </c>
      <c r="M514" s="240">
        <f t="shared" si="991"/>
        <v>0</v>
      </c>
      <c r="N514" s="240">
        <f t="shared" si="1091"/>
        <v>0</v>
      </c>
      <c r="O514" s="244">
        <f t="shared" si="1092"/>
        <v>0</v>
      </c>
      <c r="P514" s="211">
        <f t="shared" si="1093"/>
        <v>5</v>
      </c>
      <c r="Q514" s="212">
        <f t="shared" si="1094"/>
        <v>442.9</v>
      </c>
      <c r="R514" s="213">
        <f t="shared" si="1095"/>
        <v>1</v>
      </c>
      <c r="S514" s="204">
        <f t="shared" si="1075"/>
        <v>442.9</v>
      </c>
      <c r="T514" s="204">
        <f t="shared" si="1076"/>
        <v>0</v>
      </c>
      <c r="X514" s="204"/>
      <c r="Y514" s="204"/>
    </row>
    <row r="515" spans="1:25" s="2" customFormat="1" x14ac:dyDescent="0.3">
      <c r="A515" s="304" t="s">
        <v>713</v>
      </c>
      <c r="B515" s="305" t="s">
        <v>1162</v>
      </c>
      <c r="C515" s="320" t="s">
        <v>160</v>
      </c>
      <c r="D515" s="321"/>
      <c r="E515" s="349"/>
      <c r="F515" s="350">
        <f>SUM(F516:F518)</f>
        <v>1135.68</v>
      </c>
      <c r="G515" s="308"/>
      <c r="H515" s="309" t="s">
        <v>110</v>
      </c>
      <c r="I515" s="323" t="s">
        <v>110</v>
      </c>
      <c r="J515" s="419"/>
      <c r="K515" s="309" t="s">
        <v>110</v>
      </c>
      <c r="L515" s="324" t="s">
        <v>110</v>
      </c>
      <c r="M515" s="309"/>
      <c r="N515" s="309" t="s">
        <v>110</v>
      </c>
      <c r="O515" s="324" t="s">
        <v>110</v>
      </c>
      <c r="P515" s="326" t="s">
        <v>110</v>
      </c>
      <c r="Q515" s="309" t="s">
        <v>110</v>
      </c>
      <c r="R515" s="324" t="s">
        <v>110</v>
      </c>
      <c r="S515" s="204" t="s">
        <v>110</v>
      </c>
      <c r="T515" s="204" t="s">
        <v>110</v>
      </c>
      <c r="X515" s="204"/>
      <c r="Y515" s="204"/>
    </row>
    <row r="516" spans="1:25" s="2" customFormat="1" x14ac:dyDescent="0.3">
      <c r="A516" s="298" t="s">
        <v>714</v>
      </c>
      <c r="B516" s="300" t="s">
        <v>1163</v>
      </c>
      <c r="C516" s="302" t="s">
        <v>89</v>
      </c>
      <c r="D516" s="303">
        <v>3</v>
      </c>
      <c r="E516" s="356">
        <v>55.62</v>
      </c>
      <c r="F516" s="356">
        <f t="shared" si="1086"/>
        <v>166.86</v>
      </c>
      <c r="G516" s="278">
        <v>0</v>
      </c>
      <c r="H516" s="240">
        <f t="shared" ref="H516:H518" si="1096">G516*E516</f>
        <v>0</v>
      </c>
      <c r="I516" s="241">
        <f t="shared" ref="I516:I518" si="1097">+G516/D516</f>
        <v>0</v>
      </c>
      <c r="J516" s="419"/>
      <c r="K516" s="242">
        <f t="shared" ref="K516:K518" si="1098">J516*E516</f>
        <v>0</v>
      </c>
      <c r="L516" s="243">
        <f t="shared" ref="L516:L518" si="1099">+J516/D516</f>
        <v>0</v>
      </c>
      <c r="M516" s="240">
        <f t="shared" si="991"/>
        <v>0</v>
      </c>
      <c r="N516" s="240">
        <f t="shared" ref="N516:N518" si="1100">M516*E516</f>
        <v>0</v>
      </c>
      <c r="O516" s="244">
        <f t="shared" ref="O516:O518" si="1101">+M516/D516</f>
        <v>0</v>
      </c>
      <c r="P516" s="211">
        <f t="shared" ref="P516:P518" si="1102">+D516-M516</f>
        <v>3</v>
      </c>
      <c r="Q516" s="212">
        <f t="shared" ref="Q516:Q518" si="1103">P516*E516</f>
        <v>166.85999999999999</v>
      </c>
      <c r="R516" s="213">
        <f t="shared" ref="R516:R518" si="1104">+P516/D516</f>
        <v>1</v>
      </c>
      <c r="S516" s="204">
        <f t="shared" si="1075"/>
        <v>166.85999999999999</v>
      </c>
      <c r="T516" s="204">
        <f t="shared" si="1076"/>
        <v>0</v>
      </c>
      <c r="X516" s="204"/>
      <c r="Y516" s="204"/>
    </row>
    <row r="517" spans="1:25" s="2" customFormat="1" x14ac:dyDescent="0.3">
      <c r="A517" s="298" t="s">
        <v>715</v>
      </c>
      <c r="B517" s="300" t="s">
        <v>1164</v>
      </c>
      <c r="C517" s="302" t="s">
        <v>89</v>
      </c>
      <c r="D517" s="303">
        <v>2</v>
      </c>
      <c r="E517" s="356">
        <v>55.62</v>
      </c>
      <c r="F517" s="356">
        <f t="shared" si="1086"/>
        <v>111.24</v>
      </c>
      <c r="G517" s="278">
        <v>0</v>
      </c>
      <c r="H517" s="240">
        <f t="shared" si="1096"/>
        <v>0</v>
      </c>
      <c r="I517" s="241">
        <f t="shared" si="1097"/>
        <v>0</v>
      </c>
      <c r="J517" s="419"/>
      <c r="K517" s="242">
        <f t="shared" si="1098"/>
        <v>0</v>
      </c>
      <c r="L517" s="243">
        <f t="shared" si="1099"/>
        <v>0</v>
      </c>
      <c r="M517" s="240">
        <f t="shared" si="991"/>
        <v>0</v>
      </c>
      <c r="N517" s="240">
        <f t="shared" si="1100"/>
        <v>0</v>
      </c>
      <c r="O517" s="244">
        <f t="shared" si="1101"/>
        <v>0</v>
      </c>
      <c r="P517" s="211">
        <f t="shared" si="1102"/>
        <v>2</v>
      </c>
      <c r="Q517" s="212">
        <f t="shared" si="1103"/>
        <v>111.24</v>
      </c>
      <c r="R517" s="213">
        <f t="shared" si="1104"/>
        <v>1</v>
      </c>
      <c r="S517" s="204">
        <f t="shared" si="1075"/>
        <v>111.24</v>
      </c>
      <c r="T517" s="204">
        <f t="shared" si="1076"/>
        <v>0</v>
      </c>
      <c r="X517" s="204"/>
      <c r="Y517" s="204"/>
    </row>
    <row r="518" spans="1:25" s="2" customFormat="1" x14ac:dyDescent="0.3">
      <c r="A518" s="298" t="s">
        <v>716</v>
      </c>
      <c r="B518" s="300" t="s">
        <v>1165</v>
      </c>
      <c r="C518" s="302" t="s">
        <v>89</v>
      </c>
      <c r="D518" s="303">
        <v>2</v>
      </c>
      <c r="E518" s="356">
        <v>428.79</v>
      </c>
      <c r="F518" s="356">
        <f t="shared" si="1086"/>
        <v>857.58</v>
      </c>
      <c r="G518" s="278">
        <v>0</v>
      </c>
      <c r="H518" s="240">
        <f t="shared" si="1096"/>
        <v>0</v>
      </c>
      <c r="I518" s="241">
        <f t="shared" si="1097"/>
        <v>0</v>
      </c>
      <c r="J518" s="419"/>
      <c r="K518" s="242">
        <f t="shared" si="1098"/>
        <v>0</v>
      </c>
      <c r="L518" s="243">
        <f t="shared" si="1099"/>
        <v>0</v>
      </c>
      <c r="M518" s="240">
        <f t="shared" si="991"/>
        <v>0</v>
      </c>
      <c r="N518" s="240">
        <f t="shared" si="1100"/>
        <v>0</v>
      </c>
      <c r="O518" s="244">
        <f t="shared" si="1101"/>
        <v>0</v>
      </c>
      <c r="P518" s="211">
        <f t="shared" si="1102"/>
        <v>2</v>
      </c>
      <c r="Q518" s="212">
        <f t="shared" si="1103"/>
        <v>857.58</v>
      </c>
      <c r="R518" s="213">
        <f t="shared" si="1104"/>
        <v>1</v>
      </c>
      <c r="S518" s="204">
        <f t="shared" si="1075"/>
        <v>857.58</v>
      </c>
      <c r="T518" s="204">
        <f t="shared" si="1076"/>
        <v>0</v>
      </c>
      <c r="X518" s="204"/>
      <c r="Y518" s="204"/>
    </row>
    <row r="519" spans="1:25" s="2" customFormat="1" x14ac:dyDescent="0.3">
      <c r="A519" s="304" t="s">
        <v>717</v>
      </c>
      <c r="B519" s="305" t="s">
        <v>1166</v>
      </c>
      <c r="C519" s="320" t="s">
        <v>160</v>
      </c>
      <c r="D519" s="321"/>
      <c r="E519" s="349"/>
      <c r="F519" s="350">
        <f>SUM(F520:F521)</f>
        <v>377.76</v>
      </c>
      <c r="G519" s="308">
        <v>0</v>
      </c>
      <c r="H519" s="327"/>
      <c r="I519" s="328"/>
      <c r="J519" s="422"/>
      <c r="K519" s="329"/>
      <c r="L519" s="330"/>
      <c r="M519" s="323">
        <f t="shared" si="991"/>
        <v>0</v>
      </c>
      <c r="N519" s="323"/>
      <c r="O519" s="323"/>
      <c r="P519" s="329"/>
      <c r="Q519" s="324"/>
      <c r="R519" s="325"/>
      <c r="S519" s="204">
        <f t="shared" si="1075"/>
        <v>0</v>
      </c>
      <c r="T519" s="204" t="s">
        <v>110</v>
      </c>
      <c r="X519" s="204"/>
      <c r="Y519" s="204"/>
    </row>
    <row r="520" spans="1:25" s="2" customFormat="1" x14ac:dyDescent="0.3">
      <c r="A520" s="298" t="s">
        <v>718</v>
      </c>
      <c r="B520" s="300" t="s">
        <v>1167</v>
      </c>
      <c r="C520" s="302" t="s">
        <v>89</v>
      </c>
      <c r="D520" s="303">
        <v>4</v>
      </c>
      <c r="E520" s="356">
        <v>47.22</v>
      </c>
      <c r="F520" s="356">
        <f t="shared" si="1086"/>
        <v>188.88</v>
      </c>
      <c r="G520" s="278">
        <v>0</v>
      </c>
      <c r="H520" s="240">
        <f t="shared" ref="H520:H521" si="1105">G520*E520</f>
        <v>0</v>
      </c>
      <c r="I520" s="241">
        <f t="shared" ref="I520:I521" si="1106">+G520/D520</f>
        <v>0</v>
      </c>
      <c r="J520" s="419"/>
      <c r="K520" s="242">
        <f t="shared" ref="K520:K521" si="1107">J520*E520</f>
        <v>0</v>
      </c>
      <c r="L520" s="243">
        <f t="shared" ref="L520:L521" si="1108">+J520/D520</f>
        <v>0</v>
      </c>
      <c r="M520" s="240">
        <f t="shared" si="991"/>
        <v>0</v>
      </c>
      <c r="N520" s="240">
        <f t="shared" ref="N520:N521" si="1109">M520*E520</f>
        <v>0</v>
      </c>
      <c r="O520" s="244">
        <f t="shared" ref="O520:O521" si="1110">+M520/D520</f>
        <v>0</v>
      </c>
      <c r="P520" s="211">
        <f t="shared" ref="P520:P521" si="1111">+D520-M520</f>
        <v>4</v>
      </c>
      <c r="Q520" s="212">
        <f t="shared" ref="Q520:Q521" si="1112">P520*E520</f>
        <v>188.88</v>
      </c>
      <c r="R520" s="213">
        <f t="shared" ref="R520:R521" si="1113">+P520/D520</f>
        <v>1</v>
      </c>
      <c r="S520" s="204">
        <f t="shared" si="1075"/>
        <v>188.88</v>
      </c>
      <c r="T520" s="204">
        <f t="shared" si="1076"/>
        <v>0</v>
      </c>
      <c r="X520" s="204"/>
      <c r="Y520" s="204"/>
    </row>
    <row r="521" spans="1:25" s="2" customFormat="1" x14ac:dyDescent="0.3">
      <c r="A521" s="298" t="s">
        <v>719</v>
      </c>
      <c r="B521" s="300" t="s">
        <v>1168</v>
      </c>
      <c r="C521" s="302" t="s">
        <v>89</v>
      </c>
      <c r="D521" s="303">
        <v>4</v>
      </c>
      <c r="E521" s="356">
        <v>47.22</v>
      </c>
      <c r="F521" s="356">
        <f t="shared" si="1086"/>
        <v>188.88</v>
      </c>
      <c r="G521" s="278">
        <v>0</v>
      </c>
      <c r="H521" s="240">
        <f t="shared" si="1105"/>
        <v>0</v>
      </c>
      <c r="I521" s="241">
        <f t="shared" si="1106"/>
        <v>0</v>
      </c>
      <c r="J521" s="419"/>
      <c r="K521" s="242">
        <f t="shared" si="1107"/>
        <v>0</v>
      </c>
      <c r="L521" s="243">
        <f t="shared" si="1108"/>
        <v>0</v>
      </c>
      <c r="M521" s="240">
        <f t="shared" si="991"/>
        <v>0</v>
      </c>
      <c r="N521" s="240">
        <f t="shared" si="1109"/>
        <v>0</v>
      </c>
      <c r="O521" s="244">
        <f t="shared" si="1110"/>
        <v>0</v>
      </c>
      <c r="P521" s="211">
        <f t="shared" si="1111"/>
        <v>4</v>
      </c>
      <c r="Q521" s="212">
        <f t="shared" si="1112"/>
        <v>188.88</v>
      </c>
      <c r="R521" s="213">
        <f t="shared" si="1113"/>
        <v>1</v>
      </c>
      <c r="S521" s="204">
        <f t="shared" si="1075"/>
        <v>188.88</v>
      </c>
      <c r="T521" s="204">
        <f t="shared" si="1076"/>
        <v>0</v>
      </c>
      <c r="X521" s="204"/>
      <c r="Y521" s="204"/>
    </row>
    <row r="522" spans="1:25" s="2" customFormat="1" x14ac:dyDescent="0.3">
      <c r="A522" s="304" t="s">
        <v>720</v>
      </c>
      <c r="B522" s="305" t="s">
        <v>1169</v>
      </c>
      <c r="C522" s="320" t="s">
        <v>160</v>
      </c>
      <c r="D522" s="321"/>
      <c r="E522" s="347"/>
      <c r="F522" s="348">
        <f>SUM(F523:F526)</f>
        <v>6482.0700000000006</v>
      </c>
      <c r="G522" s="308"/>
      <c r="H522" s="309" t="s">
        <v>110</v>
      </c>
      <c r="I522" s="323" t="s">
        <v>110</v>
      </c>
      <c r="J522" s="419"/>
      <c r="K522" s="309" t="s">
        <v>110</v>
      </c>
      <c r="L522" s="324" t="s">
        <v>110</v>
      </c>
      <c r="M522" s="309"/>
      <c r="N522" s="309" t="s">
        <v>110</v>
      </c>
      <c r="O522" s="324" t="s">
        <v>110</v>
      </c>
      <c r="P522" s="326" t="s">
        <v>110</v>
      </c>
      <c r="Q522" s="309" t="s">
        <v>110</v>
      </c>
      <c r="R522" s="324" t="s">
        <v>110</v>
      </c>
      <c r="S522" s="204" t="s">
        <v>110</v>
      </c>
      <c r="T522" s="204" t="s">
        <v>110</v>
      </c>
      <c r="X522" s="204"/>
      <c r="Y522" s="204"/>
    </row>
    <row r="523" spans="1:25" s="2" customFormat="1" x14ac:dyDescent="0.3">
      <c r="A523" s="298" t="s">
        <v>721</v>
      </c>
      <c r="B523" s="300" t="s">
        <v>1170</v>
      </c>
      <c r="C523" s="302" t="s">
        <v>89</v>
      </c>
      <c r="D523" s="303">
        <v>1</v>
      </c>
      <c r="E523" s="356">
        <v>2362.79</v>
      </c>
      <c r="F523" s="356">
        <f t="shared" si="1086"/>
        <v>2362.79</v>
      </c>
      <c r="G523" s="278">
        <v>0</v>
      </c>
      <c r="H523" s="240">
        <f t="shared" ref="H523:H526" si="1114">G523*E523</f>
        <v>0</v>
      </c>
      <c r="I523" s="241">
        <f t="shared" ref="I523:I526" si="1115">+G523/D523</f>
        <v>0</v>
      </c>
      <c r="J523" s="419"/>
      <c r="K523" s="242">
        <f t="shared" ref="K523:K526" si="1116">J523*E523</f>
        <v>0</v>
      </c>
      <c r="L523" s="243">
        <f t="shared" ref="L523:L526" si="1117">+J523/D523</f>
        <v>0</v>
      </c>
      <c r="M523" s="240">
        <f t="shared" si="991"/>
        <v>0</v>
      </c>
      <c r="N523" s="240">
        <f t="shared" ref="N523:N526" si="1118">M523*E523</f>
        <v>0</v>
      </c>
      <c r="O523" s="244">
        <f t="shared" ref="O523:O526" si="1119">+M523/D523</f>
        <v>0</v>
      </c>
      <c r="P523" s="211">
        <f t="shared" ref="P523:P526" si="1120">+D523-M523</f>
        <v>1</v>
      </c>
      <c r="Q523" s="212">
        <f t="shared" ref="Q523:Q526" si="1121">P523*E523</f>
        <v>2362.79</v>
      </c>
      <c r="R523" s="213">
        <f t="shared" ref="R523:R526" si="1122">+P523/D523</f>
        <v>1</v>
      </c>
      <c r="S523" s="204">
        <f t="shared" si="1075"/>
        <v>2362.79</v>
      </c>
      <c r="T523" s="204">
        <f t="shared" si="1076"/>
        <v>0</v>
      </c>
      <c r="X523" s="204"/>
      <c r="Y523" s="204"/>
    </row>
    <row r="524" spans="1:25" s="2" customFormat="1" x14ac:dyDescent="0.3">
      <c r="A524" s="298" t="s">
        <v>722</v>
      </c>
      <c r="B524" s="300" t="s">
        <v>1171</v>
      </c>
      <c r="C524" s="302" t="s">
        <v>89</v>
      </c>
      <c r="D524" s="303">
        <v>1</v>
      </c>
      <c r="E524" s="356">
        <v>1148.8399999999999</v>
      </c>
      <c r="F524" s="356">
        <f t="shared" si="1086"/>
        <v>1148.8399999999999</v>
      </c>
      <c r="G524" s="278">
        <v>0</v>
      </c>
      <c r="H524" s="240">
        <f t="shared" si="1114"/>
        <v>0</v>
      </c>
      <c r="I524" s="241">
        <f t="shared" si="1115"/>
        <v>0</v>
      </c>
      <c r="J524" s="419"/>
      <c r="K524" s="242">
        <f t="shared" si="1116"/>
        <v>0</v>
      </c>
      <c r="L524" s="243">
        <f t="shared" si="1117"/>
        <v>0</v>
      </c>
      <c r="M524" s="240">
        <f t="shared" si="991"/>
        <v>0</v>
      </c>
      <c r="N524" s="240">
        <f t="shared" si="1118"/>
        <v>0</v>
      </c>
      <c r="O524" s="244">
        <f t="shared" si="1119"/>
        <v>0</v>
      </c>
      <c r="P524" s="211">
        <f t="shared" si="1120"/>
        <v>1</v>
      </c>
      <c r="Q524" s="212">
        <f t="shared" si="1121"/>
        <v>1148.8399999999999</v>
      </c>
      <c r="R524" s="213">
        <f t="shared" si="1122"/>
        <v>1</v>
      </c>
      <c r="S524" s="204">
        <f t="shared" si="1075"/>
        <v>1148.8399999999999</v>
      </c>
      <c r="T524" s="204">
        <f t="shared" si="1076"/>
        <v>0</v>
      </c>
      <c r="X524" s="204"/>
      <c r="Y524" s="204"/>
    </row>
    <row r="525" spans="1:25" s="2" customFormat="1" x14ac:dyDescent="0.3">
      <c r="A525" s="298" t="s">
        <v>723</v>
      </c>
      <c r="B525" s="300" t="s">
        <v>1172</v>
      </c>
      <c r="C525" s="302" t="s">
        <v>89</v>
      </c>
      <c r="D525" s="303">
        <v>1</v>
      </c>
      <c r="E525" s="356">
        <v>1107.76</v>
      </c>
      <c r="F525" s="356">
        <f t="shared" si="1086"/>
        <v>1107.76</v>
      </c>
      <c r="G525" s="278">
        <v>0</v>
      </c>
      <c r="H525" s="240">
        <f t="shared" si="1114"/>
        <v>0</v>
      </c>
      <c r="I525" s="241">
        <f t="shared" si="1115"/>
        <v>0</v>
      </c>
      <c r="J525" s="419"/>
      <c r="K525" s="242">
        <f t="shared" si="1116"/>
        <v>0</v>
      </c>
      <c r="L525" s="243">
        <f t="shared" si="1117"/>
        <v>0</v>
      </c>
      <c r="M525" s="240">
        <f t="shared" si="991"/>
        <v>0</v>
      </c>
      <c r="N525" s="240">
        <f t="shared" si="1118"/>
        <v>0</v>
      </c>
      <c r="O525" s="244">
        <f t="shared" si="1119"/>
        <v>0</v>
      </c>
      <c r="P525" s="211">
        <f t="shared" si="1120"/>
        <v>1</v>
      </c>
      <c r="Q525" s="212">
        <f t="shared" si="1121"/>
        <v>1107.76</v>
      </c>
      <c r="R525" s="213">
        <f t="shared" si="1122"/>
        <v>1</v>
      </c>
      <c r="S525" s="204">
        <f t="shared" si="1075"/>
        <v>1107.76</v>
      </c>
      <c r="T525" s="204">
        <f t="shared" si="1076"/>
        <v>0</v>
      </c>
      <c r="X525" s="204"/>
      <c r="Y525" s="204"/>
    </row>
    <row r="526" spans="1:25" s="2" customFormat="1" x14ac:dyDescent="0.3">
      <c r="A526" s="298" t="s">
        <v>724</v>
      </c>
      <c r="B526" s="300" t="s">
        <v>1173</v>
      </c>
      <c r="C526" s="302" t="s">
        <v>89</v>
      </c>
      <c r="D526" s="303">
        <v>1</v>
      </c>
      <c r="E526" s="356">
        <v>1862.68</v>
      </c>
      <c r="F526" s="356">
        <f t="shared" si="1086"/>
        <v>1862.68</v>
      </c>
      <c r="G526" s="278">
        <v>0</v>
      </c>
      <c r="H526" s="240">
        <f t="shared" si="1114"/>
        <v>0</v>
      </c>
      <c r="I526" s="241">
        <f t="shared" si="1115"/>
        <v>0</v>
      </c>
      <c r="J526" s="419"/>
      <c r="K526" s="242">
        <f t="shared" si="1116"/>
        <v>0</v>
      </c>
      <c r="L526" s="243">
        <f t="shared" si="1117"/>
        <v>0</v>
      </c>
      <c r="M526" s="240">
        <f t="shared" si="991"/>
        <v>0</v>
      </c>
      <c r="N526" s="240">
        <f t="shared" si="1118"/>
        <v>0</v>
      </c>
      <c r="O526" s="244">
        <f t="shared" si="1119"/>
        <v>0</v>
      </c>
      <c r="P526" s="211">
        <f t="shared" si="1120"/>
        <v>1</v>
      </c>
      <c r="Q526" s="212">
        <f t="shared" si="1121"/>
        <v>1862.68</v>
      </c>
      <c r="R526" s="213">
        <f t="shared" si="1122"/>
        <v>1</v>
      </c>
      <c r="S526" s="204">
        <f t="shared" si="1075"/>
        <v>1862.68</v>
      </c>
      <c r="T526" s="204">
        <f t="shared" si="1076"/>
        <v>0</v>
      </c>
      <c r="X526" s="204"/>
      <c r="Y526" s="204"/>
    </row>
    <row r="527" spans="1:25" s="2" customFormat="1" x14ac:dyDescent="0.3">
      <c r="A527" s="304" t="s">
        <v>725</v>
      </c>
      <c r="B527" s="305" t="s">
        <v>1174</v>
      </c>
      <c r="C527" s="320" t="s">
        <v>160</v>
      </c>
      <c r="D527" s="321"/>
      <c r="E527" s="347"/>
      <c r="F527" s="348">
        <f>+F528</f>
        <v>2548.81</v>
      </c>
      <c r="G527" s="308"/>
      <c r="H527" s="309" t="s">
        <v>110</v>
      </c>
      <c r="I527" s="323" t="s">
        <v>110</v>
      </c>
      <c r="J527" s="419"/>
      <c r="K527" s="309" t="s">
        <v>110</v>
      </c>
      <c r="L527" s="324" t="s">
        <v>110</v>
      </c>
      <c r="M527" s="309"/>
      <c r="N527" s="309" t="s">
        <v>110</v>
      </c>
      <c r="O527" s="324" t="s">
        <v>110</v>
      </c>
      <c r="P527" s="326" t="s">
        <v>110</v>
      </c>
      <c r="Q527" s="309" t="s">
        <v>110</v>
      </c>
      <c r="R527" s="324" t="s">
        <v>110</v>
      </c>
      <c r="S527" s="204" t="s">
        <v>110</v>
      </c>
      <c r="T527" s="204" t="s">
        <v>110</v>
      </c>
      <c r="X527" s="204"/>
      <c r="Y527" s="204"/>
    </row>
    <row r="528" spans="1:25" s="2" customFormat="1" x14ac:dyDescent="0.3">
      <c r="A528" s="298" t="s">
        <v>726</v>
      </c>
      <c r="B528" s="300" t="s">
        <v>1175</v>
      </c>
      <c r="C528" s="302" t="s">
        <v>89</v>
      </c>
      <c r="D528" s="303">
        <v>1</v>
      </c>
      <c r="E528" s="356">
        <v>2548.81</v>
      </c>
      <c r="F528" s="356">
        <f t="shared" si="1086"/>
        <v>2548.81</v>
      </c>
      <c r="G528" s="278">
        <v>0</v>
      </c>
      <c r="H528" s="240">
        <f t="shared" ref="H528" si="1123">G528*E528</f>
        <v>0</v>
      </c>
      <c r="I528" s="241">
        <f t="shared" ref="I528" si="1124">+G528/D528</f>
        <v>0</v>
      </c>
      <c r="J528" s="419"/>
      <c r="K528" s="242">
        <f t="shared" ref="K528" si="1125">J528*E528</f>
        <v>0</v>
      </c>
      <c r="L528" s="243">
        <f t="shared" ref="L528" si="1126">+J528/D528</f>
        <v>0</v>
      </c>
      <c r="M528" s="240">
        <f t="shared" si="991"/>
        <v>0</v>
      </c>
      <c r="N528" s="240">
        <f t="shared" ref="N528" si="1127">M528*E528</f>
        <v>0</v>
      </c>
      <c r="O528" s="244">
        <f t="shared" ref="O528" si="1128">+M528/D528</f>
        <v>0</v>
      </c>
      <c r="P528" s="211">
        <f t="shared" ref="P528" si="1129">+D528-M528</f>
        <v>1</v>
      </c>
      <c r="Q528" s="212">
        <f t="shared" ref="Q528" si="1130">P528*E528</f>
        <v>2548.81</v>
      </c>
      <c r="R528" s="213">
        <f t="shared" ref="R528" si="1131">+P528/D528</f>
        <v>1</v>
      </c>
      <c r="S528" s="204">
        <f t="shared" si="1075"/>
        <v>2548.81</v>
      </c>
      <c r="T528" s="204">
        <f t="shared" si="1076"/>
        <v>0</v>
      </c>
      <c r="X528" s="204"/>
      <c r="Y528" s="204"/>
    </row>
    <row r="529" spans="1:25" s="2" customFormat="1" x14ac:dyDescent="0.3">
      <c r="A529" s="304" t="s">
        <v>727</v>
      </c>
      <c r="B529" s="305" t="s">
        <v>1176</v>
      </c>
      <c r="C529" s="320" t="s">
        <v>160</v>
      </c>
      <c r="D529" s="321"/>
      <c r="E529" s="347"/>
      <c r="F529" s="348">
        <f>+F530</f>
        <v>3077.78</v>
      </c>
      <c r="G529" s="308"/>
      <c r="H529" s="309" t="s">
        <v>110</v>
      </c>
      <c r="I529" s="323" t="s">
        <v>110</v>
      </c>
      <c r="J529" s="419"/>
      <c r="K529" s="309" t="s">
        <v>110</v>
      </c>
      <c r="L529" s="324" t="s">
        <v>110</v>
      </c>
      <c r="M529" s="309"/>
      <c r="N529" s="309" t="s">
        <v>110</v>
      </c>
      <c r="O529" s="324" t="s">
        <v>110</v>
      </c>
      <c r="P529" s="326" t="s">
        <v>110</v>
      </c>
      <c r="Q529" s="309" t="s">
        <v>110</v>
      </c>
      <c r="R529" s="324" t="s">
        <v>110</v>
      </c>
      <c r="S529" s="204" t="s">
        <v>110</v>
      </c>
      <c r="T529" s="204" t="s">
        <v>110</v>
      </c>
      <c r="X529" s="204"/>
      <c r="Y529" s="204"/>
    </row>
    <row r="530" spans="1:25" s="2" customFormat="1" x14ac:dyDescent="0.3">
      <c r="A530" s="298" t="s">
        <v>728</v>
      </c>
      <c r="B530" s="300" t="s">
        <v>1177</v>
      </c>
      <c r="C530" s="302" t="s">
        <v>89</v>
      </c>
      <c r="D530" s="303">
        <v>1</v>
      </c>
      <c r="E530" s="356">
        <v>3077.78</v>
      </c>
      <c r="F530" s="356">
        <f t="shared" si="1086"/>
        <v>3077.78</v>
      </c>
      <c r="G530" s="278">
        <v>0</v>
      </c>
      <c r="H530" s="240">
        <f t="shared" ref="H530" si="1132">G530*E530</f>
        <v>0</v>
      </c>
      <c r="I530" s="241">
        <f t="shared" ref="I530" si="1133">+G530/D530</f>
        <v>0</v>
      </c>
      <c r="J530" s="419"/>
      <c r="K530" s="242">
        <f t="shared" ref="K530" si="1134">J530*E530</f>
        <v>0</v>
      </c>
      <c r="L530" s="243">
        <f t="shared" ref="L530" si="1135">+J530/D530</f>
        <v>0</v>
      </c>
      <c r="M530" s="240">
        <f t="shared" si="991"/>
        <v>0</v>
      </c>
      <c r="N530" s="240">
        <f t="shared" ref="N530" si="1136">M530*E530</f>
        <v>0</v>
      </c>
      <c r="O530" s="244">
        <f t="shared" ref="O530" si="1137">+M530/D530</f>
        <v>0</v>
      </c>
      <c r="P530" s="211">
        <f t="shared" ref="P530" si="1138">+D530-M530</f>
        <v>1</v>
      </c>
      <c r="Q530" s="212">
        <f t="shared" ref="Q530" si="1139">P530*E530</f>
        <v>3077.78</v>
      </c>
      <c r="R530" s="213">
        <f t="shared" ref="R530" si="1140">+P530/D530</f>
        <v>1</v>
      </c>
      <c r="S530" s="204">
        <f t="shared" si="1075"/>
        <v>3077.78</v>
      </c>
      <c r="T530" s="204">
        <f t="shared" si="1076"/>
        <v>0</v>
      </c>
      <c r="X530" s="204"/>
      <c r="Y530" s="204"/>
    </row>
    <row r="531" spans="1:25" s="2" customFormat="1" x14ac:dyDescent="0.3">
      <c r="A531" s="304" t="s">
        <v>729</v>
      </c>
      <c r="B531" s="305" t="s">
        <v>1178</v>
      </c>
      <c r="C531" s="320" t="s">
        <v>160</v>
      </c>
      <c r="D531" s="321"/>
      <c r="E531" s="347"/>
      <c r="F531" s="348">
        <f>SUM(F532:F534)</f>
        <v>6428.4400000000005</v>
      </c>
      <c r="G531" s="308"/>
      <c r="H531" s="309" t="s">
        <v>110</v>
      </c>
      <c r="I531" s="323" t="s">
        <v>110</v>
      </c>
      <c r="J531" s="419"/>
      <c r="K531" s="309" t="s">
        <v>110</v>
      </c>
      <c r="L531" s="324" t="s">
        <v>110</v>
      </c>
      <c r="M531" s="309"/>
      <c r="N531" s="309" t="s">
        <v>110</v>
      </c>
      <c r="O531" s="324" t="s">
        <v>110</v>
      </c>
      <c r="P531" s="326" t="s">
        <v>110</v>
      </c>
      <c r="Q531" s="309" t="s">
        <v>110</v>
      </c>
      <c r="R531" s="324" t="s">
        <v>110</v>
      </c>
      <c r="S531" s="204" t="s">
        <v>110</v>
      </c>
      <c r="T531" s="204" t="s">
        <v>110</v>
      </c>
      <c r="X531" s="204"/>
      <c r="Y531" s="204"/>
    </row>
    <row r="532" spans="1:25" s="2" customFormat="1" x14ac:dyDescent="0.3">
      <c r="A532" s="298" t="s">
        <v>730</v>
      </c>
      <c r="B532" s="300" t="s">
        <v>1179</v>
      </c>
      <c r="C532" s="302" t="s">
        <v>89</v>
      </c>
      <c r="D532" s="303">
        <v>2</v>
      </c>
      <c r="E532" s="356">
        <v>108.78</v>
      </c>
      <c r="F532" s="356">
        <f t="shared" si="1086"/>
        <v>217.56</v>
      </c>
      <c r="G532" s="278">
        <v>0</v>
      </c>
      <c r="H532" s="240">
        <f t="shared" ref="H532:H534" si="1141">G532*E532</f>
        <v>0</v>
      </c>
      <c r="I532" s="241">
        <f t="shared" ref="I532:I534" si="1142">+G532/D532</f>
        <v>0</v>
      </c>
      <c r="J532" s="419"/>
      <c r="K532" s="242">
        <f t="shared" ref="K532:K534" si="1143">J532*E532</f>
        <v>0</v>
      </c>
      <c r="L532" s="243">
        <f t="shared" ref="L532:L534" si="1144">+J532/D532</f>
        <v>0</v>
      </c>
      <c r="M532" s="240">
        <f t="shared" ref="M532:M561" si="1145">+G532+J532</f>
        <v>0</v>
      </c>
      <c r="N532" s="240">
        <f t="shared" ref="N532:N534" si="1146">M532*E532</f>
        <v>0</v>
      </c>
      <c r="O532" s="244">
        <f t="shared" ref="O532:O534" si="1147">+M532/D532</f>
        <v>0</v>
      </c>
      <c r="P532" s="211">
        <f t="shared" ref="P532:P534" si="1148">+D532-M532</f>
        <v>2</v>
      </c>
      <c r="Q532" s="212">
        <f t="shared" ref="Q532:Q534" si="1149">P532*E532</f>
        <v>217.56</v>
      </c>
      <c r="R532" s="213">
        <f t="shared" ref="R532:R534" si="1150">+P532/D532</f>
        <v>1</v>
      </c>
      <c r="S532" s="204">
        <f t="shared" si="1075"/>
        <v>217.56</v>
      </c>
      <c r="T532" s="204">
        <f t="shared" si="1076"/>
        <v>0</v>
      </c>
      <c r="X532" s="204"/>
      <c r="Y532" s="204"/>
    </row>
    <row r="533" spans="1:25" s="2" customFormat="1" x14ac:dyDescent="0.3">
      <c r="A533" s="298" t="s">
        <v>731</v>
      </c>
      <c r="B533" s="300" t="s">
        <v>1180</v>
      </c>
      <c r="C533" s="302" t="s">
        <v>89</v>
      </c>
      <c r="D533" s="303">
        <v>2</v>
      </c>
      <c r="E533" s="356">
        <v>2857.34</v>
      </c>
      <c r="F533" s="356">
        <f t="shared" si="1086"/>
        <v>5714.68</v>
      </c>
      <c r="G533" s="278">
        <v>0</v>
      </c>
      <c r="H533" s="240">
        <f t="shared" si="1141"/>
        <v>0</v>
      </c>
      <c r="I533" s="241">
        <f t="shared" si="1142"/>
        <v>0</v>
      </c>
      <c r="J533" s="419"/>
      <c r="K533" s="242">
        <f t="shared" si="1143"/>
        <v>0</v>
      </c>
      <c r="L533" s="243">
        <f t="shared" si="1144"/>
        <v>0</v>
      </c>
      <c r="M533" s="240">
        <f t="shared" si="1145"/>
        <v>0</v>
      </c>
      <c r="N533" s="240">
        <f t="shared" si="1146"/>
        <v>0</v>
      </c>
      <c r="O533" s="244">
        <f t="shared" si="1147"/>
        <v>0</v>
      </c>
      <c r="P533" s="211">
        <f t="shared" si="1148"/>
        <v>2</v>
      </c>
      <c r="Q533" s="212">
        <f t="shared" si="1149"/>
        <v>5714.68</v>
      </c>
      <c r="R533" s="213">
        <f t="shared" si="1150"/>
        <v>1</v>
      </c>
      <c r="S533" s="204">
        <f t="shared" si="1075"/>
        <v>5714.68</v>
      </c>
      <c r="T533" s="204">
        <f t="shared" si="1076"/>
        <v>0</v>
      </c>
      <c r="X533" s="204"/>
      <c r="Y533" s="204"/>
    </row>
    <row r="534" spans="1:25" s="2" customFormat="1" x14ac:dyDescent="0.3">
      <c r="A534" s="298" t="s">
        <v>732</v>
      </c>
      <c r="B534" s="300" t="s">
        <v>1181</v>
      </c>
      <c r="C534" s="302" t="s">
        <v>89</v>
      </c>
      <c r="D534" s="303">
        <v>4</v>
      </c>
      <c r="E534" s="356">
        <v>124.05</v>
      </c>
      <c r="F534" s="356">
        <f t="shared" si="1086"/>
        <v>496.2</v>
      </c>
      <c r="G534" s="278">
        <v>0</v>
      </c>
      <c r="H534" s="240">
        <f t="shared" si="1141"/>
        <v>0</v>
      </c>
      <c r="I534" s="241">
        <f t="shared" si="1142"/>
        <v>0</v>
      </c>
      <c r="J534" s="419"/>
      <c r="K534" s="242">
        <f t="shared" si="1143"/>
        <v>0</v>
      </c>
      <c r="L534" s="243">
        <f t="shared" si="1144"/>
        <v>0</v>
      </c>
      <c r="M534" s="240">
        <f t="shared" si="1145"/>
        <v>0</v>
      </c>
      <c r="N534" s="240">
        <f t="shared" si="1146"/>
        <v>0</v>
      </c>
      <c r="O534" s="244">
        <f t="shared" si="1147"/>
        <v>0</v>
      </c>
      <c r="P534" s="211">
        <f t="shared" si="1148"/>
        <v>4</v>
      </c>
      <c r="Q534" s="212">
        <f t="shared" si="1149"/>
        <v>496.2</v>
      </c>
      <c r="R534" s="213">
        <f t="shared" si="1150"/>
        <v>1</v>
      </c>
      <c r="S534" s="204">
        <f t="shared" si="1075"/>
        <v>496.2</v>
      </c>
      <c r="T534" s="204">
        <f t="shared" si="1076"/>
        <v>0</v>
      </c>
      <c r="X534" s="204"/>
      <c r="Y534" s="204"/>
    </row>
    <row r="535" spans="1:25" s="2" customFormat="1" x14ac:dyDescent="0.3">
      <c r="A535" s="304" t="s">
        <v>733</v>
      </c>
      <c r="B535" s="305" t="s">
        <v>1182</v>
      </c>
      <c r="C535" s="320" t="s">
        <v>160</v>
      </c>
      <c r="D535" s="321"/>
      <c r="E535" s="347"/>
      <c r="F535" s="348">
        <f>+F536</f>
        <v>2231.67</v>
      </c>
      <c r="G535" s="308"/>
      <c r="H535" s="309" t="s">
        <v>110</v>
      </c>
      <c r="I535" s="323" t="s">
        <v>110</v>
      </c>
      <c r="J535" s="419"/>
      <c r="K535" s="309" t="s">
        <v>110</v>
      </c>
      <c r="L535" s="324" t="s">
        <v>110</v>
      </c>
      <c r="M535" s="309"/>
      <c r="N535" s="309" t="s">
        <v>110</v>
      </c>
      <c r="O535" s="324" t="s">
        <v>110</v>
      </c>
      <c r="P535" s="326" t="s">
        <v>110</v>
      </c>
      <c r="Q535" s="309" t="s">
        <v>110</v>
      </c>
      <c r="R535" s="324" t="s">
        <v>110</v>
      </c>
      <c r="S535" s="204" t="s">
        <v>110</v>
      </c>
      <c r="T535" s="204" t="s">
        <v>110</v>
      </c>
      <c r="X535" s="204"/>
      <c r="Y535" s="204"/>
    </row>
    <row r="536" spans="1:25" s="2" customFormat="1" x14ac:dyDescent="0.3">
      <c r="A536" s="298" t="s">
        <v>734</v>
      </c>
      <c r="B536" s="300" t="s">
        <v>1183</v>
      </c>
      <c r="C536" s="302" t="s">
        <v>89</v>
      </c>
      <c r="D536" s="303">
        <v>1</v>
      </c>
      <c r="E536" s="358">
        <v>2231.67</v>
      </c>
      <c r="F536" s="358">
        <f t="shared" si="1086"/>
        <v>2231.67</v>
      </c>
      <c r="G536" s="278">
        <v>0</v>
      </c>
      <c r="H536" s="240">
        <f t="shared" ref="H536" si="1151">G536*E536</f>
        <v>0</v>
      </c>
      <c r="I536" s="241">
        <f t="shared" ref="I536" si="1152">+G536/D536</f>
        <v>0</v>
      </c>
      <c r="J536" s="419"/>
      <c r="K536" s="242">
        <f t="shared" ref="K536" si="1153">J536*E536</f>
        <v>0</v>
      </c>
      <c r="L536" s="243">
        <f t="shared" ref="L536" si="1154">+J536/D536</f>
        <v>0</v>
      </c>
      <c r="M536" s="240">
        <f t="shared" si="1145"/>
        <v>0</v>
      </c>
      <c r="N536" s="240">
        <f t="shared" ref="N536" si="1155">M536*E536</f>
        <v>0</v>
      </c>
      <c r="O536" s="244">
        <f t="shared" ref="O536" si="1156">+M536/D536</f>
        <v>0</v>
      </c>
      <c r="P536" s="211">
        <f t="shared" ref="P536" si="1157">+D536-M536</f>
        <v>1</v>
      </c>
      <c r="Q536" s="212">
        <f t="shared" ref="Q536" si="1158">P536*E536</f>
        <v>2231.67</v>
      </c>
      <c r="R536" s="213">
        <f t="shared" ref="R536" si="1159">+P536/D536</f>
        <v>1</v>
      </c>
      <c r="S536" s="204">
        <f t="shared" si="1075"/>
        <v>2231.67</v>
      </c>
      <c r="T536" s="204">
        <f t="shared" si="1076"/>
        <v>0</v>
      </c>
      <c r="X536" s="204"/>
      <c r="Y536" s="204"/>
    </row>
    <row r="537" spans="1:25" s="2" customFormat="1" x14ac:dyDescent="0.3">
      <c r="A537" s="304" t="s">
        <v>300</v>
      </c>
      <c r="B537" s="305" t="s">
        <v>1184</v>
      </c>
      <c r="C537" s="320" t="s">
        <v>160</v>
      </c>
      <c r="D537" s="321"/>
      <c r="E537" s="345"/>
      <c r="F537" s="346">
        <f>+F538+F558</f>
        <v>7467.5399999999991</v>
      </c>
      <c r="G537" s="308"/>
      <c r="H537" s="309" t="s">
        <v>110</v>
      </c>
      <c r="I537" s="323" t="s">
        <v>110</v>
      </c>
      <c r="J537" s="419"/>
      <c r="K537" s="309" t="s">
        <v>110</v>
      </c>
      <c r="L537" s="324" t="s">
        <v>110</v>
      </c>
      <c r="M537" s="309"/>
      <c r="N537" s="309" t="s">
        <v>110</v>
      </c>
      <c r="O537" s="324" t="s">
        <v>110</v>
      </c>
      <c r="P537" s="326" t="s">
        <v>110</v>
      </c>
      <c r="Q537" s="309" t="s">
        <v>110</v>
      </c>
      <c r="R537" s="324" t="s">
        <v>110</v>
      </c>
      <c r="S537" s="204" t="s">
        <v>110</v>
      </c>
      <c r="T537" s="204" t="s">
        <v>110</v>
      </c>
      <c r="X537" s="204"/>
      <c r="Y537" s="204"/>
    </row>
    <row r="538" spans="1:25" s="2" customFormat="1" x14ac:dyDescent="0.3">
      <c r="A538" s="304" t="s">
        <v>266</v>
      </c>
      <c r="B538" s="312" t="s">
        <v>812</v>
      </c>
      <c r="C538" s="306" t="s">
        <v>160</v>
      </c>
      <c r="D538" s="307"/>
      <c r="E538" s="347"/>
      <c r="F538" s="348">
        <f>+F539+F550+F552+F554+F556</f>
        <v>4896.4399999999996</v>
      </c>
      <c r="G538" s="308"/>
      <c r="H538" s="309" t="s">
        <v>110</v>
      </c>
      <c r="I538" s="323" t="s">
        <v>110</v>
      </c>
      <c r="J538" s="419"/>
      <c r="K538" s="309" t="s">
        <v>110</v>
      </c>
      <c r="L538" s="324" t="s">
        <v>110</v>
      </c>
      <c r="M538" s="309"/>
      <c r="N538" s="309" t="s">
        <v>110</v>
      </c>
      <c r="O538" s="324" t="s">
        <v>110</v>
      </c>
      <c r="P538" s="326" t="s">
        <v>110</v>
      </c>
      <c r="Q538" s="309" t="s">
        <v>110</v>
      </c>
      <c r="R538" s="324" t="s">
        <v>110</v>
      </c>
      <c r="S538" s="204" t="s">
        <v>110</v>
      </c>
      <c r="T538" s="204" t="s">
        <v>110</v>
      </c>
      <c r="X538" s="204"/>
      <c r="Y538" s="204"/>
    </row>
    <row r="539" spans="1:25" s="2" customFormat="1" x14ac:dyDescent="0.3">
      <c r="A539" s="304" t="s">
        <v>267</v>
      </c>
      <c r="B539" s="305" t="s">
        <v>1185</v>
      </c>
      <c r="C539" s="306" t="s">
        <v>160</v>
      </c>
      <c r="D539" s="307"/>
      <c r="E539" s="349"/>
      <c r="F539" s="350">
        <f>SUM(F540:F549)</f>
        <v>2261.11</v>
      </c>
      <c r="G539" s="308"/>
      <c r="H539" s="309" t="s">
        <v>110</v>
      </c>
      <c r="I539" s="323" t="s">
        <v>110</v>
      </c>
      <c r="J539" s="419"/>
      <c r="K539" s="309" t="s">
        <v>110</v>
      </c>
      <c r="L539" s="324" t="s">
        <v>110</v>
      </c>
      <c r="M539" s="309"/>
      <c r="N539" s="309" t="s">
        <v>110</v>
      </c>
      <c r="O539" s="324" t="s">
        <v>110</v>
      </c>
      <c r="P539" s="326" t="s">
        <v>110</v>
      </c>
      <c r="Q539" s="309" t="s">
        <v>110</v>
      </c>
      <c r="R539" s="324" t="s">
        <v>110</v>
      </c>
      <c r="S539" s="204" t="s">
        <v>110</v>
      </c>
      <c r="T539" s="204" t="s">
        <v>110</v>
      </c>
      <c r="X539" s="204"/>
      <c r="Y539" s="204"/>
    </row>
    <row r="540" spans="1:25" s="2" customFormat="1" x14ac:dyDescent="0.3">
      <c r="A540" s="298" t="s">
        <v>735</v>
      </c>
      <c r="B540" s="300" t="s">
        <v>1053</v>
      </c>
      <c r="C540" s="302" t="s">
        <v>275</v>
      </c>
      <c r="D540" s="303">
        <v>6</v>
      </c>
      <c r="E540" s="356">
        <v>87.48</v>
      </c>
      <c r="F540" s="356">
        <f t="shared" ref="F540:F561" si="1160">+ROUND((D540*E540),2)</f>
        <v>524.88</v>
      </c>
      <c r="G540" s="278">
        <v>0</v>
      </c>
      <c r="H540" s="240">
        <f t="shared" ref="H540:H549" si="1161">G540*E540</f>
        <v>0</v>
      </c>
      <c r="I540" s="241">
        <f t="shared" ref="I540:I549" si="1162">+G540/D540</f>
        <v>0</v>
      </c>
      <c r="J540" s="419">
        <f>+D540</f>
        <v>6</v>
      </c>
      <c r="K540" s="242">
        <f t="shared" ref="K540:K549" si="1163">J540*E540</f>
        <v>524.88</v>
      </c>
      <c r="L540" s="243">
        <f t="shared" ref="L540:L549" si="1164">+J540/D540</f>
        <v>1</v>
      </c>
      <c r="M540" s="240">
        <f t="shared" si="1145"/>
        <v>6</v>
      </c>
      <c r="N540" s="240">
        <f t="shared" ref="N540:N549" si="1165">M540*E540</f>
        <v>524.88</v>
      </c>
      <c r="O540" s="244">
        <f t="shared" ref="O540:O549" si="1166">+M540/D540</f>
        <v>1</v>
      </c>
      <c r="P540" s="211">
        <f t="shared" ref="P540:P549" si="1167">+D540-M540</f>
        <v>0</v>
      </c>
      <c r="Q540" s="212">
        <f t="shared" ref="Q540:Q549" si="1168">P540*E540</f>
        <v>0</v>
      </c>
      <c r="R540" s="213">
        <f t="shared" ref="R540:R549" si="1169">+P540/D540</f>
        <v>0</v>
      </c>
      <c r="S540" s="204">
        <f t="shared" si="1075"/>
        <v>524.88</v>
      </c>
      <c r="T540" s="204">
        <f t="shared" si="1076"/>
        <v>0</v>
      </c>
      <c r="X540" s="204"/>
      <c r="Y540" s="204"/>
    </row>
    <row r="541" spans="1:25" s="2" customFormat="1" x14ac:dyDescent="0.3">
      <c r="A541" s="298" t="s">
        <v>736</v>
      </c>
      <c r="B541" s="300" t="s">
        <v>1186</v>
      </c>
      <c r="C541" s="302" t="s">
        <v>275</v>
      </c>
      <c r="D541" s="303">
        <v>3</v>
      </c>
      <c r="E541" s="356">
        <v>87.48</v>
      </c>
      <c r="F541" s="356">
        <f t="shared" si="1160"/>
        <v>262.44</v>
      </c>
      <c r="G541" s="278">
        <v>0</v>
      </c>
      <c r="H541" s="240">
        <f t="shared" si="1161"/>
        <v>0</v>
      </c>
      <c r="I541" s="241">
        <f t="shared" si="1162"/>
        <v>0</v>
      </c>
      <c r="J541" s="419">
        <f t="shared" ref="J541:J549" si="1170">+D541</f>
        <v>3</v>
      </c>
      <c r="K541" s="242">
        <f t="shared" si="1163"/>
        <v>262.44</v>
      </c>
      <c r="L541" s="243">
        <f t="shared" si="1164"/>
        <v>1</v>
      </c>
      <c r="M541" s="240">
        <f t="shared" si="1145"/>
        <v>3</v>
      </c>
      <c r="N541" s="240">
        <f t="shared" si="1165"/>
        <v>262.44</v>
      </c>
      <c r="O541" s="244">
        <f t="shared" si="1166"/>
        <v>1</v>
      </c>
      <c r="P541" s="211">
        <f t="shared" si="1167"/>
        <v>0</v>
      </c>
      <c r="Q541" s="212">
        <f t="shared" si="1168"/>
        <v>0</v>
      </c>
      <c r="R541" s="213">
        <f t="shared" si="1169"/>
        <v>0</v>
      </c>
      <c r="S541" s="204">
        <f t="shared" si="1075"/>
        <v>262.44</v>
      </c>
      <c r="T541" s="204">
        <f t="shared" si="1076"/>
        <v>0</v>
      </c>
      <c r="X541" s="204"/>
      <c r="Y541" s="204"/>
    </row>
    <row r="542" spans="1:25" s="2" customFormat="1" x14ac:dyDescent="0.3">
      <c r="A542" s="298" t="s">
        <v>737</v>
      </c>
      <c r="B542" s="300" t="s">
        <v>1187</v>
      </c>
      <c r="C542" s="302" t="s">
        <v>275</v>
      </c>
      <c r="D542" s="303">
        <v>2</v>
      </c>
      <c r="E542" s="356">
        <v>87.48</v>
      </c>
      <c r="F542" s="356">
        <f t="shared" si="1160"/>
        <v>174.96</v>
      </c>
      <c r="G542" s="278">
        <v>0</v>
      </c>
      <c r="H542" s="240">
        <f t="shared" si="1161"/>
        <v>0</v>
      </c>
      <c r="I542" s="241">
        <f t="shared" si="1162"/>
        <v>0</v>
      </c>
      <c r="J542" s="419">
        <f t="shared" si="1170"/>
        <v>2</v>
      </c>
      <c r="K542" s="242">
        <f t="shared" si="1163"/>
        <v>174.96</v>
      </c>
      <c r="L542" s="243">
        <f t="shared" si="1164"/>
        <v>1</v>
      </c>
      <c r="M542" s="240">
        <f t="shared" si="1145"/>
        <v>2</v>
      </c>
      <c r="N542" s="240">
        <f t="shared" si="1165"/>
        <v>174.96</v>
      </c>
      <c r="O542" s="244">
        <f t="shared" si="1166"/>
        <v>1</v>
      </c>
      <c r="P542" s="211">
        <f t="shared" si="1167"/>
        <v>0</v>
      </c>
      <c r="Q542" s="212">
        <f t="shared" si="1168"/>
        <v>0</v>
      </c>
      <c r="R542" s="213">
        <f t="shared" si="1169"/>
        <v>0</v>
      </c>
      <c r="S542" s="204">
        <f t="shared" si="1075"/>
        <v>174.96</v>
      </c>
      <c r="T542" s="204">
        <f t="shared" si="1076"/>
        <v>0</v>
      </c>
      <c r="X542" s="204"/>
      <c r="Y542" s="204"/>
    </row>
    <row r="543" spans="1:25" s="2" customFormat="1" x14ac:dyDescent="0.3">
      <c r="A543" s="298" t="s">
        <v>738</v>
      </c>
      <c r="B543" s="300" t="s">
        <v>1188</v>
      </c>
      <c r="C543" s="302" t="s">
        <v>89</v>
      </c>
      <c r="D543" s="303">
        <v>3</v>
      </c>
      <c r="E543" s="356">
        <v>4.08</v>
      </c>
      <c r="F543" s="356">
        <f t="shared" si="1160"/>
        <v>12.24</v>
      </c>
      <c r="G543" s="278">
        <v>0</v>
      </c>
      <c r="H543" s="240">
        <f t="shared" si="1161"/>
        <v>0</v>
      </c>
      <c r="I543" s="241">
        <f t="shared" si="1162"/>
        <v>0</v>
      </c>
      <c r="J543" s="419">
        <f t="shared" si="1170"/>
        <v>3</v>
      </c>
      <c r="K543" s="242">
        <f t="shared" si="1163"/>
        <v>12.24</v>
      </c>
      <c r="L543" s="243">
        <f t="shared" si="1164"/>
        <v>1</v>
      </c>
      <c r="M543" s="240">
        <f t="shared" si="1145"/>
        <v>3</v>
      </c>
      <c r="N543" s="240">
        <f t="shared" si="1165"/>
        <v>12.24</v>
      </c>
      <c r="O543" s="244">
        <f t="shared" si="1166"/>
        <v>1</v>
      </c>
      <c r="P543" s="211">
        <f t="shared" si="1167"/>
        <v>0</v>
      </c>
      <c r="Q543" s="212">
        <f t="shared" si="1168"/>
        <v>0</v>
      </c>
      <c r="R543" s="213">
        <f t="shared" si="1169"/>
        <v>0</v>
      </c>
      <c r="S543" s="204">
        <f t="shared" si="1075"/>
        <v>12.24</v>
      </c>
      <c r="T543" s="204">
        <f t="shared" si="1076"/>
        <v>0</v>
      </c>
      <c r="X543" s="204"/>
      <c r="Y543" s="204"/>
    </row>
    <row r="544" spans="1:25" s="2" customFormat="1" x14ac:dyDescent="0.3">
      <c r="A544" s="298" t="s">
        <v>739</v>
      </c>
      <c r="B544" s="300" t="s">
        <v>1189</v>
      </c>
      <c r="C544" s="302" t="s">
        <v>275</v>
      </c>
      <c r="D544" s="303">
        <v>2</v>
      </c>
      <c r="E544" s="356">
        <v>81.290000000000006</v>
      </c>
      <c r="F544" s="356">
        <f t="shared" si="1160"/>
        <v>162.58000000000001</v>
      </c>
      <c r="G544" s="278">
        <v>0</v>
      </c>
      <c r="H544" s="240">
        <f t="shared" si="1161"/>
        <v>0</v>
      </c>
      <c r="I544" s="241">
        <f t="shared" si="1162"/>
        <v>0</v>
      </c>
      <c r="J544" s="419">
        <f t="shared" si="1170"/>
        <v>2</v>
      </c>
      <c r="K544" s="242">
        <f t="shared" si="1163"/>
        <v>162.58000000000001</v>
      </c>
      <c r="L544" s="243">
        <f t="shared" si="1164"/>
        <v>1</v>
      </c>
      <c r="M544" s="240">
        <f t="shared" si="1145"/>
        <v>2</v>
      </c>
      <c r="N544" s="240">
        <f t="shared" si="1165"/>
        <v>162.58000000000001</v>
      </c>
      <c r="O544" s="244">
        <f t="shared" si="1166"/>
        <v>1</v>
      </c>
      <c r="P544" s="211">
        <f t="shared" si="1167"/>
        <v>0</v>
      </c>
      <c r="Q544" s="212">
        <f t="shared" si="1168"/>
        <v>0</v>
      </c>
      <c r="R544" s="213">
        <f t="shared" si="1169"/>
        <v>0</v>
      </c>
      <c r="S544" s="204">
        <f t="shared" si="1075"/>
        <v>162.58000000000001</v>
      </c>
      <c r="T544" s="204">
        <f t="shared" si="1076"/>
        <v>0</v>
      </c>
      <c r="X544" s="204"/>
      <c r="Y544" s="204"/>
    </row>
    <row r="545" spans="1:25" s="2" customFormat="1" x14ac:dyDescent="0.3">
      <c r="A545" s="298" t="s">
        <v>740</v>
      </c>
      <c r="B545" s="300" t="s">
        <v>1190</v>
      </c>
      <c r="C545" s="302" t="s">
        <v>89</v>
      </c>
      <c r="D545" s="303">
        <v>7</v>
      </c>
      <c r="E545" s="356">
        <v>41.17</v>
      </c>
      <c r="F545" s="356">
        <f t="shared" si="1160"/>
        <v>288.19</v>
      </c>
      <c r="G545" s="278">
        <v>0</v>
      </c>
      <c r="H545" s="240">
        <f t="shared" si="1161"/>
        <v>0</v>
      </c>
      <c r="I545" s="241">
        <f t="shared" si="1162"/>
        <v>0</v>
      </c>
      <c r="J545" s="419">
        <f t="shared" si="1170"/>
        <v>7</v>
      </c>
      <c r="K545" s="242">
        <f t="shared" si="1163"/>
        <v>288.19</v>
      </c>
      <c r="L545" s="243">
        <f t="shared" si="1164"/>
        <v>1</v>
      </c>
      <c r="M545" s="240">
        <f t="shared" si="1145"/>
        <v>7</v>
      </c>
      <c r="N545" s="240">
        <f t="shared" si="1165"/>
        <v>288.19</v>
      </c>
      <c r="O545" s="244">
        <f t="shared" si="1166"/>
        <v>1</v>
      </c>
      <c r="P545" s="211">
        <f t="shared" si="1167"/>
        <v>0</v>
      </c>
      <c r="Q545" s="212">
        <f t="shared" si="1168"/>
        <v>0</v>
      </c>
      <c r="R545" s="213">
        <f t="shared" si="1169"/>
        <v>0</v>
      </c>
      <c r="S545" s="204">
        <f t="shared" si="1075"/>
        <v>288.19</v>
      </c>
      <c r="T545" s="204">
        <f t="shared" si="1076"/>
        <v>0</v>
      </c>
      <c r="X545" s="204"/>
      <c r="Y545" s="204"/>
    </row>
    <row r="546" spans="1:25" s="2" customFormat="1" x14ac:dyDescent="0.3">
      <c r="A546" s="298" t="s">
        <v>741</v>
      </c>
      <c r="B546" s="300" t="s">
        <v>1191</v>
      </c>
      <c r="C546" s="302" t="s">
        <v>275</v>
      </c>
      <c r="D546" s="303">
        <v>4</v>
      </c>
      <c r="E546" s="356">
        <v>96.74</v>
      </c>
      <c r="F546" s="356">
        <f t="shared" si="1160"/>
        <v>386.96</v>
      </c>
      <c r="G546" s="278">
        <v>0</v>
      </c>
      <c r="H546" s="240">
        <f t="shared" si="1161"/>
        <v>0</v>
      </c>
      <c r="I546" s="241">
        <f t="shared" si="1162"/>
        <v>0</v>
      </c>
      <c r="J546" s="419">
        <f t="shared" si="1170"/>
        <v>4</v>
      </c>
      <c r="K546" s="242">
        <f t="shared" si="1163"/>
        <v>386.96</v>
      </c>
      <c r="L546" s="243">
        <f t="shared" si="1164"/>
        <v>1</v>
      </c>
      <c r="M546" s="240">
        <f t="shared" si="1145"/>
        <v>4</v>
      </c>
      <c r="N546" s="240">
        <f t="shared" si="1165"/>
        <v>386.96</v>
      </c>
      <c r="O546" s="244">
        <f t="shared" si="1166"/>
        <v>1</v>
      </c>
      <c r="P546" s="211">
        <f t="shared" si="1167"/>
        <v>0</v>
      </c>
      <c r="Q546" s="212">
        <f t="shared" si="1168"/>
        <v>0</v>
      </c>
      <c r="R546" s="213">
        <f t="shared" si="1169"/>
        <v>0</v>
      </c>
      <c r="S546" s="204">
        <f t="shared" si="1075"/>
        <v>386.96</v>
      </c>
      <c r="T546" s="204">
        <f t="shared" si="1076"/>
        <v>0</v>
      </c>
      <c r="X546" s="204"/>
      <c r="Y546" s="204"/>
    </row>
    <row r="547" spans="1:25" s="2" customFormat="1" x14ac:dyDescent="0.3">
      <c r="A547" s="298" t="s">
        <v>742</v>
      </c>
      <c r="B547" s="300" t="s">
        <v>1192</v>
      </c>
      <c r="C547" s="302" t="s">
        <v>89</v>
      </c>
      <c r="D547" s="303">
        <v>7</v>
      </c>
      <c r="E547" s="356">
        <v>55.62</v>
      </c>
      <c r="F547" s="356">
        <f t="shared" si="1160"/>
        <v>389.34</v>
      </c>
      <c r="G547" s="278">
        <v>0</v>
      </c>
      <c r="H547" s="240">
        <f t="shared" si="1161"/>
        <v>0</v>
      </c>
      <c r="I547" s="241">
        <f t="shared" si="1162"/>
        <v>0</v>
      </c>
      <c r="J547" s="419">
        <f t="shared" si="1170"/>
        <v>7</v>
      </c>
      <c r="K547" s="242">
        <f t="shared" si="1163"/>
        <v>389.34</v>
      </c>
      <c r="L547" s="243">
        <f t="shared" si="1164"/>
        <v>1</v>
      </c>
      <c r="M547" s="240">
        <f t="shared" si="1145"/>
        <v>7</v>
      </c>
      <c r="N547" s="240">
        <f t="shared" si="1165"/>
        <v>389.34</v>
      </c>
      <c r="O547" s="244">
        <f t="shared" si="1166"/>
        <v>1</v>
      </c>
      <c r="P547" s="211">
        <f t="shared" si="1167"/>
        <v>0</v>
      </c>
      <c r="Q547" s="212">
        <f t="shared" si="1168"/>
        <v>0</v>
      </c>
      <c r="R547" s="213">
        <f t="shared" si="1169"/>
        <v>0</v>
      </c>
      <c r="S547" s="204">
        <f t="shared" si="1075"/>
        <v>389.34</v>
      </c>
      <c r="T547" s="204">
        <f t="shared" si="1076"/>
        <v>0</v>
      </c>
      <c r="X547" s="204"/>
      <c r="Y547" s="204"/>
    </row>
    <row r="548" spans="1:25" s="2" customFormat="1" x14ac:dyDescent="0.3">
      <c r="A548" s="298" t="s">
        <v>743</v>
      </c>
      <c r="B548" s="300" t="s">
        <v>1193</v>
      </c>
      <c r="C548" s="302" t="s">
        <v>89</v>
      </c>
      <c r="D548" s="303">
        <v>1</v>
      </c>
      <c r="E548" s="356">
        <v>55.62</v>
      </c>
      <c r="F548" s="356">
        <f t="shared" si="1160"/>
        <v>55.62</v>
      </c>
      <c r="G548" s="278">
        <v>0</v>
      </c>
      <c r="H548" s="240">
        <f t="shared" si="1161"/>
        <v>0</v>
      </c>
      <c r="I548" s="241">
        <f t="shared" si="1162"/>
        <v>0</v>
      </c>
      <c r="J548" s="419">
        <f t="shared" si="1170"/>
        <v>1</v>
      </c>
      <c r="K548" s="242">
        <f t="shared" si="1163"/>
        <v>55.62</v>
      </c>
      <c r="L548" s="243">
        <f t="shared" si="1164"/>
        <v>1</v>
      </c>
      <c r="M548" s="240">
        <f t="shared" si="1145"/>
        <v>1</v>
      </c>
      <c r="N548" s="240">
        <f t="shared" si="1165"/>
        <v>55.62</v>
      </c>
      <c r="O548" s="244">
        <f t="shared" si="1166"/>
        <v>1</v>
      </c>
      <c r="P548" s="211">
        <f t="shared" si="1167"/>
        <v>0</v>
      </c>
      <c r="Q548" s="212">
        <f t="shared" si="1168"/>
        <v>0</v>
      </c>
      <c r="R548" s="213">
        <f t="shared" si="1169"/>
        <v>0</v>
      </c>
      <c r="S548" s="204">
        <f t="shared" si="1075"/>
        <v>55.62</v>
      </c>
      <c r="T548" s="204">
        <f t="shared" si="1076"/>
        <v>0</v>
      </c>
      <c r="X548" s="204"/>
      <c r="Y548" s="204"/>
    </row>
    <row r="549" spans="1:25" s="2" customFormat="1" x14ac:dyDescent="0.3">
      <c r="A549" s="298" t="s">
        <v>744</v>
      </c>
      <c r="B549" s="300" t="s">
        <v>1194</v>
      </c>
      <c r="C549" s="302" t="s">
        <v>89</v>
      </c>
      <c r="D549" s="303">
        <v>1</v>
      </c>
      <c r="E549" s="356">
        <v>3.9</v>
      </c>
      <c r="F549" s="356">
        <f t="shared" si="1160"/>
        <v>3.9</v>
      </c>
      <c r="G549" s="278">
        <v>0</v>
      </c>
      <c r="H549" s="240">
        <f t="shared" si="1161"/>
        <v>0</v>
      </c>
      <c r="I549" s="241">
        <f t="shared" si="1162"/>
        <v>0</v>
      </c>
      <c r="J549" s="419">
        <f t="shared" si="1170"/>
        <v>1</v>
      </c>
      <c r="K549" s="242">
        <f t="shared" si="1163"/>
        <v>3.9</v>
      </c>
      <c r="L549" s="243">
        <f t="shared" si="1164"/>
        <v>1</v>
      </c>
      <c r="M549" s="240">
        <f t="shared" si="1145"/>
        <v>1</v>
      </c>
      <c r="N549" s="240">
        <f t="shared" si="1165"/>
        <v>3.9</v>
      </c>
      <c r="O549" s="244">
        <f t="shared" si="1166"/>
        <v>1</v>
      </c>
      <c r="P549" s="211">
        <f t="shared" si="1167"/>
        <v>0</v>
      </c>
      <c r="Q549" s="212">
        <f t="shared" si="1168"/>
        <v>0</v>
      </c>
      <c r="R549" s="213">
        <f t="shared" si="1169"/>
        <v>0</v>
      </c>
      <c r="S549" s="204">
        <f t="shared" si="1075"/>
        <v>3.9</v>
      </c>
      <c r="T549" s="204">
        <f t="shared" si="1076"/>
        <v>0</v>
      </c>
      <c r="X549" s="204"/>
      <c r="Y549" s="204"/>
    </row>
    <row r="550" spans="1:25" s="2" customFormat="1" x14ac:dyDescent="0.3">
      <c r="A550" s="304" t="s">
        <v>268</v>
      </c>
      <c r="B550" s="305" t="s">
        <v>1195</v>
      </c>
      <c r="C550" s="320" t="s">
        <v>160</v>
      </c>
      <c r="D550" s="321"/>
      <c r="E550" s="349"/>
      <c r="F550" s="350">
        <f>+F551</f>
        <v>682.8</v>
      </c>
      <c r="G550" s="308"/>
      <c r="H550" s="309" t="s">
        <v>110</v>
      </c>
      <c r="I550" s="323" t="s">
        <v>110</v>
      </c>
      <c r="J550" s="419"/>
      <c r="K550" s="309" t="s">
        <v>110</v>
      </c>
      <c r="L550" s="324" t="s">
        <v>110</v>
      </c>
      <c r="M550" s="309"/>
      <c r="N550" s="309" t="s">
        <v>110</v>
      </c>
      <c r="O550" s="324" t="s">
        <v>110</v>
      </c>
      <c r="P550" s="326" t="s">
        <v>110</v>
      </c>
      <c r="Q550" s="309" t="s">
        <v>110</v>
      </c>
      <c r="R550" s="324" t="s">
        <v>110</v>
      </c>
      <c r="S550" s="204" t="s">
        <v>110</v>
      </c>
      <c r="T550" s="204" t="s">
        <v>110</v>
      </c>
      <c r="X550" s="204"/>
      <c r="Y550" s="204"/>
    </row>
    <row r="551" spans="1:25" s="2" customFormat="1" x14ac:dyDescent="0.3">
      <c r="A551" s="298" t="s">
        <v>745</v>
      </c>
      <c r="B551" s="300" t="s">
        <v>1196</v>
      </c>
      <c r="C551" s="302" t="s">
        <v>94</v>
      </c>
      <c r="D551" s="303">
        <v>35.36</v>
      </c>
      <c r="E551" s="356">
        <v>19.309999999999999</v>
      </c>
      <c r="F551" s="356">
        <f t="shared" si="1160"/>
        <v>682.8</v>
      </c>
      <c r="G551" s="278">
        <v>0</v>
      </c>
      <c r="H551" s="240">
        <f t="shared" ref="H551" si="1171">G551*E551</f>
        <v>0</v>
      </c>
      <c r="I551" s="241">
        <f t="shared" ref="I551" si="1172">+G551/D551</f>
        <v>0</v>
      </c>
      <c r="J551" s="419"/>
      <c r="K551" s="242">
        <f t="shared" ref="K551" si="1173">J551*E551</f>
        <v>0</v>
      </c>
      <c r="L551" s="243">
        <f t="shared" ref="L551" si="1174">+J551/D551</f>
        <v>0</v>
      </c>
      <c r="M551" s="240">
        <f t="shared" si="1145"/>
        <v>0</v>
      </c>
      <c r="N551" s="240">
        <f t="shared" ref="N551" si="1175">M551*E551</f>
        <v>0</v>
      </c>
      <c r="O551" s="244">
        <f t="shared" ref="O551" si="1176">+M551/D551</f>
        <v>0</v>
      </c>
      <c r="P551" s="211">
        <f t="shared" ref="P551" si="1177">+D551-M551</f>
        <v>35.36</v>
      </c>
      <c r="Q551" s="212">
        <f t="shared" ref="Q551" si="1178">P551*E551</f>
        <v>682.80159999999989</v>
      </c>
      <c r="R551" s="213">
        <f t="shared" ref="R551" si="1179">+P551/D551</f>
        <v>1</v>
      </c>
      <c r="S551" s="204">
        <f t="shared" si="1075"/>
        <v>682.80159999999989</v>
      </c>
      <c r="T551" s="204">
        <f t="shared" si="1076"/>
        <v>-1.5999999999394277E-3</v>
      </c>
      <c r="X551" s="204"/>
      <c r="Y551" s="204"/>
    </row>
    <row r="552" spans="1:25" s="2" customFormat="1" x14ac:dyDescent="0.3">
      <c r="A552" s="304" t="s">
        <v>269</v>
      </c>
      <c r="B552" s="305" t="s">
        <v>1197</v>
      </c>
      <c r="C552" s="320" t="s">
        <v>160</v>
      </c>
      <c r="D552" s="321"/>
      <c r="E552" s="349"/>
      <c r="F552" s="350">
        <f>+F553</f>
        <v>1881.15</v>
      </c>
      <c r="G552" s="308"/>
      <c r="H552" s="309" t="s">
        <v>110</v>
      </c>
      <c r="I552" s="323" t="s">
        <v>110</v>
      </c>
      <c r="J552" s="419"/>
      <c r="K552" s="309" t="s">
        <v>110</v>
      </c>
      <c r="L552" s="324" t="s">
        <v>110</v>
      </c>
      <c r="M552" s="309"/>
      <c r="N552" s="309" t="s">
        <v>110</v>
      </c>
      <c r="O552" s="324" t="s">
        <v>110</v>
      </c>
      <c r="P552" s="326" t="s">
        <v>110</v>
      </c>
      <c r="Q552" s="309" t="s">
        <v>110</v>
      </c>
      <c r="R552" s="324" t="s">
        <v>110</v>
      </c>
      <c r="S552" s="204" t="s">
        <v>110</v>
      </c>
      <c r="T552" s="204" t="s">
        <v>110</v>
      </c>
      <c r="X552" s="204"/>
      <c r="Y552" s="204"/>
    </row>
    <row r="553" spans="1:25" s="2" customFormat="1" x14ac:dyDescent="0.3">
      <c r="A553" s="298" t="s">
        <v>746</v>
      </c>
      <c r="B553" s="300" t="s">
        <v>1198</v>
      </c>
      <c r="C553" s="302" t="s">
        <v>94</v>
      </c>
      <c r="D553" s="303">
        <v>70.72</v>
      </c>
      <c r="E553" s="356">
        <v>26.6</v>
      </c>
      <c r="F553" s="356">
        <f t="shared" si="1160"/>
        <v>1881.15</v>
      </c>
      <c r="G553" s="278">
        <v>0</v>
      </c>
      <c r="H553" s="240">
        <f t="shared" ref="H553" si="1180">G553*E553</f>
        <v>0</v>
      </c>
      <c r="I553" s="241">
        <f t="shared" ref="I553" si="1181">+G553/D553</f>
        <v>0</v>
      </c>
      <c r="J553" s="419"/>
      <c r="K553" s="242">
        <f t="shared" ref="K553" si="1182">J553*E553</f>
        <v>0</v>
      </c>
      <c r="L553" s="243">
        <f t="shared" ref="L553" si="1183">+J553/D553</f>
        <v>0</v>
      </c>
      <c r="M553" s="240">
        <f t="shared" si="1145"/>
        <v>0</v>
      </c>
      <c r="N553" s="240">
        <f t="shared" ref="N553" si="1184">M553*E553</f>
        <v>0</v>
      </c>
      <c r="O553" s="244">
        <f t="shared" ref="O553" si="1185">+M553/D553</f>
        <v>0</v>
      </c>
      <c r="P553" s="211">
        <f t="shared" ref="P553" si="1186">+D553-M553</f>
        <v>70.72</v>
      </c>
      <c r="Q553" s="212">
        <f t="shared" ref="Q553" si="1187">P553*E553</f>
        <v>1881.152</v>
      </c>
      <c r="R553" s="213">
        <f t="shared" ref="R553" si="1188">+P553/D553</f>
        <v>1</v>
      </c>
      <c r="S553" s="204">
        <f t="shared" si="1075"/>
        <v>1881.152</v>
      </c>
      <c r="T553" s="204">
        <f t="shared" si="1076"/>
        <v>-1.9999999999527063E-3</v>
      </c>
      <c r="X553" s="204"/>
      <c r="Y553" s="204"/>
    </row>
    <row r="554" spans="1:25" s="2" customFormat="1" x14ac:dyDescent="0.3">
      <c r="A554" s="304" t="s">
        <v>270</v>
      </c>
      <c r="B554" s="305" t="s">
        <v>1199</v>
      </c>
      <c r="C554" s="320" t="s">
        <v>160</v>
      </c>
      <c r="D554" s="321"/>
      <c r="E554" s="349"/>
      <c r="F554" s="350">
        <f>+F555</f>
        <v>49.3</v>
      </c>
      <c r="G554" s="308"/>
      <c r="H554" s="309" t="s">
        <v>110</v>
      </c>
      <c r="I554" s="323" t="s">
        <v>110</v>
      </c>
      <c r="J554" s="419"/>
      <c r="K554" s="309" t="s">
        <v>110</v>
      </c>
      <c r="L554" s="324" t="s">
        <v>110</v>
      </c>
      <c r="M554" s="309"/>
      <c r="N554" s="309" t="s">
        <v>110</v>
      </c>
      <c r="O554" s="324" t="s">
        <v>110</v>
      </c>
      <c r="P554" s="326" t="s">
        <v>110</v>
      </c>
      <c r="Q554" s="309" t="s">
        <v>110</v>
      </c>
      <c r="R554" s="324" t="s">
        <v>110</v>
      </c>
      <c r="S554" s="204" t="e">
        <f t="shared" si="1075"/>
        <v>#VALUE!</v>
      </c>
      <c r="T554" s="204" t="e">
        <f t="shared" si="1076"/>
        <v>#VALUE!</v>
      </c>
      <c r="X554" s="204"/>
      <c r="Y554" s="204"/>
    </row>
    <row r="555" spans="1:25" s="2" customFormat="1" x14ac:dyDescent="0.3">
      <c r="A555" s="298" t="s">
        <v>747</v>
      </c>
      <c r="B555" s="300" t="s">
        <v>1200</v>
      </c>
      <c r="C555" s="302" t="s">
        <v>90</v>
      </c>
      <c r="D555" s="303">
        <v>1</v>
      </c>
      <c r="E555" s="356">
        <v>49.3</v>
      </c>
      <c r="F555" s="356">
        <f t="shared" si="1160"/>
        <v>49.3</v>
      </c>
      <c r="G555" s="278">
        <v>0</v>
      </c>
      <c r="H555" s="240">
        <f t="shared" ref="H555" si="1189">G555*E555</f>
        <v>0</v>
      </c>
      <c r="I555" s="241">
        <f t="shared" ref="I555" si="1190">+G555/D555</f>
        <v>0</v>
      </c>
      <c r="J555" s="419"/>
      <c r="K555" s="242">
        <f t="shared" ref="K555" si="1191">J555*E555</f>
        <v>0</v>
      </c>
      <c r="L555" s="243">
        <f t="shared" ref="L555" si="1192">+J555/D555</f>
        <v>0</v>
      </c>
      <c r="M555" s="240">
        <f t="shared" si="1145"/>
        <v>0</v>
      </c>
      <c r="N555" s="240">
        <f t="shared" ref="N555" si="1193">M555*E555</f>
        <v>0</v>
      </c>
      <c r="O555" s="244">
        <f t="shared" ref="O555" si="1194">+M555/D555</f>
        <v>0</v>
      </c>
      <c r="P555" s="211">
        <f t="shared" ref="P555" si="1195">+D555-M555</f>
        <v>1</v>
      </c>
      <c r="Q555" s="212">
        <f t="shared" ref="Q555" si="1196">P555*E555</f>
        <v>49.3</v>
      </c>
      <c r="R555" s="213">
        <f t="shared" ref="R555" si="1197">+P555/D555</f>
        <v>1</v>
      </c>
      <c r="S555" s="204">
        <f t="shared" si="1075"/>
        <v>49.3</v>
      </c>
      <c r="T555" s="204">
        <f t="shared" si="1076"/>
        <v>0</v>
      </c>
      <c r="X555" s="204"/>
      <c r="Y555" s="204"/>
    </row>
    <row r="556" spans="1:25" s="2" customFormat="1" x14ac:dyDescent="0.3">
      <c r="A556" s="304" t="s">
        <v>271</v>
      </c>
      <c r="B556" s="305" t="s">
        <v>1201</v>
      </c>
      <c r="C556" s="320" t="s">
        <v>160</v>
      </c>
      <c r="D556" s="321"/>
      <c r="E556" s="349"/>
      <c r="F556" s="350">
        <f>+F557</f>
        <v>22.08</v>
      </c>
      <c r="G556" s="308"/>
      <c r="H556" s="309" t="s">
        <v>110</v>
      </c>
      <c r="I556" s="323" t="s">
        <v>110</v>
      </c>
      <c r="J556" s="419"/>
      <c r="K556" s="309" t="s">
        <v>110</v>
      </c>
      <c r="L556" s="324" t="s">
        <v>110</v>
      </c>
      <c r="M556" s="309"/>
      <c r="N556" s="309" t="s">
        <v>110</v>
      </c>
      <c r="O556" s="324" t="s">
        <v>110</v>
      </c>
      <c r="P556" s="326" t="s">
        <v>110</v>
      </c>
      <c r="Q556" s="309" t="s">
        <v>110</v>
      </c>
      <c r="R556" s="324" t="s">
        <v>110</v>
      </c>
      <c r="S556" s="204" t="e">
        <f t="shared" si="1075"/>
        <v>#VALUE!</v>
      </c>
      <c r="T556" s="204" t="e">
        <f t="shared" si="1076"/>
        <v>#VALUE!</v>
      </c>
      <c r="X556" s="204"/>
      <c r="Y556" s="204"/>
    </row>
    <row r="557" spans="1:25" s="2" customFormat="1" x14ac:dyDescent="0.3">
      <c r="A557" s="298" t="s">
        <v>748</v>
      </c>
      <c r="B557" s="300" t="s">
        <v>1202</v>
      </c>
      <c r="C557" s="302" t="s">
        <v>89</v>
      </c>
      <c r="D557" s="303">
        <v>1</v>
      </c>
      <c r="E557" s="356">
        <v>22.08</v>
      </c>
      <c r="F557" s="356">
        <f t="shared" si="1160"/>
        <v>22.08</v>
      </c>
      <c r="G557" s="278">
        <v>0</v>
      </c>
      <c r="H557" s="240">
        <f t="shared" ref="H557" si="1198">G557*E557</f>
        <v>0</v>
      </c>
      <c r="I557" s="241">
        <f t="shared" ref="I557" si="1199">+G557/D557</f>
        <v>0</v>
      </c>
      <c r="J557" s="419"/>
      <c r="K557" s="242">
        <f t="shared" ref="K557" si="1200">J557*E557</f>
        <v>0</v>
      </c>
      <c r="L557" s="243">
        <f t="shared" ref="L557" si="1201">+J557/D557</f>
        <v>0</v>
      </c>
      <c r="M557" s="240">
        <f t="shared" si="1145"/>
        <v>0</v>
      </c>
      <c r="N557" s="240">
        <f t="shared" ref="N557" si="1202">M557*E557</f>
        <v>0</v>
      </c>
      <c r="O557" s="244">
        <f t="shared" ref="O557" si="1203">+M557/D557</f>
        <v>0</v>
      </c>
      <c r="P557" s="211">
        <f t="shared" ref="P557" si="1204">+D557-M557</f>
        <v>1</v>
      </c>
      <c r="Q557" s="212">
        <f t="shared" ref="Q557" si="1205">P557*E557</f>
        <v>22.08</v>
      </c>
      <c r="R557" s="213">
        <f t="shared" ref="R557" si="1206">+P557/D557</f>
        <v>1</v>
      </c>
      <c r="S557" s="204">
        <f t="shared" si="1075"/>
        <v>22.08</v>
      </c>
      <c r="T557" s="204">
        <f t="shared" si="1076"/>
        <v>0</v>
      </c>
      <c r="X557" s="204"/>
      <c r="Y557" s="204"/>
    </row>
    <row r="558" spans="1:25" s="2" customFormat="1" x14ac:dyDescent="0.3">
      <c r="A558" s="304" t="s">
        <v>301</v>
      </c>
      <c r="B558" s="305" t="s">
        <v>1203</v>
      </c>
      <c r="C558" s="320" t="s">
        <v>160</v>
      </c>
      <c r="D558" s="321"/>
      <c r="E558" s="347"/>
      <c r="F558" s="348">
        <f>SUM(F559:F561)</f>
        <v>2571.1</v>
      </c>
      <c r="G558" s="308"/>
      <c r="H558" s="309" t="s">
        <v>110</v>
      </c>
      <c r="I558" s="323" t="s">
        <v>110</v>
      </c>
      <c r="J558" s="419"/>
      <c r="K558" s="309" t="s">
        <v>110</v>
      </c>
      <c r="L558" s="324" t="s">
        <v>110</v>
      </c>
      <c r="M558" s="309"/>
      <c r="N558" s="309" t="s">
        <v>110</v>
      </c>
      <c r="O558" s="324" t="s">
        <v>110</v>
      </c>
      <c r="P558" s="326" t="s">
        <v>110</v>
      </c>
      <c r="Q558" s="309" t="s">
        <v>110</v>
      </c>
      <c r="R558" s="324" t="s">
        <v>110</v>
      </c>
      <c r="S558" s="204" t="e">
        <f t="shared" si="1075"/>
        <v>#VALUE!</v>
      </c>
      <c r="T558" s="204" t="e">
        <f t="shared" si="1076"/>
        <v>#VALUE!</v>
      </c>
      <c r="X558" s="204"/>
      <c r="Y558" s="204"/>
    </row>
    <row r="559" spans="1:25" s="2" customFormat="1" x14ac:dyDescent="0.3">
      <c r="A559" s="298" t="s">
        <v>272</v>
      </c>
      <c r="B559" s="300" t="s">
        <v>1179</v>
      </c>
      <c r="C559" s="302" t="s">
        <v>89</v>
      </c>
      <c r="D559" s="303">
        <v>10</v>
      </c>
      <c r="E559" s="356">
        <v>144.11000000000001</v>
      </c>
      <c r="F559" s="356">
        <f t="shared" si="1160"/>
        <v>1441.1</v>
      </c>
      <c r="G559" s="278">
        <v>0</v>
      </c>
      <c r="H559" s="240">
        <f t="shared" ref="H559:H561" si="1207">G559*E559</f>
        <v>0</v>
      </c>
      <c r="I559" s="241">
        <f t="shared" ref="I559:I561" si="1208">+G559/D559</f>
        <v>0</v>
      </c>
      <c r="J559" s="419"/>
      <c r="K559" s="242">
        <f t="shared" ref="K559:K561" si="1209">J559*E559</f>
        <v>0</v>
      </c>
      <c r="L559" s="243">
        <f t="shared" ref="L559:L561" si="1210">+J559/D559</f>
        <v>0</v>
      </c>
      <c r="M559" s="240">
        <f t="shared" si="1145"/>
        <v>0</v>
      </c>
      <c r="N559" s="240">
        <f t="shared" ref="N559:N561" si="1211">M559*E559</f>
        <v>0</v>
      </c>
      <c r="O559" s="244">
        <f t="shared" ref="O559:O561" si="1212">+M559/D559</f>
        <v>0</v>
      </c>
      <c r="P559" s="211">
        <f t="shared" ref="P559:P561" si="1213">+D559-M559</f>
        <v>10</v>
      </c>
      <c r="Q559" s="212">
        <f t="shared" ref="Q559:Q561" si="1214">P559*E559</f>
        <v>1441.1000000000001</v>
      </c>
      <c r="R559" s="213">
        <f t="shared" ref="R559:R561" si="1215">+P559/D559</f>
        <v>1</v>
      </c>
      <c r="S559" s="204">
        <f t="shared" si="1075"/>
        <v>1441.1000000000001</v>
      </c>
      <c r="T559" s="204">
        <f t="shared" si="1076"/>
        <v>0</v>
      </c>
      <c r="X559" s="204"/>
      <c r="Y559" s="204"/>
    </row>
    <row r="560" spans="1:25" s="2" customFormat="1" x14ac:dyDescent="0.3">
      <c r="A560" s="298" t="s">
        <v>749</v>
      </c>
      <c r="B560" s="300" t="s">
        <v>1204</v>
      </c>
      <c r="C560" s="302" t="s">
        <v>89</v>
      </c>
      <c r="D560" s="303">
        <v>4</v>
      </c>
      <c r="E560" s="356">
        <v>128.81</v>
      </c>
      <c r="F560" s="356">
        <f t="shared" si="1160"/>
        <v>515.24</v>
      </c>
      <c r="G560" s="278">
        <v>0</v>
      </c>
      <c r="H560" s="240">
        <f t="shared" si="1207"/>
        <v>0</v>
      </c>
      <c r="I560" s="241">
        <f t="shared" si="1208"/>
        <v>0</v>
      </c>
      <c r="J560" s="419"/>
      <c r="K560" s="242">
        <f t="shared" si="1209"/>
        <v>0</v>
      </c>
      <c r="L560" s="243">
        <f t="shared" si="1210"/>
        <v>0</v>
      </c>
      <c r="M560" s="240">
        <f t="shared" si="1145"/>
        <v>0</v>
      </c>
      <c r="N560" s="240">
        <f t="shared" si="1211"/>
        <v>0</v>
      </c>
      <c r="O560" s="244">
        <f t="shared" si="1212"/>
        <v>0</v>
      </c>
      <c r="P560" s="211">
        <f t="shared" si="1213"/>
        <v>4</v>
      </c>
      <c r="Q560" s="212">
        <f t="shared" si="1214"/>
        <v>515.24</v>
      </c>
      <c r="R560" s="213">
        <f t="shared" si="1215"/>
        <v>1</v>
      </c>
      <c r="S560" s="204">
        <f t="shared" ref="S560:S561" si="1216">N560+Q560</f>
        <v>515.24</v>
      </c>
      <c r="T560" s="204">
        <f t="shared" ref="T560:T561" si="1217">F560-S560</f>
        <v>0</v>
      </c>
      <c r="X560" s="204"/>
      <c r="Y560" s="204"/>
    </row>
    <row r="561" spans="1:25" s="2" customFormat="1" ht="16.2" thickBot="1" x14ac:dyDescent="0.35">
      <c r="A561" s="298" t="s">
        <v>750</v>
      </c>
      <c r="B561" s="300" t="s">
        <v>1205</v>
      </c>
      <c r="C561" s="302" t="s">
        <v>89</v>
      </c>
      <c r="D561" s="303">
        <v>1</v>
      </c>
      <c r="E561" s="356">
        <v>614.76</v>
      </c>
      <c r="F561" s="356">
        <f t="shared" si="1160"/>
        <v>614.76</v>
      </c>
      <c r="G561" s="278">
        <v>0</v>
      </c>
      <c r="H561" s="240">
        <f t="shared" si="1207"/>
        <v>0</v>
      </c>
      <c r="I561" s="241">
        <f t="shared" si="1208"/>
        <v>0</v>
      </c>
      <c r="J561" s="419"/>
      <c r="K561" s="242">
        <f t="shared" si="1209"/>
        <v>0</v>
      </c>
      <c r="L561" s="243">
        <f t="shared" si="1210"/>
        <v>0</v>
      </c>
      <c r="M561" s="240">
        <f t="shared" si="1145"/>
        <v>0</v>
      </c>
      <c r="N561" s="240">
        <f t="shared" si="1211"/>
        <v>0</v>
      </c>
      <c r="O561" s="244">
        <f t="shared" si="1212"/>
        <v>0</v>
      </c>
      <c r="P561" s="211">
        <f t="shared" si="1213"/>
        <v>1</v>
      </c>
      <c r="Q561" s="212">
        <f t="shared" si="1214"/>
        <v>614.76</v>
      </c>
      <c r="R561" s="213">
        <f t="shared" si="1215"/>
        <v>1</v>
      </c>
      <c r="S561" s="204">
        <f t="shared" si="1216"/>
        <v>614.76</v>
      </c>
      <c r="T561" s="204">
        <f t="shared" si="1217"/>
        <v>0</v>
      </c>
      <c r="X561" s="204"/>
      <c r="Y561" s="204"/>
    </row>
    <row r="562" spans="1:25" s="53" customFormat="1" x14ac:dyDescent="0.3">
      <c r="A562" s="297" t="s">
        <v>110</v>
      </c>
      <c r="B562" s="605" t="s">
        <v>201</v>
      </c>
      <c r="C562" s="606"/>
      <c r="D562" s="606"/>
      <c r="E562" s="607"/>
      <c r="F562" s="359">
        <f>F470+F393+F178+F64+F15</f>
        <v>1253165.9000000001</v>
      </c>
      <c r="G562" s="245"/>
      <c r="H562" s="214">
        <f>SUM(H18:H561)</f>
        <v>731848.18577500014</v>
      </c>
      <c r="I562" s="215"/>
      <c r="J562" s="423"/>
      <c r="K562" s="214">
        <f>SUM(K18:K561)</f>
        <v>177293.13937499991</v>
      </c>
      <c r="L562" s="216"/>
      <c r="M562" s="217"/>
      <c r="N562" s="214">
        <f>SUM(N18:N561)</f>
        <v>909141.32514999958</v>
      </c>
      <c r="O562" s="218"/>
      <c r="P562" s="219"/>
      <c r="Q562" s="220">
        <f>+F562-N562</f>
        <v>344024.57485000056</v>
      </c>
      <c r="R562" s="246"/>
      <c r="S562" s="51"/>
      <c r="T562" s="31">
        <f>+N562+Q562</f>
        <v>1253165.9000000001</v>
      </c>
    </row>
    <row r="563" spans="1:25" x14ac:dyDescent="0.2">
      <c r="A563" s="297" t="s">
        <v>110</v>
      </c>
      <c r="B563" s="595" t="s">
        <v>107</v>
      </c>
      <c r="C563" s="596"/>
      <c r="D563" s="597"/>
      <c r="E563" s="361">
        <v>0.1</v>
      </c>
      <c r="F563" s="360">
        <f>+ROUND(F562*0.1,2)</f>
        <v>125316.59</v>
      </c>
      <c r="G563" s="247" t="s">
        <v>110</v>
      </c>
      <c r="H563" s="360">
        <f>+ROUND(H562*0.1,2)</f>
        <v>73184.820000000007</v>
      </c>
      <c r="I563" s="221"/>
      <c r="J563" s="424"/>
      <c r="K563" s="360">
        <f>+ROUND(K562*0.1,2)</f>
        <v>17729.310000000001</v>
      </c>
      <c r="L563" s="222"/>
      <c r="M563" s="223"/>
      <c r="N563" s="360">
        <f>+ROUND(N562*0.1,2)</f>
        <v>90914.13</v>
      </c>
      <c r="O563" s="224"/>
      <c r="P563" s="225"/>
      <c r="Q563" s="226">
        <f t="shared" ref="Q563:Q568" si="1218">+F563-N563</f>
        <v>34402.459999999992</v>
      </c>
      <c r="R563" s="224"/>
      <c r="S563" s="52"/>
      <c r="T563" s="31">
        <f t="shared" ref="T563:T568" si="1219">+N563+Q563</f>
        <v>125316.59</v>
      </c>
    </row>
    <row r="564" spans="1:25" x14ac:dyDescent="0.2">
      <c r="A564" s="297" t="s">
        <v>110</v>
      </c>
      <c r="B564" s="595" t="s">
        <v>108</v>
      </c>
      <c r="C564" s="596"/>
      <c r="D564" s="597"/>
      <c r="E564" s="361">
        <v>7.0000000000000007E-2</v>
      </c>
      <c r="F564" s="360">
        <f>+ROUND(F562*0.07,2)</f>
        <v>87721.61</v>
      </c>
      <c r="G564" s="247"/>
      <c r="H564" s="360">
        <f>+ROUND(H562*0.07,2)</f>
        <v>51229.37</v>
      </c>
      <c r="I564" s="221"/>
      <c r="J564" s="424"/>
      <c r="K564" s="360">
        <f>+ROUND(K562*0.07,2)</f>
        <v>12410.52</v>
      </c>
      <c r="L564" s="222"/>
      <c r="M564" s="223"/>
      <c r="N564" s="360">
        <f>+ROUND(N562*0.07,2)</f>
        <v>63639.89</v>
      </c>
      <c r="O564" s="224"/>
      <c r="P564" s="225"/>
      <c r="Q564" s="226">
        <f t="shared" si="1218"/>
        <v>24081.72</v>
      </c>
      <c r="R564" s="224"/>
      <c r="S564" s="52"/>
      <c r="T564" s="31">
        <f t="shared" si="1219"/>
        <v>87721.61</v>
      </c>
    </row>
    <row r="565" spans="1:25" s="53" customFormat="1" x14ac:dyDescent="0.3">
      <c r="A565" s="297" t="s">
        <v>110</v>
      </c>
      <c r="B565" s="598" t="s">
        <v>109</v>
      </c>
      <c r="C565" s="599"/>
      <c r="D565" s="599"/>
      <c r="E565" s="600"/>
      <c r="F565" s="359">
        <f>SUM(F562:F564)</f>
        <v>1466204.1000000003</v>
      </c>
      <c r="G565" s="248"/>
      <c r="H565" s="359">
        <f>SUM(H562:H564)</f>
        <v>856262.3757750002</v>
      </c>
      <c r="I565" s="227"/>
      <c r="J565" s="425"/>
      <c r="K565" s="359">
        <f>SUM(K562:K564)</f>
        <v>207432.9693749999</v>
      </c>
      <c r="L565" s="228"/>
      <c r="M565" s="229"/>
      <c r="N565" s="359">
        <f>SUM(N562:N564)</f>
        <v>1063695.3451499995</v>
      </c>
      <c r="O565" s="230"/>
      <c r="P565" s="231"/>
      <c r="Q565" s="232">
        <f t="shared" si="1218"/>
        <v>402508.75485000084</v>
      </c>
      <c r="R565" s="230"/>
      <c r="S565" s="51"/>
      <c r="T565" s="31">
        <f t="shared" si="1219"/>
        <v>1466204.1000000003</v>
      </c>
    </row>
    <row r="566" spans="1:25" ht="19.5" customHeight="1" x14ac:dyDescent="0.2">
      <c r="A566" s="297" t="s">
        <v>110</v>
      </c>
      <c r="B566" s="581" t="s">
        <v>95</v>
      </c>
      <c r="C566" s="582"/>
      <c r="D566" s="583"/>
      <c r="E566" s="361">
        <v>0.18</v>
      </c>
      <c r="F566" s="360">
        <f>ROUND(F565*0.18,2)</f>
        <v>263916.74</v>
      </c>
      <c r="G566" s="247"/>
      <c r="H566" s="360">
        <f>ROUND(H565*0.18,2)</f>
        <v>154127.23000000001</v>
      </c>
      <c r="I566" s="221"/>
      <c r="J566" s="424"/>
      <c r="K566" s="360">
        <f>ROUND(K565*0.18,2)</f>
        <v>37337.93</v>
      </c>
      <c r="L566" s="222"/>
      <c r="M566" s="223"/>
      <c r="N566" s="360">
        <f>ROUND(N565*0.18,2)</f>
        <v>191465.16</v>
      </c>
      <c r="O566" s="224"/>
      <c r="P566" s="225"/>
      <c r="Q566" s="226">
        <f t="shared" si="1218"/>
        <v>72451.579999999987</v>
      </c>
      <c r="R566" s="224"/>
      <c r="S566" s="52"/>
      <c r="T566" s="31">
        <f t="shared" si="1219"/>
        <v>263916.74</v>
      </c>
    </row>
    <row r="567" spans="1:25" ht="19.5" customHeight="1" thickBot="1" x14ac:dyDescent="0.35">
      <c r="A567" s="297" t="s">
        <v>110</v>
      </c>
      <c r="B567" s="587" t="s">
        <v>96</v>
      </c>
      <c r="C567" s="588"/>
      <c r="D567" s="588"/>
      <c r="E567" s="589"/>
      <c r="F567" s="359">
        <f>+SUM(F565:F566)</f>
        <v>1730120.8400000003</v>
      </c>
      <c r="G567" s="249"/>
      <c r="H567" s="359">
        <f>+SUM(H565:H566)</f>
        <v>1010389.6057750002</v>
      </c>
      <c r="I567" s="233"/>
      <c r="J567" s="426"/>
      <c r="K567" s="359">
        <f>+SUM(K565:K566)</f>
        <v>244770.89937499989</v>
      </c>
      <c r="L567" s="235"/>
      <c r="M567" s="236"/>
      <c r="N567" s="359">
        <f>+SUM(N565:N566)</f>
        <v>1255160.5051499994</v>
      </c>
      <c r="O567" s="237"/>
      <c r="P567" s="238"/>
      <c r="Q567" s="239">
        <f t="shared" si="1218"/>
        <v>474960.33485000092</v>
      </c>
      <c r="R567" s="250"/>
      <c r="S567" s="52"/>
      <c r="T567" s="31"/>
    </row>
    <row r="568" spans="1:25" ht="19.5" customHeight="1" thickBot="1" x14ac:dyDescent="0.35">
      <c r="A568" s="297" t="s">
        <v>110</v>
      </c>
      <c r="B568" s="590" t="s">
        <v>110</v>
      </c>
      <c r="C568" s="591"/>
      <c r="D568" s="591"/>
      <c r="E568" s="591"/>
      <c r="F568" s="362">
        <f>+F565+F566</f>
        <v>1730120.8400000003</v>
      </c>
      <c r="G568" s="249"/>
      <c r="H568" s="234">
        <f>+H565+H566</f>
        <v>1010389.6057750002</v>
      </c>
      <c r="I568" s="233"/>
      <c r="J568" s="426"/>
      <c r="K568" s="234">
        <f>+K565+K566</f>
        <v>244770.89937499989</v>
      </c>
      <c r="L568" s="235"/>
      <c r="M568" s="236"/>
      <c r="N568" s="234">
        <f>+N565+N566</f>
        <v>1255160.5051499994</v>
      </c>
      <c r="O568" s="237"/>
      <c r="P568" s="238"/>
      <c r="Q568" s="239">
        <f t="shared" si="1218"/>
        <v>474960.33485000092</v>
      </c>
      <c r="R568" s="250"/>
      <c r="S568" s="51">
        <f>N568+Q568</f>
        <v>1730120.8400000003</v>
      </c>
      <c r="T568" s="31">
        <f t="shared" si="1219"/>
        <v>1730120.8400000003</v>
      </c>
    </row>
    <row r="569" spans="1:25" s="53" customFormat="1" ht="19.5" customHeight="1" thickBot="1" x14ac:dyDescent="0.35">
      <c r="A569" s="297" t="s">
        <v>110</v>
      </c>
      <c r="B569" s="592" t="s">
        <v>111</v>
      </c>
      <c r="C569" s="593"/>
      <c r="D569" s="593"/>
      <c r="E569" s="593"/>
      <c r="F569" s="594"/>
      <c r="G569" s="251"/>
      <c r="H569" s="252">
        <f>+H568/F568</f>
        <v>0.5839994423597602</v>
      </c>
      <c r="I569" s="253"/>
      <c r="J569" s="427"/>
      <c r="K569" s="292">
        <f>+K568/F568</f>
        <v>0.14147618693212194</v>
      </c>
      <c r="L569" s="253"/>
      <c r="M569" s="255"/>
      <c r="N569" s="254">
        <f>K570</f>
        <v>0.72547562929188214</v>
      </c>
      <c r="O569" s="255"/>
      <c r="P569" s="256"/>
      <c r="Q569" s="257">
        <f>100%-N569</f>
        <v>0.27452437070811786</v>
      </c>
      <c r="R569" s="251"/>
      <c r="S569" s="1"/>
      <c r="T569" s="2"/>
    </row>
    <row r="570" spans="1:25" ht="19.5" customHeight="1" thickBot="1" x14ac:dyDescent="0.35">
      <c r="A570" s="297" t="s">
        <v>110</v>
      </c>
      <c r="B570" s="584" t="s">
        <v>112</v>
      </c>
      <c r="C570" s="585"/>
      <c r="D570" s="585"/>
      <c r="E570" s="585"/>
      <c r="F570" s="586"/>
      <c r="G570" s="258"/>
      <c r="H570" s="259">
        <f>+H569</f>
        <v>0.5839994423597602</v>
      </c>
      <c r="I570" s="253"/>
      <c r="J570" s="427"/>
      <c r="K570" s="260">
        <f>H570+K569</f>
        <v>0.72547562929188214</v>
      </c>
      <c r="L570" s="256"/>
      <c r="M570" s="255"/>
      <c r="N570" s="260">
        <f>+N569</f>
        <v>0.72547562929188214</v>
      </c>
      <c r="O570" s="255"/>
      <c r="P570" s="256"/>
      <c r="Q570" s="261">
        <f>+Q569</f>
        <v>0.27452437070811786</v>
      </c>
      <c r="R570" s="251"/>
      <c r="T570" s="2"/>
      <c r="U570" s="55"/>
    </row>
  </sheetData>
  <autoFilter ref="A14:F570" xr:uid="{00000000-0009-0000-0000-000003000000}"/>
  <mergeCells count="32">
    <mergeCell ref="B5:F5"/>
    <mergeCell ref="M5:R5"/>
    <mergeCell ref="A1:B1"/>
    <mergeCell ref="A2:R2"/>
    <mergeCell ref="B4:F4"/>
    <mergeCell ref="M4:R4"/>
    <mergeCell ref="G4:L4"/>
    <mergeCell ref="G5:L5"/>
    <mergeCell ref="B6:F6"/>
    <mergeCell ref="M6:R6"/>
    <mergeCell ref="B7:F7"/>
    <mergeCell ref="M7:R7"/>
    <mergeCell ref="G6:L6"/>
    <mergeCell ref="G7:L7"/>
    <mergeCell ref="G9:R9"/>
    <mergeCell ref="M13:O13"/>
    <mergeCell ref="P13:R13"/>
    <mergeCell ref="G13:I13"/>
    <mergeCell ref="J13:L13"/>
    <mergeCell ref="B563:D563"/>
    <mergeCell ref="B564:D564"/>
    <mergeCell ref="B565:E565"/>
    <mergeCell ref="A8:F8"/>
    <mergeCell ref="A9:A14"/>
    <mergeCell ref="B9:B14"/>
    <mergeCell ref="C9:F13"/>
    <mergeCell ref="B562:E562"/>
    <mergeCell ref="B566:D566"/>
    <mergeCell ref="B570:F570"/>
    <mergeCell ref="B567:E567"/>
    <mergeCell ref="B568:E568"/>
    <mergeCell ref="B569:F569"/>
  </mergeCells>
  <printOptions horizontalCentered="1" verticalCentered="1"/>
  <pageMargins left="0.7" right="0.7" top="0.75" bottom="0.75" header="0.3" footer="0.3"/>
  <pageSetup paperSize="9" scale="52" fitToHeight="0" orientation="landscape" r:id="rId1"/>
  <headerFooter scaleWithDoc="0">
    <oddFooter xml:space="preserve">&amp;C
&amp;P
</oddFooter>
  </headerFooter>
  <rowBreaks count="12" manualBreakCount="12">
    <brk id="56" max="17" man="1"/>
    <brk id="99" max="17" man="1"/>
    <brk id="142" max="17" man="1"/>
    <brk id="185" max="17" man="1"/>
    <brk id="228" max="17" man="1"/>
    <brk id="271" max="17" man="1"/>
    <brk id="314" max="17" man="1"/>
    <brk id="357" max="17" man="1"/>
    <brk id="400" max="17" man="1"/>
    <brk id="443" max="17" man="1"/>
    <brk id="486" max="17" man="1"/>
    <brk id="529" max="17" man="1"/>
  </rowBreaks>
  <ignoredErrors>
    <ignoredError sqref="N18 N19:N547 M18:M560 K18:K561 H18:H561 Q18:Q561 J122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ABDE1-2FB0-444E-B61D-12D871086A1D}">
  <sheetPr>
    <tabColor rgb="FF92D050"/>
  </sheetPr>
  <dimension ref="A1:K335"/>
  <sheetViews>
    <sheetView view="pageBreakPreview" zoomScale="70" zoomScaleNormal="100" zoomScaleSheetLayoutView="70" workbookViewId="0">
      <pane ySplit="9" topLeftCell="A322" activePane="bottomLeft" state="frozen"/>
      <selection activeCell="C1" sqref="C1"/>
      <selection pane="bottomLeft" activeCell="C297" sqref="C297"/>
    </sheetView>
  </sheetViews>
  <sheetFormatPr baseColWidth="10" defaultRowHeight="14.4" x14ac:dyDescent="0.3"/>
  <cols>
    <col min="1" max="1" width="3.44140625" customWidth="1"/>
    <col min="2" max="2" width="12.109375" customWidth="1"/>
    <col min="3" max="3" width="91.109375" customWidth="1"/>
  </cols>
  <sheetData>
    <row r="1" spans="1:10" ht="15.6" x14ac:dyDescent="0.3">
      <c r="A1" s="1"/>
      <c r="B1" s="619"/>
      <c r="C1" s="620"/>
      <c r="D1" s="25"/>
      <c r="E1" s="1"/>
      <c r="F1" s="1"/>
      <c r="G1" s="1"/>
      <c r="H1" s="1"/>
      <c r="I1" s="1"/>
      <c r="J1" s="1"/>
    </row>
    <row r="2" spans="1:10" ht="18" x14ac:dyDescent="0.3">
      <c r="A2" s="1"/>
      <c r="B2" s="621" t="s">
        <v>1259</v>
      </c>
      <c r="C2" s="621"/>
      <c r="D2" s="621"/>
      <c r="E2" s="621"/>
      <c r="F2" s="621"/>
      <c r="G2" s="621"/>
      <c r="H2" s="621"/>
      <c r="I2" s="621"/>
      <c r="J2" s="621"/>
    </row>
    <row r="3" spans="1:10" ht="15.6" x14ac:dyDescent="0.3">
      <c r="A3" s="1"/>
      <c r="B3" s="376" t="s">
        <v>59</v>
      </c>
      <c r="C3" s="622" t="str">
        <f>+[17]FICHA!E4</f>
        <v xml:space="preserve">"CONSTRUCCION DE NICHO, COLUMBARIO Y CREMATORIO; REMODELACION DE VELATORIO; EN EL (LA) CEMENTERIO MUNICIPAL EN EL CENTRO POBLADO SANTIAGO DE SURCO, DISTRITO DE SANTIAGO DE SURCO, PROVINCIA LIMA, DEPARTAMENTO LIMA" CUI N| 2658565 - ETAPA COLUMBARIO. </v>
      </c>
      <c r="D3" s="622"/>
      <c r="E3" s="622"/>
      <c r="F3" s="622"/>
      <c r="G3" s="622"/>
      <c r="H3" s="622"/>
      <c r="I3" s="622"/>
      <c r="J3" s="622"/>
    </row>
    <row r="4" spans="1:10" ht="15.6" x14ac:dyDescent="0.3">
      <c r="A4" s="1"/>
      <c r="B4" s="376" t="s">
        <v>59</v>
      </c>
      <c r="C4" s="617" t="str">
        <f>+[17]FICHA!E9</f>
        <v>CONSORCIO LIMA</v>
      </c>
      <c r="D4" s="617"/>
      <c r="E4" s="617"/>
      <c r="F4" s="617"/>
      <c r="G4" s="617"/>
      <c r="H4" s="617"/>
      <c r="I4" s="617"/>
      <c r="J4" s="617"/>
    </row>
    <row r="5" spans="1:10" ht="15.6" x14ac:dyDescent="0.3">
      <c r="A5" s="1"/>
      <c r="B5" s="376" t="s">
        <v>104</v>
      </c>
      <c r="C5" s="617" t="s">
        <v>304</v>
      </c>
      <c r="D5" s="617"/>
      <c r="E5" s="617"/>
      <c r="F5" s="617"/>
      <c r="G5" s="617"/>
      <c r="H5" s="617"/>
      <c r="I5" s="617"/>
      <c r="J5" s="617"/>
    </row>
    <row r="6" spans="1:10" ht="15.6" x14ac:dyDescent="0.3">
      <c r="A6" s="1"/>
      <c r="B6" s="376" t="s">
        <v>74</v>
      </c>
      <c r="C6" s="617" t="str">
        <f>+[17]FICHA!E11</f>
        <v>ING. GUIDO JAVIER VALVERDE TRUJILLO</v>
      </c>
      <c r="D6" s="617"/>
      <c r="E6" s="617"/>
      <c r="F6" s="617"/>
      <c r="G6" s="617"/>
      <c r="H6" s="617"/>
      <c r="I6" s="617"/>
      <c r="J6" s="617"/>
    </row>
    <row r="7" spans="1:10" ht="15.6" x14ac:dyDescent="0.3">
      <c r="A7" s="1"/>
      <c r="B7" s="376" t="s">
        <v>76</v>
      </c>
      <c r="C7" s="617" t="str">
        <f>+[17]FICHA!E10</f>
        <v>ING. JOSE ISMAEL MOSCOSO PINGO</v>
      </c>
      <c r="D7" s="617"/>
      <c r="E7" s="617"/>
      <c r="F7" s="617"/>
      <c r="G7" s="617"/>
      <c r="H7" s="617"/>
      <c r="I7" s="617"/>
      <c r="J7" s="617"/>
    </row>
    <row r="8" spans="1:10" ht="15.6" x14ac:dyDescent="0.3">
      <c r="A8" s="1"/>
      <c r="B8" s="618" t="s">
        <v>1243</v>
      </c>
      <c r="C8" s="618"/>
      <c r="D8" s="618"/>
      <c r="E8" s="618"/>
      <c r="F8" s="618"/>
      <c r="G8" s="618"/>
      <c r="H8" s="618"/>
      <c r="I8" s="618"/>
      <c r="J8" s="618"/>
    </row>
    <row r="9" spans="1:10" ht="15.6" x14ac:dyDescent="0.3">
      <c r="A9" s="1"/>
      <c r="B9" s="377" t="s">
        <v>5</v>
      </c>
      <c r="C9" s="377" t="s">
        <v>116</v>
      </c>
      <c r="D9" s="377" t="s">
        <v>159</v>
      </c>
      <c r="E9" s="373" t="s">
        <v>1244</v>
      </c>
      <c r="F9" s="373" t="s">
        <v>1245</v>
      </c>
      <c r="G9" s="373" t="s">
        <v>1246</v>
      </c>
      <c r="H9" s="378" t="s">
        <v>1247</v>
      </c>
      <c r="I9" s="373" t="s">
        <v>1248</v>
      </c>
      <c r="J9" s="377" t="s">
        <v>1249</v>
      </c>
    </row>
    <row r="10" spans="1:10" x14ac:dyDescent="0.3">
      <c r="B10" s="428" t="s">
        <v>175</v>
      </c>
      <c r="C10" s="429" t="s">
        <v>1212</v>
      </c>
      <c r="D10" s="430" t="s">
        <v>160</v>
      </c>
      <c r="E10" s="431"/>
      <c r="F10" s="431"/>
      <c r="G10" s="431"/>
      <c r="H10" s="431"/>
      <c r="I10" s="431"/>
      <c r="J10" s="431"/>
    </row>
    <row r="11" spans="1:10" x14ac:dyDescent="0.3">
      <c r="B11" s="432" t="s">
        <v>318</v>
      </c>
      <c r="C11" s="300" t="s">
        <v>1213</v>
      </c>
      <c r="D11" s="430" t="s">
        <v>91</v>
      </c>
      <c r="E11" s="431"/>
      <c r="F11" s="431"/>
      <c r="G11" s="431"/>
      <c r="H11" s="431"/>
      <c r="I11" s="431"/>
      <c r="J11" s="431">
        <v>1</v>
      </c>
    </row>
    <row r="12" spans="1:10" x14ac:dyDescent="0.3">
      <c r="B12" s="432" t="s">
        <v>321</v>
      </c>
      <c r="C12" s="300" t="s">
        <v>1216</v>
      </c>
      <c r="D12" s="430" t="s">
        <v>91</v>
      </c>
      <c r="E12" s="431"/>
      <c r="F12" s="431"/>
      <c r="G12" s="431"/>
      <c r="H12" s="431"/>
      <c r="I12" s="431"/>
      <c r="J12" s="431">
        <v>1</v>
      </c>
    </row>
    <row r="13" spans="1:10" x14ac:dyDescent="0.3">
      <c r="B13" s="432" t="s">
        <v>322</v>
      </c>
      <c r="C13" s="300" t="s">
        <v>1217</v>
      </c>
      <c r="D13" s="430" t="s">
        <v>91</v>
      </c>
      <c r="E13" s="431"/>
      <c r="F13" s="431"/>
      <c r="G13" s="431"/>
      <c r="H13" s="431"/>
      <c r="I13" s="431"/>
      <c r="J13" s="431">
        <v>1</v>
      </c>
    </row>
    <row r="14" spans="1:10" x14ac:dyDescent="0.3">
      <c r="B14" s="433" t="s">
        <v>178</v>
      </c>
      <c r="C14" s="434" t="s">
        <v>1221</v>
      </c>
      <c r="D14" s="430" t="s">
        <v>160</v>
      </c>
      <c r="E14" s="431"/>
      <c r="F14" s="431"/>
      <c r="G14" s="431"/>
      <c r="H14" s="431"/>
      <c r="I14" s="431"/>
      <c r="J14" s="435"/>
    </row>
    <row r="15" spans="1:10" x14ac:dyDescent="0.3">
      <c r="B15" s="432" t="s">
        <v>325</v>
      </c>
      <c r="C15" s="300" t="s">
        <v>1222</v>
      </c>
      <c r="D15" s="430" t="s">
        <v>92</v>
      </c>
      <c r="E15" s="431"/>
      <c r="F15" s="431"/>
      <c r="G15" s="431"/>
      <c r="H15" s="443" t="s">
        <v>1261</v>
      </c>
      <c r="I15" s="444">
        <v>30.39</v>
      </c>
      <c r="J15" s="435">
        <v>30.39</v>
      </c>
    </row>
    <row r="16" spans="1:10" x14ac:dyDescent="0.3">
      <c r="B16" s="432" t="s">
        <v>326</v>
      </c>
      <c r="C16" s="300" t="s">
        <v>1223</v>
      </c>
      <c r="D16" s="430" t="s">
        <v>90</v>
      </c>
      <c r="E16" s="431"/>
      <c r="F16" s="431"/>
      <c r="G16" s="431"/>
      <c r="H16" s="431"/>
      <c r="I16" s="435"/>
      <c r="J16" s="435">
        <v>1</v>
      </c>
    </row>
    <row r="17" spans="2:10" x14ac:dyDescent="0.3">
      <c r="B17" s="432" t="s">
        <v>327</v>
      </c>
      <c r="C17" s="300" t="s">
        <v>1224</v>
      </c>
      <c r="D17" s="430" t="s">
        <v>92</v>
      </c>
      <c r="E17" s="431"/>
      <c r="F17" s="431"/>
      <c r="G17" s="431"/>
      <c r="H17" s="443" t="s">
        <v>1261</v>
      </c>
      <c r="I17" s="444">
        <f>+J17</f>
        <v>54.65</v>
      </c>
      <c r="J17" s="435">
        <v>54.65</v>
      </c>
    </row>
    <row r="18" spans="2:10" x14ac:dyDescent="0.3">
      <c r="B18" s="432" t="s">
        <v>328</v>
      </c>
      <c r="C18" s="300" t="s">
        <v>1225</v>
      </c>
      <c r="D18" s="430" t="s">
        <v>92</v>
      </c>
      <c r="E18" s="431"/>
      <c r="F18" s="431"/>
      <c r="G18" s="431"/>
      <c r="H18" s="443" t="s">
        <v>1261</v>
      </c>
      <c r="I18" s="444">
        <f>+J18</f>
        <v>3.46</v>
      </c>
      <c r="J18" s="435">
        <v>3.46</v>
      </c>
    </row>
    <row r="19" spans="2:10" x14ac:dyDescent="0.3">
      <c r="B19" s="432" t="s">
        <v>329</v>
      </c>
      <c r="C19" s="300" t="s">
        <v>1226</v>
      </c>
      <c r="D19" s="430" t="s">
        <v>90</v>
      </c>
      <c r="E19" s="431"/>
      <c r="F19" s="431"/>
      <c r="G19" s="431"/>
      <c r="H19" s="431"/>
      <c r="I19" s="431"/>
      <c r="J19" s="435">
        <v>1</v>
      </c>
    </row>
    <row r="20" spans="2:10" x14ac:dyDescent="0.3">
      <c r="B20" s="432" t="s">
        <v>330</v>
      </c>
      <c r="C20" s="300" t="s">
        <v>1227</v>
      </c>
      <c r="D20" s="430" t="s">
        <v>90</v>
      </c>
      <c r="E20" s="431"/>
      <c r="F20" s="431"/>
      <c r="G20" s="431"/>
      <c r="H20" s="431"/>
      <c r="I20" s="431"/>
      <c r="J20" s="435">
        <v>1</v>
      </c>
    </row>
    <row r="21" spans="2:10" x14ac:dyDescent="0.3">
      <c r="B21" s="432" t="s">
        <v>331</v>
      </c>
      <c r="C21" s="300" t="s">
        <v>1228</v>
      </c>
      <c r="D21" s="430" t="s">
        <v>93</v>
      </c>
      <c r="E21" s="431"/>
      <c r="F21" s="431"/>
      <c r="G21" s="431"/>
      <c r="H21" s="443" t="s">
        <v>1262</v>
      </c>
      <c r="I21" s="444">
        <f>+J21</f>
        <v>12.64</v>
      </c>
      <c r="J21" s="435">
        <v>12.64</v>
      </c>
    </row>
    <row r="22" spans="2:10" x14ac:dyDescent="0.3">
      <c r="B22" s="436">
        <v>1.03</v>
      </c>
      <c r="C22" s="429" t="s">
        <v>1230</v>
      </c>
      <c r="D22" s="431"/>
      <c r="E22" s="431"/>
      <c r="F22" s="431"/>
      <c r="G22" s="431"/>
      <c r="H22" s="431"/>
      <c r="I22" s="431"/>
      <c r="J22" s="431"/>
    </row>
    <row r="23" spans="2:10" x14ac:dyDescent="0.3">
      <c r="B23" s="432" t="s">
        <v>181</v>
      </c>
      <c r="C23" s="300" t="s">
        <v>276</v>
      </c>
      <c r="D23" s="430" t="s">
        <v>90</v>
      </c>
      <c r="E23" s="431"/>
      <c r="F23" s="431"/>
      <c r="G23" s="431"/>
      <c r="H23" s="431"/>
      <c r="I23" s="431"/>
      <c r="J23" s="435">
        <v>0.25</v>
      </c>
    </row>
    <row r="24" spans="2:10" x14ac:dyDescent="0.3">
      <c r="B24" s="432" t="s">
        <v>182</v>
      </c>
      <c r="C24" s="300" t="s">
        <v>277</v>
      </c>
      <c r="D24" s="430" t="s">
        <v>90</v>
      </c>
      <c r="E24" s="431"/>
      <c r="F24" s="431"/>
      <c r="G24" s="431"/>
      <c r="H24" s="431"/>
      <c r="I24" s="431"/>
      <c r="J24" s="435">
        <v>0.25</v>
      </c>
    </row>
    <row r="25" spans="2:10" x14ac:dyDescent="0.3">
      <c r="B25" s="432" t="s">
        <v>183</v>
      </c>
      <c r="C25" s="300" t="s">
        <v>1232</v>
      </c>
      <c r="D25" s="430" t="s">
        <v>90</v>
      </c>
      <c r="E25" s="431"/>
      <c r="F25" s="431"/>
      <c r="G25" s="431"/>
      <c r="H25" s="431"/>
      <c r="I25" s="431"/>
      <c r="J25" s="435">
        <v>0.25</v>
      </c>
    </row>
    <row r="26" spans="2:10" x14ac:dyDescent="0.3">
      <c r="B26" s="432" t="s">
        <v>184</v>
      </c>
      <c r="C26" s="300" t="s">
        <v>278</v>
      </c>
      <c r="D26" s="430" t="s">
        <v>90</v>
      </c>
      <c r="E26" s="431"/>
      <c r="F26" s="431"/>
      <c r="G26" s="431"/>
      <c r="H26" s="431"/>
      <c r="I26" s="431"/>
      <c r="J26" s="435">
        <v>0.25</v>
      </c>
    </row>
    <row r="27" spans="2:10" x14ac:dyDescent="0.3">
      <c r="B27" s="432" t="s">
        <v>185</v>
      </c>
      <c r="C27" s="300" t="s">
        <v>1233</v>
      </c>
      <c r="D27" s="430" t="s">
        <v>90</v>
      </c>
      <c r="E27" s="431"/>
      <c r="F27" s="431"/>
      <c r="G27" s="431"/>
      <c r="H27" s="431"/>
      <c r="I27" s="431"/>
      <c r="J27" s="435">
        <v>0.25</v>
      </c>
    </row>
    <row r="28" spans="2:10" x14ac:dyDescent="0.3">
      <c r="B28" s="428" t="s">
        <v>186</v>
      </c>
      <c r="C28" s="429" t="s">
        <v>1234</v>
      </c>
      <c r="D28" s="431"/>
      <c r="E28" s="431"/>
      <c r="F28" s="431"/>
      <c r="G28" s="431"/>
      <c r="H28" s="431"/>
      <c r="I28" s="431"/>
      <c r="J28" s="431"/>
    </row>
    <row r="29" spans="2:10" x14ac:dyDescent="0.3">
      <c r="B29" s="432" t="s">
        <v>334</v>
      </c>
      <c r="C29" s="300" t="s">
        <v>758</v>
      </c>
      <c r="D29" s="430" t="s">
        <v>90</v>
      </c>
      <c r="E29" s="431"/>
      <c r="F29" s="431"/>
      <c r="G29" s="431"/>
      <c r="H29" s="431"/>
      <c r="I29" s="431"/>
      <c r="J29" s="435">
        <v>0.5</v>
      </c>
    </row>
    <row r="30" spans="2:10" x14ac:dyDescent="0.3">
      <c r="B30" s="432" t="s">
        <v>335</v>
      </c>
      <c r="C30" s="300" t="s">
        <v>759</v>
      </c>
      <c r="D30" s="430" t="s">
        <v>90</v>
      </c>
      <c r="E30" s="431"/>
      <c r="F30" s="431"/>
      <c r="G30" s="431"/>
      <c r="H30" s="431"/>
      <c r="I30" s="431"/>
      <c r="J30" s="435">
        <v>0.5</v>
      </c>
    </row>
    <row r="31" spans="2:10" x14ac:dyDescent="0.3">
      <c r="B31" s="432" t="s">
        <v>336</v>
      </c>
      <c r="C31" s="300" t="s">
        <v>760</v>
      </c>
      <c r="D31" s="430" t="s">
        <v>90</v>
      </c>
      <c r="E31" s="431"/>
      <c r="F31" s="431"/>
      <c r="G31" s="431"/>
      <c r="H31" s="431"/>
      <c r="I31" s="431"/>
      <c r="J31" s="435">
        <v>0.5</v>
      </c>
    </row>
    <row r="32" spans="2:10" x14ac:dyDescent="0.3">
      <c r="B32" s="432" t="s">
        <v>337</v>
      </c>
      <c r="C32" s="300" t="s">
        <v>761</v>
      </c>
      <c r="D32" s="430" t="s">
        <v>90</v>
      </c>
      <c r="E32" s="431"/>
      <c r="F32" s="431"/>
      <c r="G32" s="431"/>
      <c r="H32" s="431"/>
      <c r="I32" s="431"/>
      <c r="J32" s="435">
        <v>0.5</v>
      </c>
    </row>
    <row r="33" spans="2:10" x14ac:dyDescent="0.3">
      <c r="B33" s="428" t="s">
        <v>188</v>
      </c>
      <c r="C33" s="429" t="s">
        <v>764</v>
      </c>
      <c r="D33" s="431"/>
      <c r="E33" s="431"/>
      <c r="F33" s="431"/>
      <c r="G33" s="431"/>
      <c r="H33" s="431"/>
      <c r="I33" s="431"/>
      <c r="J33" s="431"/>
    </row>
    <row r="34" spans="2:10" x14ac:dyDescent="0.3">
      <c r="B34" s="432" t="s">
        <v>190</v>
      </c>
      <c r="C34" s="300" t="s">
        <v>765</v>
      </c>
      <c r="D34" s="430" t="s">
        <v>92</v>
      </c>
      <c r="E34" s="431"/>
      <c r="F34" s="431"/>
      <c r="G34" s="431"/>
      <c r="H34" s="443" t="s">
        <v>1261</v>
      </c>
      <c r="I34" s="444">
        <f>+J34</f>
        <v>101.28</v>
      </c>
      <c r="J34" s="435">
        <v>101.28</v>
      </c>
    </row>
    <row r="35" spans="2:10" x14ac:dyDescent="0.3">
      <c r="B35" s="428">
        <v>2</v>
      </c>
      <c r="C35" s="429" t="s">
        <v>215</v>
      </c>
      <c r="D35" s="437" t="s">
        <v>160</v>
      </c>
      <c r="E35" s="431"/>
      <c r="F35" s="431"/>
      <c r="G35" s="431"/>
      <c r="H35" s="431"/>
      <c r="I35" s="431"/>
      <c r="J35" s="438"/>
    </row>
    <row r="36" spans="2:10" x14ac:dyDescent="0.3">
      <c r="B36" s="428" t="s">
        <v>191</v>
      </c>
      <c r="C36" s="434" t="s">
        <v>766</v>
      </c>
      <c r="D36" s="439" t="s">
        <v>160</v>
      </c>
      <c r="E36" s="431"/>
      <c r="F36" s="431"/>
      <c r="G36" s="431"/>
      <c r="H36" s="431"/>
      <c r="I36" s="431"/>
      <c r="J36" s="440"/>
    </row>
    <row r="37" spans="2:10" x14ac:dyDescent="0.3">
      <c r="B37" s="432" t="s">
        <v>192</v>
      </c>
      <c r="C37" s="429" t="s">
        <v>767</v>
      </c>
      <c r="D37" s="430" t="s">
        <v>160</v>
      </c>
      <c r="E37" s="431"/>
      <c r="F37" s="431"/>
      <c r="G37" s="431"/>
      <c r="H37" s="431"/>
      <c r="I37" s="431"/>
      <c r="J37" s="435"/>
    </row>
    <row r="38" spans="2:10" x14ac:dyDescent="0.3">
      <c r="B38" s="432" t="s">
        <v>347</v>
      </c>
      <c r="C38" s="300" t="s">
        <v>774</v>
      </c>
      <c r="D38" s="430" t="s">
        <v>93</v>
      </c>
      <c r="E38" s="431"/>
      <c r="F38" s="431"/>
      <c r="G38" s="431"/>
      <c r="H38" s="443" t="s">
        <v>1262</v>
      </c>
      <c r="I38" s="444">
        <f>+J38</f>
        <v>76.900000000000006</v>
      </c>
      <c r="J38" s="435">
        <v>76.900000000000006</v>
      </c>
    </row>
    <row r="39" spans="2:10" x14ac:dyDescent="0.3">
      <c r="B39" s="428" t="s">
        <v>218</v>
      </c>
      <c r="C39" s="429" t="s">
        <v>775</v>
      </c>
      <c r="D39" s="430" t="s">
        <v>160</v>
      </c>
      <c r="E39" s="431"/>
      <c r="F39" s="431"/>
      <c r="G39" s="431"/>
      <c r="H39" s="431"/>
      <c r="I39" s="431"/>
      <c r="J39" s="435"/>
    </row>
    <row r="40" spans="2:10" x14ac:dyDescent="0.3">
      <c r="B40" s="432" t="s">
        <v>349</v>
      </c>
      <c r="C40" s="300" t="s">
        <v>777</v>
      </c>
      <c r="D40" s="430" t="s">
        <v>93</v>
      </c>
      <c r="E40" s="431"/>
      <c r="F40" s="431"/>
      <c r="G40" s="431"/>
      <c r="H40" s="443" t="s">
        <v>1262</v>
      </c>
      <c r="I40" s="444">
        <f>+J40</f>
        <v>17.53</v>
      </c>
      <c r="J40" s="435">
        <v>17.53</v>
      </c>
    </row>
    <row r="41" spans="2:10" x14ac:dyDescent="0.3">
      <c r="B41" s="432" t="s">
        <v>350</v>
      </c>
      <c r="C41" s="300" t="s">
        <v>778</v>
      </c>
      <c r="D41" s="430" t="s">
        <v>93</v>
      </c>
      <c r="E41" s="431"/>
      <c r="F41" s="431"/>
      <c r="G41" s="431"/>
      <c r="H41" s="443" t="s">
        <v>1262</v>
      </c>
      <c r="I41" s="444">
        <f>+J41</f>
        <v>9.98</v>
      </c>
      <c r="J41" s="435">
        <v>9.98</v>
      </c>
    </row>
    <row r="42" spans="2:10" x14ac:dyDescent="0.3">
      <c r="B42" s="432" t="s">
        <v>351</v>
      </c>
      <c r="C42" s="300" t="s">
        <v>779</v>
      </c>
      <c r="D42" s="430" t="s">
        <v>92</v>
      </c>
      <c r="E42" s="431"/>
      <c r="F42" s="431"/>
      <c r="G42" s="431"/>
      <c r="H42" s="443" t="s">
        <v>1261</v>
      </c>
      <c r="I42" s="444">
        <f>+J42</f>
        <v>133.08000000000001</v>
      </c>
      <c r="J42" s="435">
        <v>133.08000000000001</v>
      </c>
    </row>
    <row r="43" spans="2:10" x14ac:dyDescent="0.3">
      <c r="B43" s="428" t="s">
        <v>358</v>
      </c>
      <c r="C43" s="429" t="s">
        <v>786</v>
      </c>
      <c r="D43" s="439" t="s">
        <v>160</v>
      </c>
      <c r="E43" s="431"/>
      <c r="F43" s="431"/>
      <c r="G43" s="431"/>
      <c r="H43" s="431"/>
      <c r="I43" s="431"/>
      <c r="J43" s="440"/>
    </row>
    <row r="44" spans="2:10" x14ac:dyDescent="0.3">
      <c r="B44" s="432" t="s">
        <v>359</v>
      </c>
      <c r="C44" s="300" t="s">
        <v>787</v>
      </c>
      <c r="D44" s="430" t="s">
        <v>93</v>
      </c>
      <c r="E44" s="431"/>
      <c r="F44" s="431"/>
      <c r="G44" s="431"/>
      <c r="H44" s="443" t="s">
        <v>1262</v>
      </c>
      <c r="I44" s="444">
        <f>+J44</f>
        <v>11.05</v>
      </c>
      <c r="J44" s="435">
        <v>11.05</v>
      </c>
    </row>
    <row r="45" spans="2:10" x14ac:dyDescent="0.3">
      <c r="B45" s="432"/>
      <c r="C45" s="445" t="s">
        <v>1263</v>
      </c>
      <c r="D45" s="374"/>
      <c r="E45" s="374">
        <v>0.25</v>
      </c>
      <c r="F45" s="374">
        <v>0.5</v>
      </c>
      <c r="G45" s="374">
        <v>5.75</v>
      </c>
      <c r="H45" s="374">
        <v>8</v>
      </c>
      <c r="I45" s="374">
        <f>PRODUCT(E45:H45)</f>
        <v>5.75</v>
      </c>
      <c r="J45" s="435"/>
    </row>
    <row r="46" spans="2:10" x14ac:dyDescent="0.3">
      <c r="B46" s="432"/>
      <c r="C46" s="445" t="s">
        <v>1264</v>
      </c>
      <c r="D46" s="374"/>
      <c r="E46" s="374">
        <v>0.25</v>
      </c>
      <c r="F46" s="374">
        <v>0.4</v>
      </c>
      <c r="G46" s="374">
        <v>5.75</v>
      </c>
      <c r="H46" s="374">
        <v>4</v>
      </c>
      <c r="I46" s="374">
        <f t="shared" ref="I46:I49" si="0">PRODUCT(E46:H46)</f>
        <v>2.3000000000000003</v>
      </c>
      <c r="J46" s="435"/>
    </row>
    <row r="47" spans="2:10" x14ac:dyDescent="0.3">
      <c r="B47" s="432"/>
      <c r="C47" s="445" t="s">
        <v>1265</v>
      </c>
      <c r="D47" s="374"/>
      <c r="E47" s="374">
        <v>0.25</v>
      </c>
      <c r="F47" s="374">
        <v>0.3</v>
      </c>
      <c r="G47" s="374">
        <v>5.75</v>
      </c>
      <c r="H47" s="374">
        <v>1</v>
      </c>
      <c r="I47" s="374">
        <f>PRODUCT(E47:H47)</f>
        <v>0.43124999999999997</v>
      </c>
      <c r="J47" s="435"/>
    </row>
    <row r="48" spans="2:10" x14ac:dyDescent="0.3">
      <c r="B48" s="432"/>
      <c r="C48" s="445" t="s">
        <v>1266</v>
      </c>
      <c r="D48" s="374"/>
      <c r="E48" s="374">
        <v>0.16</v>
      </c>
      <c r="F48" s="374"/>
      <c r="G48" s="374">
        <v>5.75</v>
      </c>
      <c r="H48" s="374">
        <v>1</v>
      </c>
      <c r="I48" s="374">
        <f t="shared" si="0"/>
        <v>0.92</v>
      </c>
      <c r="J48" s="435"/>
    </row>
    <row r="49" spans="2:10" x14ac:dyDescent="0.3">
      <c r="B49" s="432"/>
      <c r="C49" s="445" t="s">
        <v>1267</v>
      </c>
      <c r="D49" s="374"/>
      <c r="E49" s="374">
        <v>1.1499999999999999</v>
      </c>
      <c r="F49" s="374">
        <v>0.25</v>
      </c>
      <c r="G49" s="374">
        <v>5.75</v>
      </c>
      <c r="H49" s="374">
        <v>1</v>
      </c>
      <c r="I49" s="374">
        <f t="shared" si="0"/>
        <v>1.653125</v>
      </c>
      <c r="J49" s="435"/>
    </row>
    <row r="50" spans="2:10" x14ac:dyDescent="0.3">
      <c r="B50" s="432" t="s">
        <v>360</v>
      </c>
      <c r="C50" s="300" t="s">
        <v>788</v>
      </c>
      <c r="D50" s="430" t="s">
        <v>92</v>
      </c>
      <c r="E50" s="431"/>
      <c r="F50" s="431"/>
      <c r="G50" s="431"/>
      <c r="H50" s="443" t="s">
        <v>1261</v>
      </c>
      <c r="I50" s="444">
        <f>+J50</f>
        <v>142.26</v>
      </c>
      <c r="J50" s="435">
        <v>142.26</v>
      </c>
    </row>
    <row r="51" spans="2:10" x14ac:dyDescent="0.3">
      <c r="B51" s="446"/>
      <c r="C51" s="445" t="s">
        <v>1263</v>
      </c>
      <c r="D51" s="374"/>
      <c r="E51" s="374">
        <v>0.25</v>
      </c>
      <c r="F51" s="374"/>
      <c r="G51" s="374">
        <v>5.75</v>
      </c>
      <c r="H51" s="374">
        <v>16</v>
      </c>
      <c r="I51" s="374">
        <f t="shared" ref="I51:I59" si="1">PRODUCT(E51:H51)</f>
        <v>23</v>
      </c>
      <c r="J51" s="435"/>
    </row>
    <row r="52" spans="2:10" x14ac:dyDescent="0.3">
      <c r="B52" s="446"/>
      <c r="C52" s="445"/>
      <c r="D52" s="374"/>
      <c r="E52" s="374"/>
      <c r="F52" s="374">
        <v>0.5</v>
      </c>
      <c r="G52" s="374">
        <v>5.75</v>
      </c>
      <c r="H52" s="374">
        <v>16</v>
      </c>
      <c r="I52" s="374">
        <f t="shared" si="1"/>
        <v>46</v>
      </c>
      <c r="J52" s="435"/>
    </row>
    <row r="53" spans="2:10" x14ac:dyDescent="0.3">
      <c r="B53" s="446"/>
      <c r="C53" s="445" t="s">
        <v>1264</v>
      </c>
      <c r="D53" s="374"/>
      <c r="E53" s="374">
        <v>0.25</v>
      </c>
      <c r="F53" s="374"/>
      <c r="G53" s="374">
        <v>5.75</v>
      </c>
      <c r="H53" s="374">
        <v>8</v>
      </c>
      <c r="I53" s="374">
        <f t="shared" si="1"/>
        <v>11.5</v>
      </c>
      <c r="J53" s="435"/>
    </row>
    <row r="54" spans="2:10" x14ac:dyDescent="0.3">
      <c r="B54" s="446"/>
      <c r="C54" s="445"/>
      <c r="D54" s="374"/>
      <c r="E54" s="374"/>
      <c r="F54" s="374">
        <v>0.4</v>
      </c>
      <c r="G54" s="374">
        <v>5.75</v>
      </c>
      <c r="H54" s="374">
        <v>8</v>
      </c>
      <c r="I54" s="374">
        <f t="shared" si="1"/>
        <v>18.400000000000002</v>
      </c>
      <c r="J54" s="435"/>
    </row>
    <row r="55" spans="2:10" x14ac:dyDescent="0.3">
      <c r="B55" s="446"/>
      <c r="C55" s="445" t="s">
        <v>1265</v>
      </c>
      <c r="D55" s="374"/>
      <c r="E55" s="374">
        <v>0.25</v>
      </c>
      <c r="F55" s="374"/>
      <c r="G55" s="374">
        <v>5.75</v>
      </c>
      <c r="H55" s="374">
        <v>2</v>
      </c>
      <c r="I55" s="374">
        <f t="shared" si="1"/>
        <v>2.875</v>
      </c>
      <c r="J55" s="435"/>
    </row>
    <row r="56" spans="2:10" x14ac:dyDescent="0.3">
      <c r="B56" s="446"/>
      <c r="C56" s="445"/>
      <c r="D56" s="374"/>
      <c r="E56" s="374"/>
      <c r="F56" s="374">
        <v>0.3</v>
      </c>
      <c r="G56" s="374">
        <v>5.75</v>
      </c>
      <c r="H56" s="374">
        <v>2</v>
      </c>
      <c r="I56" s="374">
        <f t="shared" si="1"/>
        <v>3.4499999999999997</v>
      </c>
      <c r="J56" s="435"/>
    </row>
    <row r="57" spans="2:10" x14ac:dyDescent="0.3">
      <c r="B57" s="446"/>
      <c r="C57" s="445" t="s">
        <v>1266</v>
      </c>
      <c r="D57" s="374"/>
      <c r="E57" s="374">
        <v>1.82</v>
      </c>
      <c r="F57" s="374"/>
      <c r="G57" s="374">
        <v>5.75</v>
      </c>
      <c r="H57" s="374">
        <v>2</v>
      </c>
      <c r="I57" s="374">
        <f t="shared" si="1"/>
        <v>20.93</v>
      </c>
      <c r="J57" s="435"/>
    </row>
    <row r="58" spans="2:10" x14ac:dyDescent="0.3">
      <c r="B58" s="446"/>
      <c r="C58" s="445" t="s">
        <v>1267</v>
      </c>
      <c r="D58" s="374"/>
      <c r="E58" s="374">
        <v>1.1499999999999999</v>
      </c>
      <c r="F58" s="374"/>
      <c r="G58" s="374">
        <v>5.75</v>
      </c>
      <c r="H58" s="374">
        <v>2</v>
      </c>
      <c r="I58" s="374">
        <f t="shared" si="1"/>
        <v>13.225</v>
      </c>
      <c r="J58" s="435"/>
    </row>
    <row r="59" spans="2:10" x14ac:dyDescent="0.3">
      <c r="B59" s="446"/>
      <c r="C59" s="445"/>
      <c r="D59" s="374"/>
      <c r="E59" s="374"/>
      <c r="F59" s="374">
        <v>0.25</v>
      </c>
      <c r="G59" s="374">
        <v>5.75</v>
      </c>
      <c r="H59" s="374">
        <v>2</v>
      </c>
      <c r="I59" s="374">
        <f t="shared" si="1"/>
        <v>2.875</v>
      </c>
      <c r="J59" s="435"/>
    </row>
    <row r="60" spans="2:10" x14ac:dyDescent="0.3">
      <c r="B60" s="432" t="s">
        <v>362</v>
      </c>
      <c r="C60" s="300" t="s">
        <v>785</v>
      </c>
      <c r="D60" s="430" t="s">
        <v>92</v>
      </c>
      <c r="E60" s="431"/>
      <c r="F60" s="431"/>
      <c r="G60" s="431"/>
      <c r="H60" s="443" t="s">
        <v>1261</v>
      </c>
      <c r="I60" s="444">
        <f>+J60</f>
        <v>142.26</v>
      </c>
      <c r="J60" s="435">
        <v>142.26</v>
      </c>
    </row>
    <row r="61" spans="2:10" x14ac:dyDescent="0.3">
      <c r="B61" s="428" t="s">
        <v>363</v>
      </c>
      <c r="C61" s="429" t="s">
        <v>789</v>
      </c>
      <c r="D61" s="439" t="s">
        <v>160</v>
      </c>
      <c r="E61" s="431"/>
      <c r="F61" s="431"/>
      <c r="G61" s="431"/>
      <c r="H61" s="431"/>
      <c r="I61" s="431"/>
      <c r="J61" s="440"/>
    </row>
    <row r="62" spans="2:10" x14ac:dyDescent="0.3">
      <c r="B62" s="432" t="s">
        <v>364</v>
      </c>
      <c r="C62" s="300" t="s">
        <v>790</v>
      </c>
      <c r="D62" s="430" t="s">
        <v>93</v>
      </c>
      <c r="E62" s="431"/>
      <c r="F62" s="431"/>
      <c r="G62" s="431"/>
      <c r="H62" s="431"/>
      <c r="I62" s="431"/>
      <c r="J62" s="435">
        <v>1.07</v>
      </c>
    </row>
    <row r="63" spans="2:10" x14ac:dyDescent="0.3">
      <c r="B63" s="432" t="s">
        <v>365</v>
      </c>
      <c r="C63" s="300" t="s">
        <v>791</v>
      </c>
      <c r="D63" s="430" t="s">
        <v>92</v>
      </c>
      <c r="E63" s="431"/>
      <c r="F63" s="431"/>
      <c r="G63" s="431"/>
      <c r="H63" s="431"/>
      <c r="I63" s="431"/>
      <c r="J63" s="435">
        <v>22.8</v>
      </c>
    </row>
    <row r="64" spans="2:10" x14ac:dyDescent="0.3">
      <c r="B64" s="432" t="s">
        <v>366</v>
      </c>
      <c r="C64" s="300" t="s">
        <v>784</v>
      </c>
      <c r="D64" s="430" t="s">
        <v>274</v>
      </c>
      <c r="E64" s="431"/>
      <c r="F64" s="431"/>
      <c r="G64" s="431"/>
      <c r="H64" s="431"/>
      <c r="I64" s="431"/>
      <c r="J64" s="435">
        <v>103.28</v>
      </c>
    </row>
    <row r="65" spans="2:10" x14ac:dyDescent="0.3">
      <c r="B65" s="432" t="s">
        <v>367</v>
      </c>
      <c r="C65" s="300" t="s">
        <v>785</v>
      </c>
      <c r="D65" s="430" t="s">
        <v>92</v>
      </c>
      <c r="E65" s="431"/>
      <c r="F65" s="431"/>
      <c r="G65" s="431"/>
      <c r="H65" s="431"/>
      <c r="I65" s="431"/>
      <c r="J65" s="435">
        <v>22.8</v>
      </c>
    </row>
    <row r="66" spans="2:10" x14ac:dyDescent="0.3">
      <c r="B66" s="428" t="s">
        <v>368</v>
      </c>
      <c r="C66" s="429" t="s">
        <v>792</v>
      </c>
      <c r="D66" s="439" t="s">
        <v>160</v>
      </c>
      <c r="E66" s="431"/>
      <c r="F66" s="431"/>
      <c r="G66" s="431"/>
      <c r="H66" s="431"/>
      <c r="I66" s="431"/>
      <c r="J66" s="440"/>
    </row>
    <row r="67" spans="2:10" x14ac:dyDescent="0.3">
      <c r="B67" s="432" t="s">
        <v>369</v>
      </c>
      <c r="C67" s="300" t="s">
        <v>793</v>
      </c>
      <c r="D67" s="430" t="s">
        <v>93</v>
      </c>
      <c r="E67" s="431"/>
      <c r="F67" s="431"/>
      <c r="G67" s="431"/>
      <c r="H67" s="431"/>
      <c r="I67" s="431"/>
      <c r="J67" s="435">
        <v>8.25</v>
      </c>
    </row>
    <row r="68" spans="2:10" x14ac:dyDescent="0.3">
      <c r="B68" s="446"/>
      <c r="C68" s="445" t="s">
        <v>1268</v>
      </c>
      <c r="D68" s="374"/>
      <c r="E68" s="374">
        <v>2.2999999999999998</v>
      </c>
      <c r="F68" s="374">
        <v>0.25</v>
      </c>
      <c r="G68" s="374">
        <v>0.4</v>
      </c>
      <c r="H68" s="374">
        <v>1</v>
      </c>
      <c r="I68" s="374">
        <f t="shared" ref="I68:I89" si="2">PRODUCT(E68:H68)</f>
        <v>0.22999999999999998</v>
      </c>
      <c r="J68" s="373"/>
    </row>
    <row r="69" spans="2:10" x14ac:dyDescent="0.3">
      <c r="B69" s="446"/>
      <c r="C69" s="445" t="s">
        <v>1269</v>
      </c>
      <c r="D69" s="374"/>
      <c r="E69" s="374">
        <v>4.67</v>
      </c>
      <c r="F69" s="374">
        <v>0.25</v>
      </c>
      <c r="G69" s="374">
        <v>0.4</v>
      </c>
      <c r="H69" s="374">
        <v>1</v>
      </c>
      <c r="I69" s="374">
        <f t="shared" si="2"/>
        <v>0.46700000000000003</v>
      </c>
      <c r="J69" s="373"/>
    </row>
    <row r="70" spans="2:10" x14ac:dyDescent="0.3">
      <c r="B70" s="446"/>
      <c r="C70" s="445" t="s">
        <v>1270</v>
      </c>
      <c r="D70" s="374"/>
      <c r="E70" s="374">
        <v>3.2</v>
      </c>
      <c r="F70" s="374">
        <v>0.25</v>
      </c>
      <c r="G70" s="374">
        <v>0.4</v>
      </c>
      <c r="H70" s="374">
        <v>1</v>
      </c>
      <c r="I70" s="374">
        <f t="shared" si="2"/>
        <v>0.32000000000000006</v>
      </c>
      <c r="J70" s="373"/>
    </row>
    <row r="71" spans="2:10" x14ac:dyDescent="0.3">
      <c r="B71" s="446"/>
      <c r="C71" s="445" t="s">
        <v>1271</v>
      </c>
      <c r="D71" s="374"/>
      <c r="E71" s="374">
        <v>5.03</v>
      </c>
      <c r="F71" s="374">
        <v>0.25</v>
      </c>
      <c r="G71" s="374">
        <v>0.4</v>
      </c>
      <c r="H71" s="374">
        <v>1</v>
      </c>
      <c r="I71" s="374">
        <f t="shared" si="2"/>
        <v>0.503</v>
      </c>
      <c r="J71" s="373"/>
    </row>
    <row r="72" spans="2:10" x14ac:dyDescent="0.3">
      <c r="B72" s="446"/>
      <c r="C72" s="445" t="s">
        <v>1272</v>
      </c>
      <c r="D72" s="374"/>
      <c r="E72" s="374">
        <v>5.24</v>
      </c>
      <c r="F72" s="374">
        <v>0.25</v>
      </c>
      <c r="G72" s="374">
        <v>0.4</v>
      </c>
      <c r="H72" s="374">
        <v>1</v>
      </c>
      <c r="I72" s="374">
        <f t="shared" si="2"/>
        <v>0.52400000000000002</v>
      </c>
      <c r="J72" s="373"/>
    </row>
    <row r="73" spans="2:10" x14ac:dyDescent="0.3">
      <c r="B73" s="446"/>
      <c r="C73" s="445" t="s">
        <v>1273</v>
      </c>
      <c r="D73" s="374"/>
      <c r="E73" s="374">
        <v>4.0999999999999996</v>
      </c>
      <c r="F73" s="374">
        <v>0.25</v>
      </c>
      <c r="G73" s="374">
        <v>0.4</v>
      </c>
      <c r="H73" s="374">
        <v>1</v>
      </c>
      <c r="I73" s="374">
        <f t="shared" si="2"/>
        <v>0.41</v>
      </c>
      <c r="J73" s="373"/>
    </row>
    <row r="74" spans="2:10" x14ac:dyDescent="0.3">
      <c r="B74" s="446"/>
      <c r="C74" s="445" t="s">
        <v>1274</v>
      </c>
      <c r="D74" s="374"/>
      <c r="E74" s="374">
        <v>3</v>
      </c>
      <c r="F74" s="374">
        <v>0.25</v>
      </c>
      <c r="G74" s="374">
        <v>0.4</v>
      </c>
      <c r="H74" s="374">
        <v>1</v>
      </c>
      <c r="I74" s="374">
        <f t="shared" si="2"/>
        <v>0.30000000000000004</v>
      </c>
      <c r="J74" s="373"/>
    </row>
    <row r="75" spans="2:10" x14ac:dyDescent="0.3">
      <c r="B75" s="446"/>
      <c r="C75" s="445" t="s">
        <v>1275</v>
      </c>
      <c r="D75" s="374"/>
      <c r="E75" s="374">
        <v>4.0999999999999996</v>
      </c>
      <c r="F75" s="374">
        <v>0.25</v>
      </c>
      <c r="G75" s="374">
        <v>0.4</v>
      </c>
      <c r="H75" s="374">
        <v>1</v>
      </c>
      <c r="I75" s="374">
        <f t="shared" si="2"/>
        <v>0.41</v>
      </c>
      <c r="J75" s="373"/>
    </row>
    <row r="76" spans="2:10" x14ac:dyDescent="0.3">
      <c r="B76" s="446"/>
      <c r="C76" s="445" t="s">
        <v>1276</v>
      </c>
      <c r="D76" s="374"/>
      <c r="E76" s="374">
        <v>2.85</v>
      </c>
      <c r="F76" s="374">
        <v>0.25</v>
      </c>
      <c r="G76" s="374">
        <v>0.4</v>
      </c>
      <c r="H76" s="374">
        <v>1</v>
      </c>
      <c r="I76" s="374">
        <f t="shared" si="2"/>
        <v>0.28500000000000003</v>
      </c>
      <c r="J76" s="373"/>
    </row>
    <row r="77" spans="2:10" x14ac:dyDescent="0.3">
      <c r="B77" s="446"/>
      <c r="C77" s="445" t="s">
        <v>1277</v>
      </c>
      <c r="D77" s="374"/>
      <c r="E77" s="374">
        <v>4.5</v>
      </c>
      <c r="F77" s="374">
        <v>0.25</v>
      </c>
      <c r="G77" s="374">
        <v>0.4</v>
      </c>
      <c r="H77" s="374">
        <v>1</v>
      </c>
      <c r="I77" s="374">
        <f t="shared" si="2"/>
        <v>0.45</v>
      </c>
      <c r="J77" s="373"/>
    </row>
    <row r="78" spans="2:10" x14ac:dyDescent="0.3">
      <c r="B78" s="446"/>
      <c r="C78" s="445" t="s">
        <v>1278</v>
      </c>
      <c r="D78" s="374"/>
      <c r="E78" s="374">
        <v>4.6500000000000004</v>
      </c>
      <c r="F78" s="374">
        <v>0.25</v>
      </c>
      <c r="G78" s="374">
        <v>0.4</v>
      </c>
      <c r="H78" s="374">
        <v>1</v>
      </c>
      <c r="I78" s="374">
        <f t="shared" si="2"/>
        <v>0.46500000000000008</v>
      </c>
      <c r="J78" s="373"/>
    </row>
    <row r="79" spans="2:10" x14ac:dyDescent="0.3">
      <c r="B79" s="446"/>
      <c r="C79" s="445" t="s">
        <v>1279</v>
      </c>
      <c r="D79" s="374"/>
      <c r="E79" s="374">
        <v>3.09</v>
      </c>
      <c r="F79" s="374">
        <v>0.25</v>
      </c>
      <c r="G79" s="374">
        <v>0.4</v>
      </c>
      <c r="H79" s="374">
        <v>1</v>
      </c>
      <c r="I79" s="374">
        <f t="shared" si="2"/>
        <v>0.309</v>
      </c>
      <c r="J79" s="373"/>
    </row>
    <row r="80" spans="2:10" x14ac:dyDescent="0.3">
      <c r="B80" s="446"/>
      <c r="C80" s="445" t="s">
        <v>1280</v>
      </c>
      <c r="D80" s="374"/>
      <c r="E80" s="374">
        <v>5</v>
      </c>
      <c r="F80" s="374">
        <v>0.25</v>
      </c>
      <c r="G80" s="374">
        <v>0.4</v>
      </c>
      <c r="H80" s="374">
        <v>1</v>
      </c>
      <c r="I80" s="374">
        <f t="shared" si="2"/>
        <v>0.5</v>
      </c>
      <c r="J80" s="373"/>
    </row>
    <row r="81" spans="2:10" x14ac:dyDescent="0.3">
      <c r="B81" s="446"/>
      <c r="C81" s="445" t="s">
        <v>1281</v>
      </c>
      <c r="D81" s="374"/>
      <c r="E81" s="374">
        <v>3.23</v>
      </c>
      <c r="F81" s="374">
        <v>0.25</v>
      </c>
      <c r="G81" s="374">
        <v>0.4</v>
      </c>
      <c r="H81" s="374">
        <v>1</v>
      </c>
      <c r="I81" s="374">
        <f t="shared" si="2"/>
        <v>0.32300000000000001</v>
      </c>
      <c r="J81" s="373"/>
    </row>
    <row r="82" spans="2:10" x14ac:dyDescent="0.3">
      <c r="B82" s="446"/>
      <c r="C82" s="445" t="s">
        <v>1282</v>
      </c>
      <c r="D82" s="374"/>
      <c r="E82" s="374">
        <v>3.09</v>
      </c>
      <c r="F82" s="374">
        <v>0.25</v>
      </c>
      <c r="G82" s="374">
        <v>0.4</v>
      </c>
      <c r="H82" s="374">
        <v>1</v>
      </c>
      <c r="I82" s="374">
        <f t="shared" si="2"/>
        <v>0.309</v>
      </c>
      <c r="J82" s="373"/>
    </row>
    <row r="83" spans="2:10" x14ac:dyDescent="0.3">
      <c r="B83" s="446"/>
      <c r="C83" s="445" t="s">
        <v>1283</v>
      </c>
      <c r="D83" s="374"/>
      <c r="E83" s="374">
        <v>5.94</v>
      </c>
      <c r="F83" s="374">
        <v>0.25</v>
      </c>
      <c r="G83" s="374">
        <v>0.4</v>
      </c>
      <c r="H83" s="374">
        <v>1</v>
      </c>
      <c r="I83" s="374">
        <f t="shared" si="2"/>
        <v>0.59400000000000008</v>
      </c>
      <c r="J83" s="373"/>
    </row>
    <row r="84" spans="2:10" x14ac:dyDescent="0.3">
      <c r="B84" s="446"/>
      <c r="C84" s="445" t="s">
        <v>1284</v>
      </c>
      <c r="D84" s="374"/>
      <c r="E84" s="374">
        <v>2.34</v>
      </c>
      <c r="F84" s="374">
        <v>0.25</v>
      </c>
      <c r="G84" s="374">
        <v>0.4</v>
      </c>
      <c r="H84" s="374">
        <v>1</v>
      </c>
      <c r="I84" s="374">
        <f t="shared" si="2"/>
        <v>0.23399999999999999</v>
      </c>
      <c r="J84" s="373"/>
    </row>
    <row r="85" spans="2:10" x14ac:dyDescent="0.3">
      <c r="B85" s="446"/>
      <c r="C85" s="445" t="s">
        <v>1285</v>
      </c>
      <c r="D85" s="374"/>
      <c r="E85" s="374">
        <v>3.89</v>
      </c>
      <c r="F85" s="374">
        <v>0.25</v>
      </c>
      <c r="G85" s="374">
        <v>0.4</v>
      </c>
      <c r="H85" s="374">
        <v>1</v>
      </c>
      <c r="I85" s="374">
        <f t="shared" si="2"/>
        <v>0.38900000000000001</v>
      </c>
      <c r="J85" s="373"/>
    </row>
    <row r="86" spans="2:10" x14ac:dyDescent="0.3">
      <c r="B86" s="446"/>
      <c r="C86" s="445" t="s">
        <v>1286</v>
      </c>
      <c r="D86" s="374"/>
      <c r="E86" s="374">
        <v>4.75</v>
      </c>
      <c r="F86" s="374">
        <v>0.25</v>
      </c>
      <c r="G86" s="374">
        <v>0.4</v>
      </c>
      <c r="H86" s="374">
        <v>1</v>
      </c>
      <c r="I86" s="374">
        <f t="shared" si="2"/>
        <v>0.47500000000000003</v>
      </c>
      <c r="J86" s="373"/>
    </row>
    <row r="87" spans="2:10" x14ac:dyDescent="0.3">
      <c r="B87" s="446"/>
      <c r="C87" s="445" t="s">
        <v>1287</v>
      </c>
      <c r="D87" s="374"/>
      <c r="E87" s="374">
        <v>1.53</v>
      </c>
      <c r="F87" s="374">
        <v>0.25</v>
      </c>
      <c r="G87" s="374">
        <v>0.4</v>
      </c>
      <c r="H87" s="374">
        <v>1</v>
      </c>
      <c r="I87" s="374">
        <f t="shared" si="2"/>
        <v>0.15300000000000002</v>
      </c>
      <c r="J87" s="373"/>
    </row>
    <row r="88" spans="2:10" x14ac:dyDescent="0.3">
      <c r="B88" s="446"/>
      <c r="C88" s="445" t="s">
        <v>1288</v>
      </c>
      <c r="D88" s="374"/>
      <c r="E88" s="374">
        <v>4.5</v>
      </c>
      <c r="F88" s="374">
        <v>0.3</v>
      </c>
      <c r="G88" s="374">
        <v>0.2</v>
      </c>
      <c r="H88" s="374">
        <v>2</v>
      </c>
      <c r="I88" s="374">
        <f t="shared" si="2"/>
        <v>0.53999999999999992</v>
      </c>
      <c r="J88" s="373"/>
    </row>
    <row r="89" spans="2:10" x14ac:dyDescent="0.3">
      <c r="B89" s="446"/>
      <c r="C89" s="445" t="s">
        <v>1289</v>
      </c>
      <c r="D89" s="373"/>
      <c r="E89" s="374">
        <v>1</v>
      </c>
      <c r="F89" s="374">
        <v>0.15</v>
      </c>
      <c r="G89" s="374">
        <v>0.2</v>
      </c>
      <c r="H89" s="374">
        <v>2</v>
      </c>
      <c r="I89" s="374">
        <f t="shared" si="2"/>
        <v>0.06</v>
      </c>
      <c r="J89" s="373"/>
    </row>
    <row r="90" spans="2:10" x14ac:dyDescent="0.3">
      <c r="B90" s="432" t="s">
        <v>370</v>
      </c>
      <c r="C90" s="300" t="s">
        <v>794</v>
      </c>
      <c r="D90" s="430" t="s">
        <v>92</v>
      </c>
      <c r="E90" s="431"/>
      <c r="F90" s="431"/>
      <c r="G90" s="431"/>
      <c r="H90" s="431"/>
      <c r="I90" s="431"/>
      <c r="J90" s="435">
        <v>50.1</v>
      </c>
    </row>
    <row r="91" spans="2:10" x14ac:dyDescent="0.3">
      <c r="B91" s="374"/>
      <c r="C91" s="445" t="s">
        <v>1268</v>
      </c>
      <c r="D91" s="374"/>
      <c r="E91" s="374">
        <v>2.2999999999999998</v>
      </c>
      <c r="F91" s="374"/>
      <c r="G91" s="374">
        <v>0.4</v>
      </c>
      <c r="H91" s="374">
        <v>2</v>
      </c>
      <c r="I91" s="374">
        <f t="shared" ref="I91:I109" si="3">PRODUCT(E91:H91)</f>
        <v>1.8399999999999999</v>
      </c>
      <c r="J91" s="435"/>
    </row>
    <row r="92" spans="2:10" x14ac:dyDescent="0.3">
      <c r="B92" s="374"/>
      <c r="C92" s="445" t="s">
        <v>1269</v>
      </c>
      <c r="D92" s="374"/>
      <c r="E92" s="374">
        <v>1</v>
      </c>
      <c r="F92" s="374"/>
      <c r="G92" s="374">
        <v>0.7</v>
      </c>
      <c r="H92" s="374">
        <v>1</v>
      </c>
      <c r="I92" s="374">
        <f t="shared" si="3"/>
        <v>0.7</v>
      </c>
      <c r="J92" s="435"/>
    </row>
    <row r="93" spans="2:10" x14ac:dyDescent="0.3">
      <c r="B93" s="374"/>
      <c r="C93" s="445" t="s">
        <v>1270</v>
      </c>
      <c r="D93" s="374"/>
      <c r="E93" s="374">
        <v>1</v>
      </c>
      <c r="F93" s="374"/>
      <c r="G93" s="374">
        <v>0.7</v>
      </c>
      <c r="H93" s="374">
        <v>1</v>
      </c>
      <c r="I93" s="374">
        <f t="shared" si="3"/>
        <v>0.7</v>
      </c>
      <c r="J93" s="435"/>
    </row>
    <row r="94" spans="2:10" x14ac:dyDescent="0.3">
      <c r="B94" s="374"/>
      <c r="C94" s="445" t="s">
        <v>1271</v>
      </c>
      <c r="D94" s="374"/>
      <c r="E94" s="374">
        <v>1</v>
      </c>
      <c r="F94" s="374"/>
      <c r="G94" s="374">
        <v>0.7</v>
      </c>
      <c r="H94" s="374">
        <v>1</v>
      </c>
      <c r="I94" s="374">
        <f t="shared" si="3"/>
        <v>0.7</v>
      </c>
      <c r="J94" s="435"/>
    </row>
    <row r="95" spans="2:10" x14ac:dyDescent="0.3">
      <c r="B95" s="374"/>
      <c r="C95" s="445" t="s">
        <v>1272</v>
      </c>
      <c r="D95" s="374"/>
      <c r="E95" s="374">
        <v>1</v>
      </c>
      <c r="F95" s="374"/>
      <c r="G95" s="374">
        <v>0.7</v>
      </c>
      <c r="H95" s="374">
        <v>1</v>
      </c>
      <c r="I95" s="374">
        <f t="shared" si="3"/>
        <v>0.7</v>
      </c>
      <c r="J95" s="435"/>
    </row>
    <row r="96" spans="2:10" x14ac:dyDescent="0.3">
      <c r="B96" s="374"/>
      <c r="C96" s="445" t="s">
        <v>1273</v>
      </c>
      <c r="D96" s="374"/>
      <c r="E96" s="374">
        <v>1</v>
      </c>
      <c r="F96" s="374"/>
      <c r="G96" s="374">
        <v>0.55000000000000004</v>
      </c>
      <c r="H96" s="374">
        <v>1</v>
      </c>
      <c r="I96" s="374">
        <f t="shared" si="3"/>
        <v>0.55000000000000004</v>
      </c>
      <c r="J96" s="435"/>
    </row>
    <row r="97" spans="2:10" x14ac:dyDescent="0.3">
      <c r="B97" s="374"/>
      <c r="C97" s="445" t="s">
        <v>1274</v>
      </c>
      <c r="D97" s="374"/>
      <c r="E97" s="374">
        <v>1</v>
      </c>
      <c r="F97" s="374"/>
      <c r="G97" s="374">
        <v>0.55000000000000004</v>
      </c>
      <c r="H97" s="374">
        <v>1</v>
      </c>
      <c r="I97" s="374">
        <f t="shared" si="3"/>
        <v>0.55000000000000004</v>
      </c>
      <c r="J97" s="435"/>
    </row>
    <row r="98" spans="2:10" x14ac:dyDescent="0.3">
      <c r="B98" s="374"/>
      <c r="C98" s="445" t="s">
        <v>1275</v>
      </c>
      <c r="D98" s="374"/>
      <c r="E98" s="374">
        <v>1</v>
      </c>
      <c r="F98" s="374"/>
      <c r="G98" s="374">
        <v>0.7</v>
      </c>
      <c r="H98" s="374">
        <v>1</v>
      </c>
      <c r="I98" s="374">
        <f t="shared" si="3"/>
        <v>0.7</v>
      </c>
      <c r="J98" s="435"/>
    </row>
    <row r="99" spans="2:10" x14ac:dyDescent="0.3">
      <c r="B99" s="374"/>
      <c r="C99" s="445" t="s">
        <v>1276</v>
      </c>
      <c r="D99" s="374"/>
      <c r="E99" s="374">
        <v>1</v>
      </c>
      <c r="F99" s="374"/>
      <c r="G99" s="374">
        <v>0.7</v>
      </c>
      <c r="H99" s="374">
        <v>1</v>
      </c>
      <c r="I99" s="374">
        <f t="shared" si="3"/>
        <v>0.7</v>
      </c>
      <c r="J99" s="435"/>
    </row>
    <row r="100" spans="2:10" x14ac:dyDescent="0.3">
      <c r="B100" s="374"/>
      <c r="C100" s="445" t="s">
        <v>1277</v>
      </c>
      <c r="D100" s="374"/>
      <c r="E100" s="374">
        <v>1</v>
      </c>
      <c r="F100" s="374"/>
      <c r="G100" s="374">
        <v>0.7</v>
      </c>
      <c r="H100" s="374">
        <v>1</v>
      </c>
      <c r="I100" s="374">
        <f t="shared" si="3"/>
        <v>0.7</v>
      </c>
      <c r="J100" s="435"/>
    </row>
    <row r="101" spans="2:10" x14ac:dyDescent="0.3">
      <c r="B101" s="374"/>
      <c r="C101" s="445" t="s">
        <v>1278</v>
      </c>
      <c r="D101" s="374"/>
      <c r="E101" s="374">
        <v>1</v>
      </c>
      <c r="F101" s="374"/>
      <c r="G101" s="374">
        <v>0.55000000000000004</v>
      </c>
      <c r="H101" s="374">
        <v>1</v>
      </c>
      <c r="I101" s="374">
        <f t="shared" si="3"/>
        <v>0.55000000000000004</v>
      </c>
      <c r="J101" s="435"/>
    </row>
    <row r="102" spans="2:10" x14ac:dyDescent="0.3">
      <c r="B102" s="374"/>
      <c r="C102" s="445" t="s">
        <v>1279</v>
      </c>
      <c r="D102" s="374"/>
      <c r="E102" s="374">
        <v>1</v>
      </c>
      <c r="F102" s="374"/>
      <c r="G102" s="374">
        <v>0.8</v>
      </c>
      <c r="H102" s="374">
        <v>1</v>
      </c>
      <c r="I102" s="374">
        <f t="shared" si="3"/>
        <v>0.8</v>
      </c>
      <c r="J102" s="435"/>
    </row>
    <row r="103" spans="2:10" x14ac:dyDescent="0.3">
      <c r="B103" s="374"/>
      <c r="C103" s="445" t="s">
        <v>1280</v>
      </c>
      <c r="D103" s="374"/>
      <c r="E103" s="374">
        <v>1</v>
      </c>
      <c r="F103" s="374"/>
      <c r="G103" s="374">
        <v>0.8</v>
      </c>
      <c r="H103" s="374">
        <v>1</v>
      </c>
      <c r="I103" s="374">
        <f t="shared" si="3"/>
        <v>0.8</v>
      </c>
      <c r="J103" s="435"/>
    </row>
    <row r="104" spans="2:10" x14ac:dyDescent="0.3">
      <c r="B104" s="374"/>
      <c r="C104" s="445" t="s">
        <v>1281</v>
      </c>
      <c r="D104" s="374"/>
      <c r="E104" s="374">
        <v>1</v>
      </c>
      <c r="F104" s="374"/>
      <c r="G104" s="374">
        <v>0.55000000000000004</v>
      </c>
      <c r="H104" s="374">
        <v>1</v>
      </c>
      <c r="I104" s="374">
        <f t="shared" si="3"/>
        <v>0.55000000000000004</v>
      </c>
      <c r="J104" s="435"/>
    </row>
    <row r="105" spans="2:10" x14ac:dyDescent="0.3">
      <c r="B105" s="374"/>
      <c r="C105" s="445" t="s">
        <v>1282</v>
      </c>
      <c r="D105" s="374"/>
      <c r="E105" s="374">
        <v>1</v>
      </c>
      <c r="F105" s="374"/>
      <c r="G105" s="374">
        <v>0.55000000000000004</v>
      </c>
      <c r="H105" s="374">
        <v>1</v>
      </c>
      <c r="I105" s="374">
        <f t="shared" si="3"/>
        <v>0.55000000000000004</v>
      </c>
      <c r="J105" s="435"/>
    </row>
    <row r="106" spans="2:10" x14ac:dyDescent="0.3">
      <c r="B106" s="374"/>
      <c r="C106" s="445" t="s">
        <v>1283</v>
      </c>
      <c r="D106" s="374"/>
      <c r="E106" s="374">
        <v>1</v>
      </c>
      <c r="F106" s="374"/>
      <c r="G106" s="374">
        <v>0.55000000000000004</v>
      </c>
      <c r="H106" s="374">
        <v>1</v>
      </c>
      <c r="I106" s="374">
        <f t="shared" si="3"/>
        <v>0.55000000000000004</v>
      </c>
      <c r="J106" s="435"/>
    </row>
    <row r="107" spans="2:10" x14ac:dyDescent="0.3">
      <c r="B107" s="374"/>
      <c r="C107" s="445" t="s">
        <v>1284</v>
      </c>
      <c r="D107" s="374"/>
      <c r="E107" s="374">
        <v>1</v>
      </c>
      <c r="F107" s="374"/>
      <c r="G107" s="374">
        <v>0.55000000000000004</v>
      </c>
      <c r="H107" s="374">
        <v>1</v>
      </c>
      <c r="I107" s="374">
        <f t="shared" si="3"/>
        <v>0.55000000000000004</v>
      </c>
      <c r="J107" s="435"/>
    </row>
    <row r="108" spans="2:10" x14ac:dyDescent="0.3">
      <c r="B108" s="374"/>
      <c r="C108" s="445" t="s">
        <v>1285</v>
      </c>
      <c r="D108" s="374"/>
      <c r="E108" s="374">
        <v>1</v>
      </c>
      <c r="F108" s="374"/>
      <c r="G108" s="374">
        <v>0.55000000000000004</v>
      </c>
      <c r="H108" s="374">
        <v>1</v>
      </c>
      <c r="I108" s="374">
        <f t="shared" si="3"/>
        <v>0.55000000000000004</v>
      </c>
      <c r="J108" s="435"/>
    </row>
    <row r="109" spans="2:10" x14ac:dyDescent="0.3">
      <c r="B109" s="374"/>
      <c r="C109" s="445" t="s">
        <v>1286</v>
      </c>
      <c r="D109" s="374"/>
      <c r="E109" s="374">
        <v>1</v>
      </c>
      <c r="F109" s="374"/>
      <c r="G109" s="374">
        <v>0.65</v>
      </c>
      <c r="H109" s="374">
        <v>1</v>
      </c>
      <c r="I109" s="374">
        <f t="shared" si="3"/>
        <v>0.65</v>
      </c>
      <c r="J109" s="435"/>
    </row>
    <row r="110" spans="2:10" x14ac:dyDescent="0.3">
      <c r="B110" s="432" t="s">
        <v>371</v>
      </c>
      <c r="C110" s="300" t="s">
        <v>784</v>
      </c>
      <c r="D110" s="430" t="s">
        <v>274</v>
      </c>
      <c r="E110" s="431"/>
      <c r="F110" s="431"/>
      <c r="G110" s="431"/>
      <c r="H110" s="431"/>
      <c r="I110" s="431"/>
      <c r="J110" s="435">
        <v>1154.0899999999999</v>
      </c>
    </row>
    <row r="111" spans="2:10" x14ac:dyDescent="0.3">
      <c r="B111" s="432" t="s">
        <v>372</v>
      </c>
      <c r="C111" s="300" t="s">
        <v>785</v>
      </c>
      <c r="D111" s="430" t="s">
        <v>92</v>
      </c>
      <c r="E111" s="431"/>
      <c r="F111" s="431"/>
      <c r="G111" s="431"/>
      <c r="H111" s="431"/>
      <c r="I111" s="431"/>
      <c r="J111" s="435">
        <v>50.1</v>
      </c>
    </row>
    <row r="112" spans="2:10" x14ac:dyDescent="0.3">
      <c r="B112" s="428" t="s">
        <v>373</v>
      </c>
      <c r="C112" s="429" t="s">
        <v>795</v>
      </c>
      <c r="D112" s="430" t="s">
        <v>160</v>
      </c>
      <c r="E112" s="431"/>
      <c r="F112" s="431"/>
      <c r="G112" s="431"/>
      <c r="H112" s="431"/>
      <c r="I112" s="431"/>
      <c r="J112" s="435"/>
    </row>
    <row r="113" spans="2:10" x14ac:dyDescent="0.3">
      <c r="B113" s="432" t="s">
        <v>374</v>
      </c>
      <c r="C113" s="300" t="s">
        <v>796</v>
      </c>
      <c r="D113" s="430" t="s">
        <v>93</v>
      </c>
      <c r="E113" s="431"/>
      <c r="F113" s="431"/>
      <c r="G113" s="431"/>
      <c r="H113" s="431"/>
      <c r="I113" s="431"/>
      <c r="J113" s="435">
        <v>4.59</v>
      </c>
    </row>
    <row r="114" spans="2:10" x14ac:dyDescent="0.3">
      <c r="B114" s="447"/>
      <c r="C114" s="445" t="s">
        <v>1268</v>
      </c>
      <c r="D114" s="374"/>
      <c r="E114" s="374">
        <v>2.2999999999999998</v>
      </c>
      <c r="F114" s="374">
        <v>0.15</v>
      </c>
      <c r="G114" s="374">
        <v>0.4</v>
      </c>
      <c r="H114" s="374">
        <v>1</v>
      </c>
      <c r="I114" s="374">
        <f t="shared" ref="I114:I133" si="4">PRODUCT(E114:H114)</f>
        <v>0.13799999999999998</v>
      </c>
      <c r="J114" s="435"/>
    </row>
    <row r="115" spans="2:10" x14ac:dyDescent="0.3">
      <c r="B115" s="447"/>
      <c r="C115" s="445" t="s">
        <v>1269</v>
      </c>
      <c r="D115" s="374"/>
      <c r="E115" s="374">
        <v>4.6669999999999998</v>
      </c>
      <c r="F115" s="374">
        <v>0.15</v>
      </c>
      <c r="G115" s="374">
        <v>0.4</v>
      </c>
      <c r="H115" s="374">
        <v>1</v>
      </c>
      <c r="I115" s="374">
        <f t="shared" si="4"/>
        <v>0.28001999999999999</v>
      </c>
      <c r="J115" s="435"/>
    </row>
    <row r="116" spans="2:10" x14ac:dyDescent="0.3">
      <c r="B116" s="447"/>
      <c r="C116" s="445" t="s">
        <v>1270</v>
      </c>
      <c r="D116" s="374"/>
      <c r="E116" s="374">
        <v>3.2</v>
      </c>
      <c r="F116" s="374">
        <v>0.15</v>
      </c>
      <c r="G116" s="374">
        <v>0.4</v>
      </c>
      <c r="H116" s="374">
        <v>1</v>
      </c>
      <c r="I116" s="374">
        <f t="shared" si="4"/>
        <v>0.192</v>
      </c>
      <c r="J116" s="435"/>
    </row>
    <row r="117" spans="2:10" x14ac:dyDescent="0.3">
      <c r="B117" s="447"/>
      <c r="C117" s="445" t="s">
        <v>1271</v>
      </c>
      <c r="D117" s="374"/>
      <c r="E117" s="374">
        <v>5.03</v>
      </c>
      <c r="F117" s="374">
        <v>0.15</v>
      </c>
      <c r="G117" s="374">
        <v>0.4</v>
      </c>
      <c r="H117" s="374">
        <v>1</v>
      </c>
      <c r="I117" s="374">
        <f t="shared" si="4"/>
        <v>0.30180000000000007</v>
      </c>
      <c r="J117" s="435"/>
    </row>
    <row r="118" spans="2:10" x14ac:dyDescent="0.3">
      <c r="B118" s="447"/>
      <c r="C118" s="445" t="s">
        <v>1272</v>
      </c>
      <c r="D118" s="374"/>
      <c r="E118" s="374">
        <v>5.24</v>
      </c>
      <c r="F118" s="374">
        <v>0.15</v>
      </c>
      <c r="G118" s="374">
        <v>0.4</v>
      </c>
      <c r="H118" s="374">
        <v>1</v>
      </c>
      <c r="I118" s="374">
        <f t="shared" si="4"/>
        <v>0.31440000000000001</v>
      </c>
      <c r="J118" s="435"/>
    </row>
    <row r="119" spans="2:10" x14ac:dyDescent="0.3">
      <c r="B119" s="447"/>
      <c r="C119" s="445" t="s">
        <v>1273</v>
      </c>
      <c r="D119" s="374"/>
      <c r="E119" s="374">
        <v>4.0999999999999996</v>
      </c>
      <c r="F119" s="374">
        <v>0.15</v>
      </c>
      <c r="G119" s="374">
        <v>0.4</v>
      </c>
      <c r="H119" s="374">
        <v>1</v>
      </c>
      <c r="I119" s="374">
        <f t="shared" si="4"/>
        <v>0.24599999999999997</v>
      </c>
      <c r="J119" s="435"/>
    </row>
    <row r="120" spans="2:10" x14ac:dyDescent="0.3">
      <c r="B120" s="447"/>
      <c r="C120" s="445" t="s">
        <v>1274</v>
      </c>
      <c r="D120" s="374"/>
      <c r="E120" s="374">
        <v>3</v>
      </c>
      <c r="F120" s="374">
        <v>0.15</v>
      </c>
      <c r="G120" s="374">
        <v>0.4</v>
      </c>
      <c r="H120" s="374">
        <v>1</v>
      </c>
      <c r="I120" s="374">
        <f t="shared" si="4"/>
        <v>0.18</v>
      </c>
      <c r="J120" s="435"/>
    </row>
    <row r="121" spans="2:10" x14ac:dyDescent="0.3">
      <c r="B121" s="447"/>
      <c r="C121" s="445" t="s">
        <v>1275</v>
      </c>
      <c r="D121" s="374"/>
      <c r="E121" s="374">
        <v>4.0999999999999996</v>
      </c>
      <c r="F121" s="374">
        <v>0.15</v>
      </c>
      <c r="G121" s="374">
        <v>0.4</v>
      </c>
      <c r="H121" s="374">
        <v>1</v>
      </c>
      <c r="I121" s="374">
        <f t="shared" si="4"/>
        <v>0.24599999999999997</v>
      </c>
      <c r="J121" s="435"/>
    </row>
    <row r="122" spans="2:10" x14ac:dyDescent="0.3">
      <c r="B122" s="447"/>
      <c r="C122" s="445" t="s">
        <v>1276</v>
      </c>
      <c r="D122" s="374"/>
      <c r="E122" s="374">
        <v>2.85</v>
      </c>
      <c r="F122" s="374">
        <v>0.15</v>
      </c>
      <c r="G122" s="374">
        <v>0.4</v>
      </c>
      <c r="H122" s="374">
        <v>1</v>
      </c>
      <c r="I122" s="374">
        <f t="shared" si="4"/>
        <v>0.17100000000000001</v>
      </c>
      <c r="J122" s="435"/>
    </row>
    <row r="123" spans="2:10" x14ac:dyDescent="0.3">
      <c r="B123" s="447"/>
      <c r="C123" s="445" t="s">
        <v>1277</v>
      </c>
      <c r="D123" s="374"/>
      <c r="E123" s="374">
        <v>4.5</v>
      </c>
      <c r="F123" s="374">
        <v>0.15</v>
      </c>
      <c r="G123" s="374">
        <v>0.4</v>
      </c>
      <c r="H123" s="374">
        <v>1</v>
      </c>
      <c r="I123" s="374">
        <f t="shared" si="4"/>
        <v>0.26999999999999996</v>
      </c>
      <c r="J123" s="435"/>
    </row>
    <row r="124" spans="2:10" x14ac:dyDescent="0.3">
      <c r="B124" s="447"/>
      <c r="C124" s="445" t="s">
        <v>1278</v>
      </c>
      <c r="D124" s="374"/>
      <c r="E124" s="374">
        <v>4.6500000000000004</v>
      </c>
      <c r="F124" s="374">
        <v>0.15</v>
      </c>
      <c r="G124" s="374">
        <v>0.4</v>
      </c>
      <c r="H124" s="374">
        <v>1</v>
      </c>
      <c r="I124" s="374">
        <f t="shared" si="4"/>
        <v>0.27900000000000003</v>
      </c>
      <c r="J124" s="435"/>
    </row>
    <row r="125" spans="2:10" x14ac:dyDescent="0.3">
      <c r="B125" s="447"/>
      <c r="C125" s="445" t="s">
        <v>1279</v>
      </c>
      <c r="D125" s="374"/>
      <c r="E125" s="374">
        <v>3.09</v>
      </c>
      <c r="F125" s="374">
        <v>0.15</v>
      </c>
      <c r="G125" s="374">
        <v>0.4</v>
      </c>
      <c r="H125" s="374">
        <v>1</v>
      </c>
      <c r="I125" s="374">
        <f t="shared" si="4"/>
        <v>0.18540000000000001</v>
      </c>
      <c r="J125" s="435"/>
    </row>
    <row r="126" spans="2:10" x14ac:dyDescent="0.3">
      <c r="B126" s="447"/>
      <c r="C126" s="445" t="s">
        <v>1280</v>
      </c>
      <c r="D126" s="374"/>
      <c r="E126" s="374">
        <v>5</v>
      </c>
      <c r="F126" s="374">
        <v>0.15</v>
      </c>
      <c r="G126" s="374">
        <v>0.4</v>
      </c>
      <c r="H126" s="374">
        <v>1</v>
      </c>
      <c r="I126" s="374">
        <f t="shared" si="4"/>
        <v>0.30000000000000004</v>
      </c>
      <c r="J126" s="435"/>
    </row>
    <row r="127" spans="2:10" x14ac:dyDescent="0.3">
      <c r="B127" s="447"/>
      <c r="C127" s="445" t="s">
        <v>1281</v>
      </c>
      <c r="D127" s="374"/>
      <c r="E127" s="374">
        <v>3.23</v>
      </c>
      <c r="F127" s="374">
        <v>0.15</v>
      </c>
      <c r="G127" s="374">
        <v>0.4</v>
      </c>
      <c r="H127" s="374">
        <v>1</v>
      </c>
      <c r="I127" s="374">
        <f t="shared" si="4"/>
        <v>0.1938</v>
      </c>
      <c r="J127" s="435"/>
    </row>
    <row r="128" spans="2:10" x14ac:dyDescent="0.3">
      <c r="B128" s="447"/>
      <c r="C128" s="445" t="s">
        <v>1282</v>
      </c>
      <c r="D128" s="374"/>
      <c r="E128" s="374">
        <v>3.09</v>
      </c>
      <c r="F128" s="374">
        <v>0.15</v>
      </c>
      <c r="G128" s="374">
        <v>0.4</v>
      </c>
      <c r="H128" s="374">
        <v>1</v>
      </c>
      <c r="I128" s="374">
        <f t="shared" si="4"/>
        <v>0.18540000000000001</v>
      </c>
      <c r="J128" s="435"/>
    </row>
    <row r="129" spans="2:10" x14ac:dyDescent="0.3">
      <c r="B129" s="447"/>
      <c r="C129" s="445" t="s">
        <v>1283</v>
      </c>
      <c r="D129" s="374"/>
      <c r="E129" s="374">
        <v>5.94</v>
      </c>
      <c r="F129" s="374">
        <v>0.15</v>
      </c>
      <c r="G129" s="374">
        <v>0.4</v>
      </c>
      <c r="H129" s="374">
        <v>1</v>
      </c>
      <c r="I129" s="374">
        <f t="shared" si="4"/>
        <v>0.35640000000000005</v>
      </c>
      <c r="J129" s="435"/>
    </row>
    <row r="130" spans="2:10" x14ac:dyDescent="0.3">
      <c r="B130" s="447"/>
      <c r="C130" s="445" t="s">
        <v>1284</v>
      </c>
      <c r="D130" s="374"/>
      <c r="E130" s="374">
        <v>2.34</v>
      </c>
      <c r="F130" s="374">
        <v>0.15</v>
      </c>
      <c r="G130" s="374">
        <v>0.4</v>
      </c>
      <c r="H130" s="374">
        <v>1</v>
      </c>
      <c r="I130" s="374">
        <f t="shared" si="4"/>
        <v>0.1404</v>
      </c>
      <c r="J130" s="435"/>
    </row>
    <row r="131" spans="2:10" x14ac:dyDescent="0.3">
      <c r="B131" s="447"/>
      <c r="C131" s="445" t="s">
        <v>1285</v>
      </c>
      <c r="D131" s="374"/>
      <c r="E131" s="374">
        <v>3.89</v>
      </c>
      <c r="F131" s="374">
        <v>0.15</v>
      </c>
      <c r="G131" s="374">
        <v>0.4</v>
      </c>
      <c r="H131" s="374">
        <v>1</v>
      </c>
      <c r="I131" s="374">
        <f t="shared" si="4"/>
        <v>0.23340000000000002</v>
      </c>
      <c r="J131" s="435"/>
    </row>
    <row r="132" spans="2:10" x14ac:dyDescent="0.3">
      <c r="B132" s="447"/>
      <c r="C132" s="445" t="s">
        <v>1286</v>
      </c>
      <c r="D132" s="374"/>
      <c r="E132" s="374">
        <v>4.75</v>
      </c>
      <c r="F132" s="374">
        <v>0.15</v>
      </c>
      <c r="G132" s="374">
        <v>0.4</v>
      </c>
      <c r="H132" s="374">
        <v>1</v>
      </c>
      <c r="I132" s="374">
        <f t="shared" si="4"/>
        <v>0.28500000000000003</v>
      </c>
      <c r="J132" s="435"/>
    </row>
    <row r="133" spans="2:10" x14ac:dyDescent="0.3">
      <c r="B133" s="447"/>
      <c r="C133" s="445" t="s">
        <v>1287</v>
      </c>
      <c r="D133" s="374"/>
      <c r="E133" s="374">
        <v>1.53</v>
      </c>
      <c r="F133" s="374">
        <v>0.15</v>
      </c>
      <c r="G133" s="374">
        <v>0.4</v>
      </c>
      <c r="H133" s="374">
        <v>1</v>
      </c>
      <c r="I133" s="374">
        <f t="shared" si="4"/>
        <v>9.1799999999999993E-2</v>
      </c>
      <c r="J133" s="435"/>
    </row>
    <row r="134" spans="2:10" x14ac:dyDescent="0.3">
      <c r="B134" s="432" t="s">
        <v>375</v>
      </c>
      <c r="C134" s="300" t="s">
        <v>797</v>
      </c>
      <c r="D134" s="430" t="s">
        <v>92</v>
      </c>
      <c r="E134" s="431"/>
      <c r="F134" s="431"/>
      <c r="G134" s="431"/>
      <c r="H134" s="431"/>
      <c r="I134" s="431"/>
      <c r="J134" s="435">
        <v>63.16</v>
      </c>
    </row>
    <row r="135" spans="2:10" x14ac:dyDescent="0.3">
      <c r="B135" s="447"/>
      <c r="C135" s="445" t="s">
        <v>1268</v>
      </c>
      <c r="D135" s="374"/>
      <c r="E135" s="374">
        <v>2.2999999999999998</v>
      </c>
      <c r="F135" s="374"/>
      <c r="G135" s="374">
        <v>0.8</v>
      </c>
      <c r="H135" s="374">
        <v>2</v>
      </c>
      <c r="I135" s="374">
        <f t="shared" ref="I135:I154" si="5">PRODUCT(E135:H135)</f>
        <v>3.6799999999999997</v>
      </c>
      <c r="J135" s="435"/>
    </row>
    <row r="136" spans="2:10" x14ac:dyDescent="0.3">
      <c r="B136" s="447"/>
      <c r="C136" s="445" t="s">
        <v>1269</v>
      </c>
      <c r="D136" s="374"/>
      <c r="E136" s="374">
        <v>4.6669999999999998</v>
      </c>
      <c r="F136" s="374"/>
      <c r="G136" s="374">
        <v>0.8</v>
      </c>
      <c r="H136" s="374">
        <v>1</v>
      </c>
      <c r="I136" s="374">
        <f t="shared" si="5"/>
        <v>3.7336</v>
      </c>
      <c r="J136" s="435"/>
    </row>
    <row r="137" spans="2:10" x14ac:dyDescent="0.3">
      <c r="B137" s="447"/>
      <c r="C137" s="445" t="s">
        <v>1270</v>
      </c>
      <c r="D137" s="374"/>
      <c r="E137" s="374">
        <v>3.2</v>
      </c>
      <c r="F137" s="374"/>
      <c r="G137" s="374">
        <v>0.8</v>
      </c>
      <c r="H137" s="374">
        <v>1</v>
      </c>
      <c r="I137" s="374">
        <f t="shared" si="5"/>
        <v>2.5600000000000005</v>
      </c>
      <c r="J137" s="435"/>
    </row>
    <row r="138" spans="2:10" x14ac:dyDescent="0.3">
      <c r="B138" s="447"/>
      <c r="C138" s="445" t="s">
        <v>1271</v>
      </c>
      <c r="D138" s="374"/>
      <c r="E138" s="374">
        <v>5.03</v>
      </c>
      <c r="F138" s="374"/>
      <c r="G138" s="374">
        <v>0.8</v>
      </c>
      <c r="H138" s="374">
        <v>1</v>
      </c>
      <c r="I138" s="374">
        <f t="shared" si="5"/>
        <v>4.024</v>
      </c>
      <c r="J138" s="435"/>
    </row>
    <row r="139" spans="2:10" x14ac:dyDescent="0.3">
      <c r="B139" s="447"/>
      <c r="C139" s="445" t="s">
        <v>1272</v>
      </c>
      <c r="D139" s="374"/>
      <c r="E139" s="374">
        <v>5.24</v>
      </c>
      <c r="F139" s="374"/>
      <c r="G139" s="374">
        <v>0.8</v>
      </c>
      <c r="H139" s="374">
        <v>1</v>
      </c>
      <c r="I139" s="374">
        <f t="shared" si="5"/>
        <v>4.1920000000000002</v>
      </c>
      <c r="J139" s="435"/>
    </row>
    <row r="140" spans="2:10" x14ac:dyDescent="0.3">
      <c r="B140" s="447"/>
      <c r="C140" s="445" t="s">
        <v>1273</v>
      </c>
      <c r="D140" s="374"/>
      <c r="E140" s="374">
        <v>4.0999999999999996</v>
      </c>
      <c r="F140" s="374"/>
      <c r="G140" s="374">
        <v>0.8</v>
      </c>
      <c r="H140" s="374">
        <v>1</v>
      </c>
      <c r="I140" s="374">
        <f t="shared" si="5"/>
        <v>3.28</v>
      </c>
      <c r="J140" s="435"/>
    </row>
    <row r="141" spans="2:10" x14ac:dyDescent="0.3">
      <c r="B141" s="447"/>
      <c r="C141" s="445" t="s">
        <v>1274</v>
      </c>
      <c r="D141" s="374"/>
      <c r="E141" s="374">
        <v>3</v>
      </c>
      <c r="F141" s="374"/>
      <c r="G141" s="374">
        <v>0.8</v>
      </c>
      <c r="H141" s="374">
        <v>1</v>
      </c>
      <c r="I141" s="374">
        <f t="shared" si="5"/>
        <v>2.4000000000000004</v>
      </c>
      <c r="J141" s="435"/>
    </row>
    <row r="142" spans="2:10" x14ac:dyDescent="0.3">
      <c r="B142" s="447"/>
      <c r="C142" s="445" t="s">
        <v>1275</v>
      </c>
      <c r="D142" s="374"/>
      <c r="E142" s="374">
        <v>4.0999999999999996</v>
      </c>
      <c r="F142" s="374"/>
      <c r="G142" s="374">
        <v>0.8</v>
      </c>
      <c r="H142" s="374">
        <v>1</v>
      </c>
      <c r="I142" s="374">
        <f t="shared" si="5"/>
        <v>3.28</v>
      </c>
      <c r="J142" s="435"/>
    </row>
    <row r="143" spans="2:10" x14ac:dyDescent="0.3">
      <c r="B143" s="447"/>
      <c r="C143" s="445" t="s">
        <v>1276</v>
      </c>
      <c r="D143" s="374"/>
      <c r="E143" s="374">
        <v>2.85</v>
      </c>
      <c r="F143" s="374"/>
      <c r="G143" s="374">
        <v>0.8</v>
      </c>
      <c r="H143" s="374">
        <v>1</v>
      </c>
      <c r="I143" s="374">
        <f t="shared" si="5"/>
        <v>2.2800000000000002</v>
      </c>
      <c r="J143" s="435"/>
    </row>
    <row r="144" spans="2:10" x14ac:dyDescent="0.3">
      <c r="B144" s="447"/>
      <c r="C144" s="445" t="s">
        <v>1277</v>
      </c>
      <c r="D144" s="374"/>
      <c r="E144" s="374">
        <v>4.5</v>
      </c>
      <c r="F144" s="374"/>
      <c r="G144" s="374">
        <v>0.8</v>
      </c>
      <c r="H144" s="374">
        <v>1</v>
      </c>
      <c r="I144" s="374">
        <f t="shared" si="5"/>
        <v>3.6</v>
      </c>
      <c r="J144" s="435"/>
    </row>
    <row r="145" spans="2:10" x14ac:dyDescent="0.3">
      <c r="B145" s="447"/>
      <c r="C145" s="445" t="s">
        <v>1278</v>
      </c>
      <c r="D145" s="374"/>
      <c r="E145" s="374">
        <v>4.6500000000000004</v>
      </c>
      <c r="F145" s="374"/>
      <c r="G145" s="374">
        <v>0.8</v>
      </c>
      <c r="H145" s="374">
        <v>1</v>
      </c>
      <c r="I145" s="374">
        <f t="shared" si="5"/>
        <v>3.7200000000000006</v>
      </c>
      <c r="J145" s="435"/>
    </row>
    <row r="146" spans="2:10" x14ac:dyDescent="0.3">
      <c r="B146" s="447"/>
      <c r="C146" s="445" t="s">
        <v>1279</v>
      </c>
      <c r="D146" s="374"/>
      <c r="E146" s="374">
        <v>3.09</v>
      </c>
      <c r="F146" s="374"/>
      <c r="G146" s="374">
        <v>0.8</v>
      </c>
      <c r="H146" s="374">
        <v>1</v>
      </c>
      <c r="I146" s="374">
        <f t="shared" si="5"/>
        <v>2.472</v>
      </c>
      <c r="J146" s="435"/>
    </row>
    <row r="147" spans="2:10" x14ac:dyDescent="0.3">
      <c r="B147" s="447"/>
      <c r="C147" s="445" t="s">
        <v>1280</v>
      </c>
      <c r="D147" s="374"/>
      <c r="E147" s="374">
        <v>5</v>
      </c>
      <c r="F147" s="374"/>
      <c r="G147" s="374">
        <v>0.8</v>
      </c>
      <c r="H147" s="374">
        <v>1</v>
      </c>
      <c r="I147" s="374">
        <f t="shared" si="5"/>
        <v>4</v>
      </c>
      <c r="J147" s="435"/>
    </row>
    <row r="148" spans="2:10" x14ac:dyDescent="0.3">
      <c r="B148" s="447"/>
      <c r="C148" s="445" t="s">
        <v>1281</v>
      </c>
      <c r="D148" s="374"/>
      <c r="E148" s="374">
        <v>3.23</v>
      </c>
      <c r="F148" s="374"/>
      <c r="G148" s="374">
        <v>0.8</v>
      </c>
      <c r="H148" s="374">
        <v>1</v>
      </c>
      <c r="I148" s="374">
        <f t="shared" si="5"/>
        <v>2.5840000000000001</v>
      </c>
      <c r="J148" s="435"/>
    </row>
    <row r="149" spans="2:10" x14ac:dyDescent="0.3">
      <c r="B149" s="447"/>
      <c r="C149" s="445" t="s">
        <v>1282</v>
      </c>
      <c r="D149" s="374"/>
      <c r="E149" s="374">
        <v>3.09</v>
      </c>
      <c r="F149" s="374"/>
      <c r="G149" s="374">
        <v>0.8</v>
      </c>
      <c r="H149" s="374">
        <v>1</v>
      </c>
      <c r="I149" s="374">
        <f t="shared" si="5"/>
        <v>2.472</v>
      </c>
      <c r="J149" s="435"/>
    </row>
    <row r="150" spans="2:10" x14ac:dyDescent="0.3">
      <c r="B150" s="447"/>
      <c r="C150" s="445" t="s">
        <v>1283</v>
      </c>
      <c r="D150" s="374"/>
      <c r="E150" s="374">
        <v>5.94</v>
      </c>
      <c r="F150" s="374"/>
      <c r="G150" s="374">
        <v>0.8</v>
      </c>
      <c r="H150" s="374">
        <v>1</v>
      </c>
      <c r="I150" s="374">
        <f t="shared" si="5"/>
        <v>4.7520000000000007</v>
      </c>
      <c r="J150" s="435"/>
    </row>
    <row r="151" spans="2:10" x14ac:dyDescent="0.3">
      <c r="B151" s="447"/>
      <c r="C151" s="445" t="s">
        <v>1284</v>
      </c>
      <c r="D151" s="374"/>
      <c r="E151" s="374">
        <v>2.34</v>
      </c>
      <c r="F151" s="374"/>
      <c r="G151" s="374">
        <v>0.8</v>
      </c>
      <c r="H151" s="374">
        <v>1</v>
      </c>
      <c r="I151" s="374">
        <f t="shared" si="5"/>
        <v>1.8719999999999999</v>
      </c>
      <c r="J151" s="435"/>
    </row>
    <row r="152" spans="2:10" x14ac:dyDescent="0.3">
      <c r="B152" s="448"/>
      <c r="C152" s="445" t="s">
        <v>1285</v>
      </c>
      <c r="D152" s="374"/>
      <c r="E152" s="374">
        <v>3.89</v>
      </c>
      <c r="F152" s="374"/>
      <c r="G152" s="374">
        <v>0.8</v>
      </c>
      <c r="H152" s="374">
        <v>1</v>
      </c>
      <c r="I152" s="374">
        <f t="shared" si="5"/>
        <v>3.1120000000000001</v>
      </c>
      <c r="J152" s="435"/>
    </row>
    <row r="153" spans="2:10" x14ac:dyDescent="0.3">
      <c r="B153" s="448"/>
      <c r="C153" s="445" t="s">
        <v>1286</v>
      </c>
      <c r="D153" s="374"/>
      <c r="E153" s="374">
        <v>4.75</v>
      </c>
      <c r="F153" s="374"/>
      <c r="G153" s="374">
        <v>0.8</v>
      </c>
      <c r="H153" s="374">
        <v>1</v>
      </c>
      <c r="I153" s="374">
        <f t="shared" si="5"/>
        <v>3.8000000000000003</v>
      </c>
      <c r="J153" s="435"/>
    </row>
    <row r="154" spans="2:10" x14ac:dyDescent="0.3">
      <c r="B154" s="448"/>
      <c r="C154" s="445" t="s">
        <v>1287</v>
      </c>
      <c r="D154" s="374"/>
      <c r="E154" s="374">
        <v>1.53</v>
      </c>
      <c r="F154" s="374"/>
      <c r="G154" s="374">
        <v>0.8</v>
      </c>
      <c r="H154" s="374">
        <v>1</v>
      </c>
      <c r="I154" s="374">
        <f t="shared" si="5"/>
        <v>1.2240000000000002</v>
      </c>
      <c r="J154" s="435"/>
    </row>
    <row r="155" spans="2:10" x14ac:dyDescent="0.3">
      <c r="B155" s="432" t="s">
        <v>376</v>
      </c>
      <c r="C155" s="300" t="s">
        <v>784</v>
      </c>
      <c r="D155" s="430" t="s">
        <v>274</v>
      </c>
      <c r="E155" s="431"/>
      <c r="F155" s="431"/>
      <c r="G155" s="431"/>
      <c r="H155" s="431"/>
      <c r="I155" s="431"/>
      <c r="J155" s="435">
        <v>281.04000000000002</v>
      </c>
    </row>
    <row r="156" spans="2:10" x14ac:dyDescent="0.3">
      <c r="B156" s="432" t="s">
        <v>377</v>
      </c>
      <c r="C156" s="300" t="s">
        <v>785</v>
      </c>
      <c r="D156" s="430" t="s">
        <v>92</v>
      </c>
      <c r="E156" s="431"/>
      <c r="F156" s="431"/>
      <c r="G156" s="431"/>
      <c r="H156" s="431"/>
      <c r="I156" s="431"/>
      <c r="J156" s="435">
        <v>63.16</v>
      </c>
    </row>
    <row r="157" spans="2:10" x14ac:dyDescent="0.3">
      <c r="B157" s="428" t="s">
        <v>378</v>
      </c>
      <c r="C157" s="429" t="s">
        <v>798</v>
      </c>
      <c r="D157" s="439" t="s">
        <v>160</v>
      </c>
      <c r="E157" s="431"/>
      <c r="F157" s="431"/>
      <c r="G157" s="431"/>
      <c r="H157" s="431"/>
      <c r="I157" s="431"/>
      <c r="J157" s="435"/>
    </row>
    <row r="158" spans="2:10" x14ac:dyDescent="0.3">
      <c r="B158" s="432" t="s">
        <v>379</v>
      </c>
      <c r="C158" s="452" t="s">
        <v>799</v>
      </c>
      <c r="D158" s="430" t="s">
        <v>93</v>
      </c>
      <c r="E158" s="431"/>
      <c r="F158" s="431"/>
      <c r="G158" s="431"/>
      <c r="H158" s="431"/>
      <c r="I158" s="431"/>
      <c r="J158" s="435">
        <f>SUM(I159:I164)</f>
        <v>4.7528500000000005</v>
      </c>
    </row>
    <row r="159" spans="2:10" x14ac:dyDescent="0.3">
      <c r="B159" s="432"/>
      <c r="C159" s="300" t="s">
        <v>1290</v>
      </c>
      <c r="D159" s="430"/>
      <c r="E159" s="449">
        <v>3.4</v>
      </c>
      <c r="F159" s="449">
        <v>4.0999999999999996</v>
      </c>
      <c r="G159" s="449">
        <v>0.05</v>
      </c>
      <c r="H159" s="449">
        <v>1</v>
      </c>
      <c r="I159" s="449">
        <f>PRODUCT(E159:H159)</f>
        <v>0.69699999999999995</v>
      </c>
      <c r="J159" s="435"/>
    </row>
    <row r="160" spans="2:10" x14ac:dyDescent="0.3">
      <c r="B160" s="432"/>
      <c r="C160" s="300" t="s">
        <v>1291</v>
      </c>
      <c r="D160" s="430"/>
      <c r="E160" s="449">
        <v>3.4</v>
      </c>
      <c r="F160" s="449">
        <v>3</v>
      </c>
      <c r="G160" s="449">
        <v>0.05</v>
      </c>
      <c r="H160" s="449">
        <v>1</v>
      </c>
      <c r="I160" s="449">
        <f t="shared" ref="I160:I164" si="6">PRODUCT(E160:H160)</f>
        <v>0.51</v>
      </c>
      <c r="J160" s="435"/>
    </row>
    <row r="161" spans="2:10" x14ac:dyDescent="0.3">
      <c r="B161" s="432"/>
      <c r="C161" s="300" t="s">
        <v>1292</v>
      </c>
      <c r="D161" s="430"/>
      <c r="E161" s="449">
        <v>7.17</v>
      </c>
      <c r="F161" s="449">
        <v>4.0999999999999996</v>
      </c>
      <c r="G161" s="449">
        <v>0.05</v>
      </c>
      <c r="H161" s="449">
        <v>1</v>
      </c>
      <c r="I161" s="449">
        <f t="shared" si="6"/>
        <v>1.4698500000000001</v>
      </c>
      <c r="J161" s="435"/>
    </row>
    <row r="162" spans="2:10" x14ac:dyDescent="0.3">
      <c r="B162" s="432"/>
      <c r="C162" s="300" t="s">
        <v>1293</v>
      </c>
      <c r="D162" s="430"/>
      <c r="E162" s="449">
        <v>4.93</v>
      </c>
      <c r="F162" s="449">
        <v>3</v>
      </c>
      <c r="G162" s="449">
        <v>0.05</v>
      </c>
      <c r="H162" s="449">
        <v>1</v>
      </c>
      <c r="I162" s="449">
        <f t="shared" si="6"/>
        <v>0.73950000000000005</v>
      </c>
      <c r="J162" s="435"/>
    </row>
    <row r="163" spans="2:10" x14ac:dyDescent="0.3">
      <c r="B163" s="432"/>
      <c r="C163" s="300" t="s">
        <v>1294</v>
      </c>
      <c r="D163" s="430"/>
      <c r="E163" s="449">
        <v>4.5</v>
      </c>
      <c r="F163" s="449">
        <v>4.04</v>
      </c>
      <c r="G163" s="449">
        <v>0.05</v>
      </c>
      <c r="H163" s="449">
        <v>1</v>
      </c>
      <c r="I163" s="449">
        <f t="shared" si="6"/>
        <v>0.90900000000000003</v>
      </c>
      <c r="J163" s="435"/>
    </row>
    <row r="164" spans="2:10" x14ac:dyDescent="0.3">
      <c r="B164" s="432"/>
      <c r="C164" s="300" t="s">
        <v>1295</v>
      </c>
      <c r="D164" s="430"/>
      <c r="E164" s="449">
        <v>4.5</v>
      </c>
      <c r="F164" s="449">
        <v>1.9</v>
      </c>
      <c r="G164" s="449">
        <v>0.05</v>
      </c>
      <c r="H164" s="449">
        <v>1</v>
      </c>
      <c r="I164" s="449">
        <f t="shared" si="6"/>
        <v>0.42749999999999999</v>
      </c>
      <c r="J164" s="435"/>
    </row>
    <row r="165" spans="2:10" x14ac:dyDescent="0.3">
      <c r="B165" s="432"/>
      <c r="C165" s="300"/>
      <c r="D165" s="430"/>
      <c r="E165" s="449"/>
      <c r="F165" s="449"/>
      <c r="G165" s="449"/>
      <c r="H165" s="449"/>
      <c r="I165" s="449"/>
      <c r="J165" s="435"/>
    </row>
    <row r="166" spans="2:10" x14ac:dyDescent="0.3">
      <c r="B166" s="432" t="s">
        <v>380</v>
      </c>
      <c r="C166" s="300" t="s">
        <v>800</v>
      </c>
      <c r="D166" s="430" t="s">
        <v>92</v>
      </c>
      <c r="E166" s="431"/>
      <c r="F166" s="431"/>
      <c r="G166" s="431"/>
      <c r="H166" s="431"/>
      <c r="I166" s="431"/>
      <c r="J166" s="435">
        <f>SUM(I167:I172)</f>
        <v>95.057000000000002</v>
      </c>
    </row>
    <row r="167" spans="2:10" x14ac:dyDescent="0.3">
      <c r="B167" s="432"/>
      <c r="C167" s="300" t="s">
        <v>1290</v>
      </c>
      <c r="D167" s="430"/>
      <c r="E167" s="431">
        <v>3.4</v>
      </c>
      <c r="F167" s="431">
        <v>4.0999999999999996</v>
      </c>
      <c r="G167" s="431"/>
      <c r="H167" s="431">
        <v>1</v>
      </c>
      <c r="I167" s="449">
        <f>PRODUCT(E167:H167)</f>
        <v>13.939999999999998</v>
      </c>
      <c r="J167" s="435"/>
    </row>
    <row r="168" spans="2:10" x14ac:dyDescent="0.3">
      <c r="B168" s="432"/>
      <c r="C168" s="300" t="s">
        <v>1291</v>
      </c>
      <c r="D168" s="430"/>
      <c r="E168" s="431">
        <v>3.4</v>
      </c>
      <c r="F168" s="431">
        <v>3</v>
      </c>
      <c r="G168" s="431"/>
      <c r="H168" s="431">
        <v>1</v>
      </c>
      <c r="I168" s="449">
        <f t="shared" ref="I168:I172" si="7">PRODUCT(E168:H168)</f>
        <v>10.199999999999999</v>
      </c>
      <c r="J168" s="435"/>
    </row>
    <row r="169" spans="2:10" x14ac:dyDescent="0.3">
      <c r="B169" s="432"/>
      <c r="C169" s="300" t="s">
        <v>1292</v>
      </c>
      <c r="D169" s="430"/>
      <c r="E169" s="431">
        <v>7.17</v>
      </c>
      <c r="F169" s="431">
        <v>4.0999999999999996</v>
      </c>
      <c r="G169" s="431"/>
      <c r="H169" s="431">
        <v>1</v>
      </c>
      <c r="I169" s="449">
        <f t="shared" si="7"/>
        <v>29.396999999999998</v>
      </c>
      <c r="J169" s="435"/>
    </row>
    <row r="170" spans="2:10" x14ac:dyDescent="0.3">
      <c r="B170" s="432"/>
      <c r="C170" s="300" t="s">
        <v>1293</v>
      </c>
      <c r="D170" s="430"/>
      <c r="E170" s="431">
        <v>4.93</v>
      </c>
      <c r="F170" s="431">
        <v>3</v>
      </c>
      <c r="G170" s="431"/>
      <c r="H170" s="431">
        <v>1</v>
      </c>
      <c r="I170" s="449">
        <f t="shared" si="7"/>
        <v>14.79</v>
      </c>
      <c r="J170" s="435"/>
    </row>
    <row r="171" spans="2:10" x14ac:dyDescent="0.3">
      <c r="B171" s="432"/>
      <c r="C171" s="300" t="s">
        <v>1294</v>
      </c>
      <c r="D171" s="430"/>
      <c r="E171" s="431">
        <v>4.5</v>
      </c>
      <c r="F171" s="431">
        <v>4.04</v>
      </c>
      <c r="G171" s="431"/>
      <c r="H171" s="431">
        <v>1</v>
      </c>
      <c r="I171" s="449">
        <f t="shared" si="7"/>
        <v>18.18</v>
      </c>
      <c r="J171" s="435"/>
    </row>
    <row r="172" spans="2:10" x14ac:dyDescent="0.3">
      <c r="B172" s="432"/>
      <c r="C172" s="300" t="s">
        <v>1295</v>
      </c>
      <c r="D172" s="430"/>
      <c r="E172" s="431">
        <v>4.5</v>
      </c>
      <c r="F172" s="431">
        <v>1.9</v>
      </c>
      <c r="G172" s="431"/>
      <c r="H172" s="431">
        <v>1</v>
      </c>
      <c r="I172" s="449">
        <f t="shared" si="7"/>
        <v>8.5499999999999989</v>
      </c>
      <c r="J172" s="435"/>
    </row>
    <row r="173" spans="2:10" x14ac:dyDescent="0.3">
      <c r="B173" s="432"/>
      <c r="C173" s="300"/>
      <c r="D173" s="430"/>
      <c r="E173" s="431"/>
      <c r="F173" s="431"/>
      <c r="G173" s="431"/>
      <c r="H173" s="431"/>
      <c r="I173" s="431"/>
      <c r="J173" s="435"/>
    </row>
    <row r="174" spans="2:10" x14ac:dyDescent="0.3">
      <c r="B174" s="432" t="s">
        <v>381</v>
      </c>
      <c r="C174" s="300" t="s">
        <v>784</v>
      </c>
      <c r="D174" s="430" t="s">
        <v>274</v>
      </c>
      <c r="E174" s="431"/>
      <c r="F174" s="431"/>
      <c r="G174" s="431"/>
      <c r="H174" s="431"/>
      <c r="I174" s="431"/>
      <c r="J174" s="435">
        <v>341.79</v>
      </c>
    </row>
    <row r="175" spans="2:10" x14ac:dyDescent="0.3">
      <c r="B175" s="432" t="s">
        <v>382</v>
      </c>
      <c r="C175" s="300" t="s">
        <v>801</v>
      </c>
      <c r="D175" s="430" t="s">
        <v>89</v>
      </c>
      <c r="E175" s="431"/>
      <c r="F175" s="431"/>
      <c r="G175" s="431"/>
      <c r="H175" s="431"/>
      <c r="I175" s="431"/>
      <c r="J175" s="435">
        <v>792</v>
      </c>
    </row>
    <row r="176" spans="2:10" x14ac:dyDescent="0.3">
      <c r="B176" s="432" t="s">
        <v>383</v>
      </c>
      <c r="C176" s="300" t="s">
        <v>785</v>
      </c>
      <c r="D176" s="430" t="s">
        <v>92</v>
      </c>
      <c r="E176" s="431"/>
      <c r="F176" s="431"/>
      <c r="G176" s="431"/>
      <c r="H176" s="431"/>
      <c r="I176" s="431"/>
      <c r="J176" s="435">
        <v>95.06</v>
      </c>
    </row>
    <row r="177" spans="2:10" x14ac:dyDescent="0.3">
      <c r="B177" s="428" t="s">
        <v>384</v>
      </c>
      <c r="C177" s="429" t="s">
        <v>802</v>
      </c>
      <c r="D177" s="439" t="s">
        <v>160</v>
      </c>
      <c r="E177" s="431"/>
      <c r="F177" s="431"/>
      <c r="G177" s="431"/>
      <c r="H177" s="431"/>
      <c r="I177" s="431"/>
      <c r="J177" s="440"/>
    </row>
    <row r="178" spans="2:10" x14ac:dyDescent="0.3">
      <c r="B178" s="432" t="s">
        <v>385</v>
      </c>
      <c r="C178" s="300" t="s">
        <v>803</v>
      </c>
      <c r="D178" s="430" t="s">
        <v>93</v>
      </c>
      <c r="E178" s="431"/>
      <c r="F178" s="431"/>
      <c r="G178" s="431"/>
      <c r="H178" s="431"/>
      <c r="I178" s="431"/>
      <c r="J178" s="435">
        <f>+I179</f>
        <v>3.2544</v>
      </c>
    </row>
    <row r="179" spans="2:10" x14ac:dyDescent="0.3">
      <c r="B179" s="432"/>
      <c r="C179" s="300" t="s">
        <v>1296</v>
      </c>
      <c r="D179" s="430"/>
      <c r="E179" s="449">
        <v>3.39</v>
      </c>
      <c r="F179" s="449">
        <v>4.8</v>
      </c>
      <c r="G179" s="449">
        <v>0.2</v>
      </c>
      <c r="H179" s="449">
        <v>1</v>
      </c>
      <c r="I179" s="449">
        <f>PRODUCT(E179:H179)</f>
        <v>3.2544</v>
      </c>
      <c r="J179" s="435"/>
    </row>
    <row r="180" spans="2:10" x14ac:dyDescent="0.3">
      <c r="B180" s="432"/>
      <c r="C180" s="300"/>
      <c r="D180" s="430"/>
      <c r="E180" s="431"/>
      <c r="F180" s="431"/>
      <c r="G180" s="431"/>
      <c r="H180" s="431"/>
      <c r="I180" s="431"/>
      <c r="J180" s="435"/>
    </row>
    <row r="181" spans="2:10" x14ac:dyDescent="0.3">
      <c r="B181" s="432" t="s">
        <v>386</v>
      </c>
      <c r="C181" s="300" t="s">
        <v>804</v>
      </c>
      <c r="D181" s="430" t="s">
        <v>92</v>
      </c>
      <c r="E181" s="431"/>
      <c r="F181" s="431"/>
      <c r="G181" s="431"/>
      <c r="H181" s="431"/>
      <c r="I181" s="431"/>
      <c r="J181" s="435">
        <f>+I182</f>
        <v>16.271999999999998</v>
      </c>
    </row>
    <row r="182" spans="2:10" x14ac:dyDescent="0.3">
      <c r="B182" s="432"/>
      <c r="C182" s="300" t="s">
        <v>1296</v>
      </c>
      <c r="D182" s="430"/>
      <c r="E182" s="449">
        <v>3.39</v>
      </c>
      <c r="F182" s="449">
        <v>4.8</v>
      </c>
      <c r="G182" s="449"/>
      <c r="H182" s="449">
        <v>1</v>
      </c>
      <c r="I182" s="449">
        <f>PRODUCT(E182:H182)</f>
        <v>16.271999999999998</v>
      </c>
      <c r="J182" s="435"/>
    </row>
    <row r="183" spans="2:10" x14ac:dyDescent="0.3">
      <c r="B183" s="432"/>
      <c r="C183" s="300"/>
      <c r="D183" s="430"/>
      <c r="E183" s="431"/>
      <c r="F183" s="431"/>
      <c r="G183" s="431"/>
      <c r="H183" s="431"/>
      <c r="I183" s="431"/>
      <c r="J183" s="435"/>
    </row>
    <row r="184" spans="2:10" x14ac:dyDescent="0.3">
      <c r="B184" s="432" t="s">
        <v>387</v>
      </c>
      <c r="C184" s="300" t="s">
        <v>784</v>
      </c>
      <c r="D184" s="430" t="s">
        <v>274</v>
      </c>
      <c r="E184" s="431"/>
      <c r="F184" s="431"/>
      <c r="G184" s="431"/>
      <c r="H184" s="431"/>
      <c r="I184" s="431"/>
      <c r="J184" s="435">
        <v>315.41000000000003</v>
      </c>
    </row>
    <row r="185" spans="2:10" x14ac:dyDescent="0.3">
      <c r="B185" s="432" t="s">
        <v>388</v>
      </c>
      <c r="C185" s="300" t="s">
        <v>785</v>
      </c>
      <c r="D185" s="430" t="s">
        <v>92</v>
      </c>
      <c r="E185" s="431"/>
      <c r="F185" s="431"/>
      <c r="G185" s="431"/>
      <c r="H185" s="431"/>
      <c r="I185" s="431"/>
      <c r="J185" s="435">
        <v>16.27</v>
      </c>
    </row>
    <row r="186" spans="2:10" x14ac:dyDescent="0.3">
      <c r="B186" s="428" t="s">
        <v>389</v>
      </c>
      <c r="C186" s="429" t="s">
        <v>805</v>
      </c>
      <c r="D186" s="439" t="s">
        <v>160</v>
      </c>
      <c r="E186" s="431"/>
      <c r="F186" s="431"/>
      <c r="G186" s="431"/>
      <c r="H186" s="431"/>
      <c r="I186" s="431"/>
      <c r="J186" s="440"/>
    </row>
    <row r="187" spans="2:10" x14ac:dyDescent="0.3">
      <c r="B187" s="432" t="s">
        <v>390</v>
      </c>
      <c r="C187" s="300" t="s">
        <v>806</v>
      </c>
      <c r="D187" s="430" t="s">
        <v>93</v>
      </c>
      <c r="E187" s="431"/>
      <c r="F187" s="431"/>
      <c r="G187" s="431"/>
      <c r="H187" s="431"/>
      <c r="I187" s="431"/>
      <c r="J187" s="435">
        <f>SUM(I188:I192)</f>
        <v>17.064000000000004</v>
      </c>
    </row>
    <row r="188" spans="2:10" x14ac:dyDescent="0.3">
      <c r="B188" s="432"/>
      <c r="C188" s="300" t="s">
        <v>1297</v>
      </c>
      <c r="D188" s="430"/>
      <c r="E188" s="449">
        <v>3.2</v>
      </c>
      <c r="F188" s="449">
        <v>2.7</v>
      </c>
      <c r="G188" s="449">
        <v>0.2</v>
      </c>
      <c r="H188" s="449">
        <v>1</v>
      </c>
      <c r="I188" s="449">
        <f>PRODUCT(E188:H188)</f>
        <v>1.7280000000000002</v>
      </c>
      <c r="J188" s="435"/>
    </row>
    <row r="189" spans="2:10" x14ac:dyDescent="0.3">
      <c r="B189" s="432"/>
      <c r="C189" s="300" t="s">
        <v>1298</v>
      </c>
      <c r="D189" s="430"/>
      <c r="E189" s="431"/>
      <c r="F189" s="431"/>
      <c r="G189" s="431"/>
      <c r="H189" s="431"/>
      <c r="I189" s="449"/>
      <c r="J189" s="435"/>
    </row>
    <row r="190" spans="2:10" x14ac:dyDescent="0.3">
      <c r="B190" s="432"/>
      <c r="C190" s="300" t="s">
        <v>1299</v>
      </c>
      <c r="D190" s="430"/>
      <c r="E190" s="449">
        <v>3.1</v>
      </c>
      <c r="F190" s="449">
        <v>0.2</v>
      </c>
      <c r="G190" s="449">
        <v>5.4</v>
      </c>
      <c r="H190" s="449">
        <v>2</v>
      </c>
      <c r="I190" s="449">
        <f t="shared" ref="I190:I192" si="8">PRODUCT(E190:H190)</f>
        <v>6.6960000000000015</v>
      </c>
      <c r="J190" s="435"/>
    </row>
    <row r="191" spans="2:10" x14ac:dyDescent="0.3">
      <c r="B191" s="432"/>
      <c r="C191" s="300" t="s">
        <v>1299</v>
      </c>
      <c r="D191" s="430"/>
      <c r="E191" s="449">
        <v>3.2</v>
      </c>
      <c r="F191" s="449">
        <v>0.2</v>
      </c>
      <c r="G191" s="449">
        <v>5.4</v>
      </c>
      <c r="H191" s="449">
        <v>2</v>
      </c>
      <c r="I191" s="449">
        <f t="shared" si="8"/>
        <v>6.9120000000000017</v>
      </c>
      <c r="J191" s="435"/>
    </row>
    <row r="192" spans="2:10" x14ac:dyDescent="0.3">
      <c r="B192" s="432"/>
      <c r="C192" s="300" t="s">
        <v>1299</v>
      </c>
      <c r="D192" s="430"/>
      <c r="E192" s="449">
        <v>3.2</v>
      </c>
      <c r="F192" s="449">
        <v>2.7</v>
      </c>
      <c r="G192" s="449">
        <v>0.2</v>
      </c>
      <c r="H192" s="449">
        <v>1</v>
      </c>
      <c r="I192" s="449">
        <f t="shared" si="8"/>
        <v>1.7280000000000002</v>
      </c>
      <c r="J192" s="435"/>
    </row>
    <row r="193" spans="2:10" x14ac:dyDescent="0.3">
      <c r="B193" s="432"/>
      <c r="C193" s="300"/>
      <c r="D193" s="430"/>
      <c r="E193" s="431"/>
      <c r="F193" s="431"/>
      <c r="G193" s="431"/>
      <c r="H193" s="431"/>
      <c r="I193" s="431"/>
      <c r="J193" s="435"/>
    </row>
    <row r="194" spans="2:10" x14ac:dyDescent="0.3">
      <c r="B194" s="432" t="s">
        <v>391</v>
      </c>
      <c r="C194" s="300" t="s">
        <v>807</v>
      </c>
      <c r="D194" s="430" t="s">
        <v>92</v>
      </c>
      <c r="E194" s="431"/>
      <c r="F194" s="431"/>
      <c r="G194" s="431"/>
      <c r="H194" s="431"/>
      <c r="I194" s="431"/>
      <c r="J194" s="435">
        <f>SUM(I196:I200)</f>
        <v>153.36000000000001</v>
      </c>
    </row>
    <row r="195" spans="2:10" x14ac:dyDescent="0.3">
      <c r="B195" s="432"/>
      <c r="C195" s="300" t="s">
        <v>1298</v>
      </c>
      <c r="D195" s="430"/>
      <c r="E195" s="431"/>
      <c r="F195" s="431"/>
      <c r="G195" s="431"/>
      <c r="H195" s="431"/>
      <c r="I195" s="431"/>
      <c r="J195" s="435"/>
    </row>
    <row r="196" spans="2:10" x14ac:dyDescent="0.3">
      <c r="B196" s="432"/>
      <c r="C196" s="300" t="s">
        <v>1299</v>
      </c>
      <c r="D196" s="430"/>
      <c r="E196" s="449">
        <v>3.1</v>
      </c>
      <c r="F196" s="449"/>
      <c r="G196" s="449">
        <v>5.4</v>
      </c>
      <c r="H196" s="449">
        <v>2</v>
      </c>
      <c r="I196" s="449">
        <f t="shared" ref="I196:I200" si="9">PRODUCT(E196:H196)</f>
        <v>33.480000000000004</v>
      </c>
      <c r="J196" s="435"/>
    </row>
    <row r="197" spans="2:10" x14ac:dyDescent="0.3">
      <c r="B197" s="432"/>
      <c r="C197" s="300"/>
      <c r="D197" s="430"/>
      <c r="E197" s="449">
        <v>2.7</v>
      </c>
      <c r="F197" s="449"/>
      <c r="G197" s="449">
        <v>5.4</v>
      </c>
      <c r="H197" s="449">
        <v>2</v>
      </c>
      <c r="I197" s="449">
        <f t="shared" si="9"/>
        <v>29.160000000000004</v>
      </c>
      <c r="J197" s="435"/>
    </row>
    <row r="198" spans="2:10" x14ac:dyDescent="0.3">
      <c r="B198" s="432"/>
      <c r="C198" s="300" t="s">
        <v>1299</v>
      </c>
      <c r="D198" s="430"/>
      <c r="E198" s="449">
        <v>3.6</v>
      </c>
      <c r="F198" s="449"/>
      <c r="G198" s="449">
        <v>5.4</v>
      </c>
      <c r="H198" s="449">
        <v>2</v>
      </c>
      <c r="I198" s="449">
        <f t="shared" si="9"/>
        <v>38.880000000000003</v>
      </c>
      <c r="J198" s="435"/>
    </row>
    <row r="199" spans="2:10" x14ac:dyDescent="0.3">
      <c r="B199" s="432"/>
      <c r="C199" s="300"/>
      <c r="D199" s="430"/>
      <c r="E199" s="449">
        <v>3.2</v>
      </c>
      <c r="F199" s="449"/>
      <c r="G199" s="449">
        <v>5.4</v>
      </c>
      <c r="H199" s="449">
        <v>2</v>
      </c>
      <c r="I199" s="449">
        <f t="shared" si="9"/>
        <v>34.56</v>
      </c>
      <c r="J199" s="435"/>
    </row>
    <row r="200" spans="2:10" x14ac:dyDescent="0.3">
      <c r="B200" s="432"/>
      <c r="C200" s="300" t="s">
        <v>1299</v>
      </c>
      <c r="D200" s="430"/>
      <c r="E200" s="449">
        <v>3.2</v>
      </c>
      <c r="F200" s="449"/>
      <c r="G200" s="449">
        <v>2.7</v>
      </c>
      <c r="H200" s="449">
        <v>2</v>
      </c>
      <c r="I200" s="449">
        <f t="shared" si="9"/>
        <v>17.28</v>
      </c>
      <c r="J200" s="435"/>
    </row>
    <row r="201" spans="2:10" x14ac:dyDescent="0.3">
      <c r="B201" s="432"/>
      <c r="C201" s="300"/>
      <c r="D201" s="430"/>
      <c r="E201" s="431"/>
      <c r="F201" s="431"/>
      <c r="G201" s="431"/>
      <c r="H201" s="431"/>
      <c r="I201" s="431"/>
      <c r="J201" s="435"/>
    </row>
    <row r="202" spans="2:10" x14ac:dyDescent="0.3">
      <c r="B202" s="432" t="s">
        <v>392</v>
      </c>
      <c r="C202" s="300" t="s">
        <v>784</v>
      </c>
      <c r="D202" s="430" t="s">
        <v>274</v>
      </c>
      <c r="E202" s="431"/>
      <c r="F202" s="431"/>
      <c r="G202" s="431"/>
      <c r="H202" s="431"/>
      <c r="I202" s="431"/>
      <c r="J202" s="435">
        <v>1947</v>
      </c>
    </row>
    <row r="203" spans="2:10" x14ac:dyDescent="0.3">
      <c r="B203" s="432" t="s">
        <v>393</v>
      </c>
      <c r="C203" s="300" t="s">
        <v>785</v>
      </c>
      <c r="D203" s="430" t="s">
        <v>92</v>
      </c>
      <c r="E203" s="431"/>
      <c r="F203" s="431"/>
      <c r="G203" s="431"/>
      <c r="H203" s="431"/>
      <c r="I203" s="431"/>
      <c r="J203" s="435">
        <v>153.36000000000001</v>
      </c>
    </row>
    <row r="204" spans="2:10" x14ac:dyDescent="0.3">
      <c r="B204" s="428" t="s">
        <v>394</v>
      </c>
      <c r="C204" s="429" t="s">
        <v>808</v>
      </c>
      <c r="D204" s="439" t="s">
        <v>160</v>
      </c>
      <c r="E204" s="431"/>
      <c r="F204" s="431"/>
      <c r="G204" s="431"/>
      <c r="H204" s="431"/>
      <c r="I204" s="431"/>
      <c r="J204" s="440"/>
    </row>
    <row r="205" spans="2:10" x14ac:dyDescent="0.3">
      <c r="B205" s="432" t="s">
        <v>395</v>
      </c>
      <c r="C205" s="300" t="s">
        <v>809</v>
      </c>
      <c r="D205" s="430" t="s">
        <v>93</v>
      </c>
      <c r="E205" s="431"/>
      <c r="F205" s="431"/>
      <c r="G205" s="431"/>
      <c r="H205" s="431"/>
      <c r="I205" s="431"/>
      <c r="J205" s="435">
        <f>SUM(I206:I212)</f>
        <v>3.1004999999999998</v>
      </c>
    </row>
    <row r="206" spans="2:10" x14ac:dyDescent="0.3">
      <c r="B206" s="432"/>
      <c r="C206" s="300"/>
      <c r="D206" s="430"/>
      <c r="E206" s="449">
        <v>1.2</v>
      </c>
      <c r="F206" s="449">
        <v>0.15</v>
      </c>
      <c r="G206" s="449">
        <v>2.5</v>
      </c>
      <c r="H206" s="449">
        <v>2</v>
      </c>
      <c r="I206" s="449">
        <f t="shared" ref="I206:I212" si="10">PRODUCT(E206:H206)</f>
        <v>0.89999999999999991</v>
      </c>
      <c r="J206" s="435"/>
    </row>
    <row r="207" spans="2:10" x14ac:dyDescent="0.3">
      <c r="B207" s="432"/>
      <c r="C207" s="300"/>
      <c r="D207" s="430"/>
      <c r="E207" s="449">
        <v>1.8</v>
      </c>
      <c r="F207" s="449">
        <v>0.15</v>
      </c>
      <c r="G207" s="449">
        <v>2.5</v>
      </c>
      <c r="H207" s="449">
        <v>2</v>
      </c>
      <c r="I207" s="449">
        <f t="shared" si="10"/>
        <v>1.35</v>
      </c>
      <c r="J207" s="435"/>
    </row>
    <row r="208" spans="2:10" x14ac:dyDescent="0.3">
      <c r="B208" s="432"/>
      <c r="C208" s="300"/>
      <c r="D208" s="430"/>
      <c r="E208" s="449"/>
      <c r="F208" s="449"/>
      <c r="G208" s="449"/>
      <c r="H208" s="449"/>
      <c r="I208" s="449"/>
      <c r="J208" s="435"/>
    </row>
    <row r="209" spans="2:10" x14ac:dyDescent="0.3">
      <c r="B209" s="432"/>
      <c r="C209" s="300"/>
      <c r="D209" s="430"/>
      <c r="E209" s="449">
        <v>1.8</v>
      </c>
      <c r="F209" s="449">
        <v>0.9</v>
      </c>
      <c r="G209" s="449">
        <v>0.15</v>
      </c>
      <c r="H209" s="449">
        <v>1</v>
      </c>
      <c r="I209" s="449">
        <f t="shared" si="10"/>
        <v>0.24299999999999999</v>
      </c>
      <c r="J209" s="435"/>
    </row>
    <row r="210" spans="2:10" x14ac:dyDescent="0.3">
      <c r="B210" s="432"/>
      <c r="C210" s="300"/>
      <c r="D210" s="430"/>
      <c r="E210" s="449"/>
      <c r="F210" s="449"/>
      <c r="G210" s="449"/>
      <c r="H210" s="449"/>
      <c r="I210" s="449"/>
      <c r="J210" s="435"/>
    </row>
    <row r="211" spans="2:10" x14ac:dyDescent="0.3">
      <c r="B211" s="432"/>
      <c r="C211" s="300"/>
      <c r="D211" s="430"/>
      <c r="E211" s="449">
        <v>0.75</v>
      </c>
      <c r="F211" s="449">
        <v>0.15</v>
      </c>
      <c r="G211" s="449">
        <v>0.9</v>
      </c>
      <c r="H211" s="449">
        <v>4</v>
      </c>
      <c r="I211" s="449">
        <f t="shared" si="10"/>
        <v>0.40499999999999997</v>
      </c>
      <c r="J211" s="435"/>
    </row>
    <row r="212" spans="2:10" x14ac:dyDescent="0.3">
      <c r="B212" s="432"/>
      <c r="C212" s="300"/>
      <c r="D212" s="430"/>
      <c r="E212" s="449">
        <v>0.9</v>
      </c>
      <c r="F212" s="449">
        <v>0.15</v>
      </c>
      <c r="G212" s="449">
        <v>0.75</v>
      </c>
      <c r="H212" s="449">
        <v>2</v>
      </c>
      <c r="I212" s="449">
        <f t="shared" si="10"/>
        <v>0.20250000000000001</v>
      </c>
      <c r="J212" s="435"/>
    </row>
    <row r="213" spans="2:10" x14ac:dyDescent="0.3">
      <c r="B213" s="432"/>
      <c r="C213" s="300"/>
      <c r="D213" s="430"/>
      <c r="E213" s="431"/>
      <c r="F213" s="431"/>
      <c r="G213" s="431"/>
      <c r="H213" s="431"/>
      <c r="I213" s="431"/>
      <c r="J213" s="435"/>
    </row>
    <row r="214" spans="2:10" x14ac:dyDescent="0.3">
      <c r="B214" s="432" t="s">
        <v>396</v>
      </c>
      <c r="C214" s="300" t="s">
        <v>810</v>
      </c>
      <c r="D214" s="430" t="s">
        <v>92</v>
      </c>
      <c r="E214" s="431"/>
      <c r="F214" s="431"/>
      <c r="G214" s="431"/>
      <c r="H214" s="431"/>
      <c r="I214" s="431"/>
      <c r="J214" s="435">
        <f>SUM(I215:I220)</f>
        <v>36.090000000000003</v>
      </c>
    </row>
    <row r="215" spans="2:10" x14ac:dyDescent="0.3">
      <c r="B215" s="432"/>
      <c r="C215" s="300"/>
      <c r="D215" s="430"/>
      <c r="E215" s="431"/>
      <c r="F215" s="449">
        <v>6.6</v>
      </c>
      <c r="G215" s="449">
        <v>2.5</v>
      </c>
      <c r="H215" s="449">
        <v>1</v>
      </c>
      <c r="I215" s="449">
        <f t="shared" ref="I215:I220" si="11">PRODUCT(E215:H215)</f>
        <v>16.5</v>
      </c>
      <c r="J215" s="435"/>
    </row>
    <row r="216" spans="2:10" x14ac:dyDescent="0.3">
      <c r="B216" s="432"/>
      <c r="C216" s="300"/>
      <c r="D216" s="430"/>
      <c r="E216" s="431"/>
      <c r="F216" s="449">
        <v>5.4</v>
      </c>
      <c r="G216" s="449">
        <v>2.35</v>
      </c>
      <c r="H216" s="449">
        <v>1</v>
      </c>
      <c r="I216" s="449">
        <f t="shared" si="11"/>
        <v>12.690000000000001</v>
      </c>
      <c r="J216" s="435"/>
    </row>
    <row r="217" spans="2:10" x14ac:dyDescent="0.3">
      <c r="B217" s="432"/>
      <c r="C217" s="300"/>
      <c r="D217" s="430"/>
      <c r="E217" s="431"/>
      <c r="F217" s="449"/>
      <c r="G217" s="449"/>
      <c r="H217" s="449"/>
      <c r="I217" s="449"/>
      <c r="J217" s="435"/>
    </row>
    <row r="218" spans="2:10" x14ac:dyDescent="0.3">
      <c r="B218" s="432"/>
      <c r="C218" s="300"/>
      <c r="D218" s="430"/>
      <c r="E218" s="431"/>
      <c r="F218" s="449">
        <v>2.1</v>
      </c>
      <c r="G218" s="449">
        <v>0.9</v>
      </c>
      <c r="H218" s="449">
        <v>2</v>
      </c>
      <c r="I218" s="449">
        <f t="shared" si="11"/>
        <v>3.7800000000000002</v>
      </c>
      <c r="J218" s="435"/>
    </row>
    <row r="219" spans="2:10" x14ac:dyDescent="0.3">
      <c r="B219" s="432"/>
      <c r="C219" s="300"/>
      <c r="D219" s="430"/>
      <c r="E219" s="431"/>
      <c r="F219" s="449">
        <v>1.8</v>
      </c>
      <c r="G219" s="449">
        <v>0.7</v>
      </c>
      <c r="H219" s="449">
        <v>2</v>
      </c>
      <c r="I219" s="449">
        <f t="shared" si="11"/>
        <v>2.52</v>
      </c>
      <c r="J219" s="435"/>
    </row>
    <row r="220" spans="2:10" x14ac:dyDescent="0.3">
      <c r="B220" s="432"/>
      <c r="C220" s="300"/>
      <c r="D220" s="430"/>
      <c r="E220" s="431"/>
      <c r="F220" s="449">
        <v>0.75</v>
      </c>
      <c r="G220" s="449">
        <v>0.4</v>
      </c>
      <c r="H220" s="449">
        <v>2</v>
      </c>
      <c r="I220" s="449">
        <f t="shared" si="11"/>
        <v>0.60000000000000009</v>
      </c>
      <c r="J220" s="435"/>
    </row>
    <row r="221" spans="2:10" x14ac:dyDescent="0.3">
      <c r="B221" s="432"/>
      <c r="C221" s="300"/>
      <c r="D221" s="430"/>
      <c r="E221" s="431"/>
      <c r="F221" s="431"/>
      <c r="G221" s="431"/>
      <c r="H221" s="431"/>
      <c r="I221" s="449"/>
      <c r="J221" s="435"/>
    </row>
    <row r="222" spans="2:10" x14ac:dyDescent="0.3">
      <c r="B222" s="432"/>
      <c r="C222" s="300"/>
      <c r="D222" s="430"/>
      <c r="E222" s="431"/>
      <c r="F222" s="431"/>
      <c r="G222" s="431"/>
      <c r="H222" s="431"/>
      <c r="I222" s="431"/>
      <c r="J222" s="435"/>
    </row>
    <row r="223" spans="2:10" x14ac:dyDescent="0.3">
      <c r="B223" s="432" t="s">
        <v>397</v>
      </c>
      <c r="C223" s="300" t="s">
        <v>784</v>
      </c>
      <c r="D223" s="430" t="s">
        <v>274</v>
      </c>
      <c r="E223" s="431"/>
      <c r="F223" s="431"/>
      <c r="G223" s="431"/>
      <c r="H223" s="431"/>
      <c r="I223" s="431"/>
      <c r="J223" s="435">
        <v>258.63</v>
      </c>
    </row>
    <row r="224" spans="2:10" x14ac:dyDescent="0.3">
      <c r="B224" s="432" t="s">
        <v>398</v>
      </c>
      <c r="C224" s="300" t="s">
        <v>785</v>
      </c>
      <c r="D224" s="430" t="s">
        <v>92</v>
      </c>
      <c r="E224" s="431"/>
      <c r="F224" s="431"/>
      <c r="G224" s="431"/>
      <c r="H224" s="431"/>
      <c r="I224" s="431"/>
      <c r="J224" s="435">
        <v>36.090000000000003</v>
      </c>
    </row>
    <row r="225" spans="2:10" x14ac:dyDescent="0.3">
      <c r="B225" s="428" t="s">
        <v>282</v>
      </c>
      <c r="C225" s="434" t="s">
        <v>812</v>
      </c>
      <c r="D225" s="439" t="s">
        <v>160</v>
      </c>
      <c r="E225" s="431"/>
      <c r="F225" s="431"/>
      <c r="G225" s="431"/>
      <c r="H225" s="431"/>
      <c r="I225" s="431"/>
      <c r="J225" s="440"/>
    </row>
    <row r="226" spans="2:10" x14ac:dyDescent="0.3">
      <c r="B226" s="428" t="s">
        <v>193</v>
      </c>
      <c r="C226" s="429" t="s">
        <v>813</v>
      </c>
      <c r="D226" s="439" t="s">
        <v>160</v>
      </c>
      <c r="E226" s="431"/>
      <c r="F226" s="431"/>
      <c r="G226" s="431"/>
      <c r="H226" s="431"/>
      <c r="I226" s="431"/>
      <c r="J226" s="440"/>
    </row>
    <row r="227" spans="2:10" x14ac:dyDescent="0.3">
      <c r="B227" s="432" t="s">
        <v>401</v>
      </c>
      <c r="C227" s="300" t="s">
        <v>814</v>
      </c>
      <c r="D227" s="430" t="s">
        <v>92</v>
      </c>
      <c r="E227" s="431"/>
      <c r="F227" s="431"/>
      <c r="G227" s="431"/>
      <c r="H227" s="431"/>
      <c r="I227" s="431"/>
      <c r="J227" s="435">
        <f>SUM(I228:I229)</f>
        <v>4</v>
      </c>
    </row>
    <row r="228" spans="2:10" x14ac:dyDescent="0.3">
      <c r="B228" s="432"/>
      <c r="C228" s="300" t="s">
        <v>1300</v>
      </c>
      <c r="D228" s="430"/>
      <c r="E228" s="431" t="s">
        <v>1302</v>
      </c>
      <c r="F228" s="431">
        <v>3.84</v>
      </c>
      <c r="G228" s="431"/>
      <c r="H228" s="431"/>
      <c r="I228" s="431">
        <f>+F228</f>
        <v>3.84</v>
      </c>
      <c r="J228" s="435"/>
    </row>
    <row r="229" spans="2:10" x14ac:dyDescent="0.3">
      <c r="B229" s="432"/>
      <c r="C229" s="300" t="s">
        <v>1301</v>
      </c>
      <c r="D229" s="430"/>
      <c r="E229" s="431" t="s">
        <v>1302</v>
      </c>
      <c r="F229" s="431">
        <v>0.16</v>
      </c>
      <c r="G229" s="431"/>
      <c r="H229" s="431"/>
      <c r="I229" s="431">
        <f>+F229</f>
        <v>0.16</v>
      </c>
      <c r="J229" s="435"/>
    </row>
    <row r="230" spans="2:10" x14ac:dyDescent="0.3">
      <c r="B230" s="432"/>
      <c r="C230" s="300"/>
      <c r="D230" s="430"/>
      <c r="E230" s="431"/>
      <c r="F230" s="431"/>
      <c r="G230" s="431"/>
      <c r="H230" s="431"/>
      <c r="I230" s="431"/>
      <c r="J230" s="435"/>
    </row>
    <row r="231" spans="2:10" x14ac:dyDescent="0.3">
      <c r="B231" s="428" t="s">
        <v>194</v>
      </c>
      <c r="C231" s="429" t="s">
        <v>815</v>
      </c>
      <c r="D231" s="439" t="s">
        <v>160</v>
      </c>
      <c r="E231" s="431"/>
      <c r="F231" s="431"/>
      <c r="G231" s="431"/>
      <c r="H231" s="431"/>
      <c r="I231" s="431"/>
      <c r="J231" s="440"/>
    </row>
    <row r="232" spans="2:10" x14ac:dyDescent="0.3">
      <c r="B232" s="432" t="s">
        <v>402</v>
      </c>
      <c r="C232" s="300" t="s">
        <v>816</v>
      </c>
      <c r="D232" s="430" t="s">
        <v>93</v>
      </c>
      <c r="E232" s="431"/>
      <c r="F232" s="431"/>
      <c r="G232" s="431"/>
      <c r="H232" s="431"/>
      <c r="I232" s="431"/>
      <c r="J232" s="435">
        <f>+I233</f>
        <v>3.3408000000000002</v>
      </c>
    </row>
    <row r="233" spans="2:10" x14ac:dyDescent="0.3">
      <c r="B233" s="432"/>
      <c r="C233" s="300" t="s">
        <v>1303</v>
      </c>
      <c r="D233" s="430"/>
      <c r="E233" s="449">
        <v>5.22</v>
      </c>
      <c r="F233" s="449">
        <v>0.4</v>
      </c>
      <c r="G233" s="449">
        <v>0.4</v>
      </c>
      <c r="H233" s="449">
        <v>4</v>
      </c>
      <c r="I233" s="449">
        <f t="shared" ref="I233" si="12">PRODUCT(E233:H233)</f>
        <v>3.3408000000000002</v>
      </c>
      <c r="J233" s="435"/>
    </row>
    <row r="234" spans="2:10" x14ac:dyDescent="0.3">
      <c r="B234" s="432"/>
      <c r="C234" s="300"/>
      <c r="D234" s="430"/>
      <c r="E234" s="431"/>
      <c r="F234" s="431"/>
      <c r="G234" s="431"/>
      <c r="H234" s="431"/>
      <c r="I234" s="431"/>
      <c r="J234" s="435"/>
    </row>
    <row r="235" spans="2:10" x14ac:dyDescent="0.3">
      <c r="B235" s="428" t="s">
        <v>195</v>
      </c>
      <c r="C235" s="429" t="s">
        <v>817</v>
      </c>
      <c r="D235" s="439" t="s">
        <v>160</v>
      </c>
      <c r="E235" s="431"/>
      <c r="F235" s="431"/>
      <c r="G235" s="431"/>
      <c r="H235" s="431"/>
      <c r="I235" s="431"/>
      <c r="J235" s="440"/>
    </row>
    <row r="236" spans="2:10" x14ac:dyDescent="0.3">
      <c r="B236" s="432" t="s">
        <v>403</v>
      </c>
      <c r="C236" s="300" t="s">
        <v>818</v>
      </c>
      <c r="D236" s="430" t="s">
        <v>93</v>
      </c>
      <c r="E236" s="431"/>
      <c r="F236" s="431"/>
      <c r="G236" s="431"/>
      <c r="H236" s="431"/>
      <c r="I236" s="431"/>
      <c r="J236" s="435">
        <v>0.74</v>
      </c>
    </row>
    <row r="237" spans="2:10" x14ac:dyDescent="0.3">
      <c r="B237" s="432"/>
      <c r="C237" s="300" t="s">
        <v>1304</v>
      </c>
      <c r="D237" s="430"/>
      <c r="E237" s="431" t="s">
        <v>1305</v>
      </c>
      <c r="F237" s="431">
        <v>0.74</v>
      </c>
      <c r="G237" s="431"/>
      <c r="H237" s="431"/>
      <c r="I237" s="431">
        <v>0.74</v>
      </c>
      <c r="J237" s="435"/>
    </row>
    <row r="238" spans="2:10" x14ac:dyDescent="0.3">
      <c r="B238" s="432"/>
      <c r="C238" s="300"/>
      <c r="D238" s="430"/>
      <c r="E238" s="431"/>
      <c r="F238" s="431"/>
      <c r="G238" s="431"/>
      <c r="H238" s="431"/>
      <c r="I238" s="431"/>
      <c r="J238" s="435"/>
    </row>
    <row r="239" spans="2:10" x14ac:dyDescent="0.3">
      <c r="B239" s="428" t="s">
        <v>283</v>
      </c>
      <c r="C239" s="434" t="s">
        <v>832</v>
      </c>
      <c r="D239" s="439" t="s">
        <v>160</v>
      </c>
      <c r="E239" s="431"/>
      <c r="F239" s="431"/>
      <c r="G239" s="431"/>
      <c r="H239" s="431"/>
      <c r="I239" s="431"/>
      <c r="J239" s="440"/>
    </row>
    <row r="240" spans="2:10" x14ac:dyDescent="0.3">
      <c r="B240" s="432" t="s">
        <v>421</v>
      </c>
      <c r="C240" s="300" t="s">
        <v>836</v>
      </c>
      <c r="D240" s="430" t="s">
        <v>93</v>
      </c>
      <c r="E240" s="449">
        <v>22.81</v>
      </c>
      <c r="F240" s="449">
        <v>1.7</v>
      </c>
      <c r="G240" s="449">
        <v>1.3</v>
      </c>
      <c r="H240" s="449">
        <v>1</v>
      </c>
      <c r="I240" s="449">
        <f t="shared" ref="I240:I244" si="13">PRODUCT(E240:H240)</f>
        <v>50.410099999999993</v>
      </c>
      <c r="J240" s="435">
        <f>+I240</f>
        <v>50.410099999999993</v>
      </c>
    </row>
    <row r="241" spans="2:11" x14ac:dyDescent="0.3">
      <c r="B241" s="432" t="s">
        <v>220</v>
      </c>
      <c r="C241" s="300" t="s">
        <v>839</v>
      </c>
      <c r="D241" s="430" t="s">
        <v>92</v>
      </c>
      <c r="E241" s="449">
        <v>42.36</v>
      </c>
      <c r="F241" s="449">
        <v>1.7</v>
      </c>
      <c r="G241" s="449"/>
      <c r="H241" s="449">
        <v>1</v>
      </c>
      <c r="I241" s="449">
        <f t="shared" si="13"/>
        <v>72.012</v>
      </c>
      <c r="J241" s="435">
        <f>+I241</f>
        <v>72.012</v>
      </c>
    </row>
    <row r="242" spans="2:11" x14ac:dyDescent="0.3">
      <c r="B242" s="432" t="s">
        <v>424</v>
      </c>
      <c r="C242" s="300" t="s">
        <v>840</v>
      </c>
      <c r="D242" s="430" t="s">
        <v>93</v>
      </c>
      <c r="E242" s="431"/>
      <c r="F242" s="431"/>
      <c r="G242" s="431"/>
      <c r="H242" s="431"/>
      <c r="I242" s="449"/>
      <c r="J242" s="435">
        <f>SUM(I243:I244)</f>
        <v>6.9750000000000005</v>
      </c>
    </row>
    <row r="243" spans="2:11" x14ac:dyDescent="0.3">
      <c r="B243" s="432"/>
      <c r="C243" s="300" t="s">
        <v>1306</v>
      </c>
      <c r="D243" s="430"/>
      <c r="E243" s="449">
        <v>13.3</v>
      </c>
      <c r="F243" s="449"/>
      <c r="G243" s="449">
        <v>0.25</v>
      </c>
      <c r="H243" s="449">
        <v>2</v>
      </c>
      <c r="I243" s="449">
        <f t="shared" si="13"/>
        <v>6.65</v>
      </c>
      <c r="J243" s="435"/>
      <c r="K243" s="173"/>
    </row>
    <row r="244" spans="2:11" x14ac:dyDescent="0.3">
      <c r="B244" s="432"/>
      <c r="C244" s="300" t="s">
        <v>1307</v>
      </c>
      <c r="D244" s="430"/>
      <c r="E244" s="449">
        <v>1.3</v>
      </c>
      <c r="F244" s="449"/>
      <c r="G244" s="449">
        <v>0.25</v>
      </c>
      <c r="H244" s="449">
        <v>1</v>
      </c>
      <c r="I244" s="449">
        <f t="shared" si="13"/>
        <v>0.32500000000000001</v>
      </c>
      <c r="J244" s="435"/>
    </row>
    <row r="245" spans="2:11" x14ac:dyDescent="0.3">
      <c r="B245" s="432"/>
      <c r="C245" s="300"/>
      <c r="D245" s="430"/>
      <c r="E245" s="431"/>
      <c r="F245" s="431"/>
      <c r="G245" s="431"/>
      <c r="H245" s="431"/>
      <c r="I245" s="431"/>
      <c r="J245" s="435"/>
    </row>
    <row r="246" spans="2:11" x14ac:dyDescent="0.3">
      <c r="B246" s="432" t="s">
        <v>425</v>
      </c>
      <c r="C246" s="300" t="s">
        <v>841</v>
      </c>
      <c r="D246" s="430" t="s">
        <v>92</v>
      </c>
      <c r="E246" s="431"/>
      <c r="F246" s="431"/>
      <c r="G246" s="431"/>
      <c r="H246" s="431"/>
      <c r="I246" s="431"/>
      <c r="J246" s="435">
        <f>SUM(I247:I249)</f>
        <v>19.950000000000003</v>
      </c>
    </row>
    <row r="247" spans="2:11" x14ac:dyDescent="0.3">
      <c r="B247" s="432"/>
      <c r="C247" s="300" t="s">
        <v>1306</v>
      </c>
      <c r="D247" s="430"/>
      <c r="E247" s="449">
        <v>13.3</v>
      </c>
      <c r="F247" s="449"/>
      <c r="G247" s="449">
        <v>0.25</v>
      </c>
      <c r="H247" s="449">
        <v>2</v>
      </c>
      <c r="I247" s="449">
        <f t="shared" ref="I247:I248" si="14">PRODUCT(E247:H247)</f>
        <v>6.65</v>
      </c>
      <c r="J247" s="435"/>
      <c r="K247" s="173"/>
    </row>
    <row r="248" spans="2:11" x14ac:dyDescent="0.3">
      <c r="B248" s="432"/>
      <c r="C248" s="300" t="s">
        <v>1307</v>
      </c>
      <c r="D248" s="430"/>
      <c r="E248" s="449">
        <v>13.3</v>
      </c>
      <c r="F248" s="449"/>
      <c r="G248" s="449">
        <v>0.25</v>
      </c>
      <c r="H248" s="449">
        <v>2</v>
      </c>
      <c r="I248" s="449">
        <f t="shared" si="14"/>
        <v>6.65</v>
      </c>
      <c r="J248" s="435"/>
      <c r="K248" s="173"/>
    </row>
    <row r="249" spans="2:11" x14ac:dyDescent="0.3">
      <c r="B249" s="432"/>
      <c r="C249" s="300" t="s">
        <v>1308</v>
      </c>
      <c r="D249" s="430"/>
      <c r="E249" s="449">
        <v>13.3</v>
      </c>
      <c r="F249" s="449"/>
      <c r="G249" s="449">
        <v>0.25</v>
      </c>
      <c r="H249" s="449">
        <v>2</v>
      </c>
      <c r="I249" s="449">
        <f t="shared" ref="I249" si="15">PRODUCT(E249:H249)</f>
        <v>6.65</v>
      </c>
      <c r="J249" s="435"/>
    </row>
    <row r="250" spans="2:11" x14ac:dyDescent="0.3">
      <c r="B250" s="432"/>
      <c r="C250" s="300"/>
      <c r="D250" s="430"/>
      <c r="E250" s="449"/>
      <c r="F250" s="449"/>
      <c r="G250" s="449"/>
      <c r="H250" s="449"/>
      <c r="I250" s="449"/>
      <c r="J250" s="435"/>
    </row>
    <row r="251" spans="2:11" x14ac:dyDescent="0.3">
      <c r="B251" s="428" t="s">
        <v>221</v>
      </c>
      <c r="C251" s="429" t="s">
        <v>842</v>
      </c>
      <c r="D251" s="439" t="s">
        <v>160</v>
      </c>
      <c r="E251" s="431"/>
      <c r="F251" s="431"/>
      <c r="G251" s="431"/>
      <c r="H251" s="431"/>
      <c r="I251" s="431"/>
      <c r="J251" s="440"/>
    </row>
    <row r="252" spans="2:11" x14ac:dyDescent="0.3">
      <c r="B252" s="432" t="s">
        <v>426</v>
      </c>
      <c r="C252" s="300" t="s">
        <v>843</v>
      </c>
      <c r="D252" s="430" t="s">
        <v>93</v>
      </c>
      <c r="E252" s="449">
        <v>42.3</v>
      </c>
      <c r="F252" s="449">
        <v>1.7</v>
      </c>
      <c r="G252" s="449">
        <v>0.4</v>
      </c>
      <c r="H252" s="449">
        <v>1</v>
      </c>
      <c r="I252" s="449">
        <f t="shared" ref="I252" si="16">PRODUCT(E252:H252)</f>
        <v>28.763999999999999</v>
      </c>
      <c r="J252" s="435">
        <f>+I252</f>
        <v>28.763999999999999</v>
      </c>
    </row>
    <row r="253" spans="2:11" x14ac:dyDescent="0.3">
      <c r="B253" s="432" t="s">
        <v>427</v>
      </c>
      <c r="C253" s="300" t="s">
        <v>844</v>
      </c>
      <c r="D253" s="430" t="s">
        <v>274</v>
      </c>
      <c r="E253" s="431"/>
      <c r="F253" s="431"/>
      <c r="G253" s="431"/>
      <c r="H253" s="431"/>
      <c r="I253" s="431"/>
      <c r="J253" s="435">
        <v>980.16</v>
      </c>
    </row>
    <row r="254" spans="2:11" x14ac:dyDescent="0.3">
      <c r="B254" s="428" t="s">
        <v>222</v>
      </c>
      <c r="C254" s="429" t="s">
        <v>845</v>
      </c>
      <c r="D254" s="439" t="s">
        <v>160</v>
      </c>
      <c r="E254" s="431"/>
      <c r="F254" s="431"/>
      <c r="G254" s="431"/>
      <c r="H254" s="431"/>
      <c r="I254" s="431"/>
      <c r="J254" s="440"/>
    </row>
    <row r="255" spans="2:11" x14ac:dyDescent="0.3">
      <c r="B255" s="432" t="s">
        <v>428</v>
      </c>
      <c r="C255" s="300" t="s">
        <v>846</v>
      </c>
      <c r="D255" s="430" t="s">
        <v>93</v>
      </c>
      <c r="E255" s="431"/>
      <c r="F255" s="431"/>
      <c r="G255" s="431"/>
      <c r="H255" s="431"/>
      <c r="I255" s="431"/>
      <c r="J255" s="435">
        <f>SUM(I256:I258)</f>
        <v>27.405000000000001</v>
      </c>
    </row>
    <row r="256" spans="2:11" x14ac:dyDescent="0.3">
      <c r="B256" s="432"/>
      <c r="C256" s="300" t="s">
        <v>1309</v>
      </c>
      <c r="D256" s="430"/>
      <c r="E256" s="431">
        <v>14.1</v>
      </c>
      <c r="F256" s="431">
        <v>0.1</v>
      </c>
      <c r="G256" s="431">
        <v>3.5</v>
      </c>
      <c r="H256" s="431">
        <v>3</v>
      </c>
      <c r="I256" s="449">
        <f t="shared" ref="I256:I258" si="17">PRODUCT(E256:H256)</f>
        <v>14.805000000000001</v>
      </c>
      <c r="J256" s="435"/>
      <c r="K256" s="173"/>
    </row>
    <row r="257" spans="2:11" x14ac:dyDescent="0.3">
      <c r="B257" s="432"/>
      <c r="C257" s="300" t="s">
        <v>1310</v>
      </c>
      <c r="D257" s="430"/>
      <c r="E257" s="431">
        <v>1.4</v>
      </c>
      <c r="F257" s="431">
        <v>0.1</v>
      </c>
      <c r="G257" s="431">
        <v>3.5</v>
      </c>
      <c r="H257" s="431">
        <v>12</v>
      </c>
      <c r="I257" s="449">
        <f t="shared" si="17"/>
        <v>5.879999999999999</v>
      </c>
      <c r="J257" s="435"/>
    </row>
    <row r="258" spans="2:11" x14ac:dyDescent="0.3">
      <c r="B258" s="432"/>
      <c r="C258" s="300" t="s">
        <v>1311</v>
      </c>
      <c r="D258" s="430"/>
      <c r="E258" s="431">
        <v>1.6</v>
      </c>
      <c r="F258" s="431">
        <v>0.2</v>
      </c>
      <c r="G258" s="431">
        <v>3.5</v>
      </c>
      <c r="H258" s="431">
        <v>6</v>
      </c>
      <c r="I258" s="449">
        <f t="shared" si="17"/>
        <v>6.7200000000000006</v>
      </c>
      <c r="J258" s="435"/>
    </row>
    <row r="259" spans="2:11" x14ac:dyDescent="0.3">
      <c r="B259" s="432"/>
      <c r="C259" s="300"/>
      <c r="D259" s="430"/>
      <c r="E259" s="431"/>
      <c r="F259" s="431"/>
      <c r="G259" s="431"/>
      <c r="H259" s="431"/>
      <c r="I259" s="431"/>
      <c r="J259" s="435"/>
    </row>
    <row r="260" spans="2:11" x14ac:dyDescent="0.3">
      <c r="B260" s="432" t="s">
        <v>429</v>
      </c>
      <c r="C260" s="300" t="s">
        <v>847</v>
      </c>
      <c r="D260" s="430" t="s">
        <v>92</v>
      </c>
      <c r="E260" s="431"/>
      <c r="F260" s="431"/>
      <c r="G260" s="431"/>
      <c r="H260" s="431"/>
      <c r="I260" s="431"/>
      <c r="J260" s="435">
        <f>SUM(I261:I263)</f>
        <v>499.80000000000007</v>
      </c>
    </row>
    <row r="261" spans="2:11" x14ac:dyDescent="0.3">
      <c r="B261" s="432"/>
      <c r="C261" s="300" t="s">
        <v>1309</v>
      </c>
      <c r="D261" s="430"/>
      <c r="E261" s="431"/>
      <c r="F261" s="431"/>
      <c r="G261" s="431">
        <v>99.4</v>
      </c>
      <c r="H261" s="431">
        <v>3</v>
      </c>
      <c r="I261" s="449">
        <f t="shared" ref="I261:I263" si="18">PRODUCT(E261:H261)</f>
        <v>298.20000000000005</v>
      </c>
      <c r="J261" s="435"/>
      <c r="K261" s="173"/>
    </row>
    <row r="262" spans="2:11" x14ac:dyDescent="0.3">
      <c r="B262" s="432"/>
      <c r="C262" s="300" t="s">
        <v>1310</v>
      </c>
      <c r="D262" s="430"/>
      <c r="E262" s="431"/>
      <c r="F262" s="431"/>
      <c r="G262" s="431">
        <v>10.5</v>
      </c>
      <c r="H262" s="431">
        <v>12</v>
      </c>
      <c r="I262" s="449">
        <f t="shared" si="18"/>
        <v>126</v>
      </c>
      <c r="J262" s="435"/>
      <c r="K262" s="173"/>
    </row>
    <row r="263" spans="2:11" x14ac:dyDescent="0.3">
      <c r="B263" s="432"/>
      <c r="C263" s="300" t="s">
        <v>1311</v>
      </c>
      <c r="D263" s="430"/>
      <c r="E263" s="431"/>
      <c r="F263" s="431"/>
      <c r="G263" s="431">
        <v>12.6</v>
      </c>
      <c r="H263" s="431">
        <v>6</v>
      </c>
      <c r="I263" s="449">
        <f t="shared" si="18"/>
        <v>75.599999999999994</v>
      </c>
      <c r="J263" s="435"/>
    </row>
    <row r="264" spans="2:11" x14ac:dyDescent="0.3">
      <c r="B264" s="432"/>
      <c r="C264" s="300"/>
      <c r="D264" s="430"/>
      <c r="E264" s="431"/>
      <c r="F264" s="431"/>
      <c r="G264" s="431"/>
      <c r="H264" s="431"/>
      <c r="I264" s="431"/>
      <c r="J264" s="435"/>
    </row>
    <row r="265" spans="2:11" x14ac:dyDescent="0.3">
      <c r="B265" s="432" t="s">
        <v>430</v>
      </c>
      <c r="C265" s="300" t="s">
        <v>844</v>
      </c>
      <c r="D265" s="430" t="s">
        <v>274</v>
      </c>
      <c r="E265" s="431"/>
      <c r="F265" s="431"/>
      <c r="G265" s="431"/>
      <c r="H265" s="431"/>
      <c r="I265" s="431"/>
      <c r="J265" s="435">
        <v>1467.9</v>
      </c>
    </row>
    <row r="266" spans="2:11" x14ac:dyDescent="0.3">
      <c r="B266" s="428" t="s">
        <v>431</v>
      </c>
      <c r="C266" s="429" t="s">
        <v>802</v>
      </c>
      <c r="D266" s="439" t="s">
        <v>160</v>
      </c>
      <c r="E266" s="373"/>
      <c r="F266" s="373"/>
      <c r="G266" s="373"/>
      <c r="H266" s="378"/>
      <c r="I266" s="373"/>
      <c r="J266" s="377"/>
    </row>
    <row r="267" spans="2:11" x14ac:dyDescent="0.3">
      <c r="B267" s="432" t="s">
        <v>432</v>
      </c>
      <c r="C267" s="300" t="s">
        <v>848</v>
      </c>
      <c r="D267" s="430" t="s">
        <v>93</v>
      </c>
      <c r="E267" s="431"/>
      <c r="F267" s="431"/>
      <c r="G267" s="431"/>
      <c r="H267" s="431"/>
      <c r="I267" s="431"/>
      <c r="J267" s="435">
        <f>SUM(I269:I276)</f>
        <v>46.284000000000006</v>
      </c>
    </row>
    <row r="268" spans="2:11" x14ac:dyDescent="0.3">
      <c r="B268" s="432"/>
      <c r="C268" s="300" t="s">
        <v>1312</v>
      </c>
      <c r="D268" s="430"/>
      <c r="E268" s="431"/>
      <c r="F268" s="431"/>
      <c r="G268" s="431"/>
      <c r="H268" s="431"/>
      <c r="I268" s="431"/>
      <c r="J268" s="435"/>
    </row>
    <row r="269" spans="2:11" x14ac:dyDescent="0.3">
      <c r="B269" s="432"/>
      <c r="C269" s="300" t="s">
        <v>1313</v>
      </c>
      <c r="D269" s="430"/>
      <c r="E269" s="450">
        <v>13.3</v>
      </c>
      <c r="F269" s="450">
        <v>0.7</v>
      </c>
      <c r="G269" s="450">
        <v>0.1</v>
      </c>
      <c r="H269" s="450">
        <v>12</v>
      </c>
      <c r="I269" s="374">
        <f>PRODUCT(E269:H269)</f>
        <v>11.172000000000001</v>
      </c>
      <c r="J269" s="435"/>
    </row>
    <row r="270" spans="2:11" x14ac:dyDescent="0.3">
      <c r="B270" s="432"/>
      <c r="C270" s="300" t="s">
        <v>1314</v>
      </c>
      <c r="D270" s="430"/>
      <c r="E270" s="450">
        <v>13.3</v>
      </c>
      <c r="F270" s="450">
        <v>0.8</v>
      </c>
      <c r="G270" s="450">
        <v>0.2</v>
      </c>
      <c r="H270" s="450">
        <v>2</v>
      </c>
      <c r="I270" s="374">
        <f t="shared" ref="I270:I276" si="19">PRODUCT(E270:H270)</f>
        <v>4.2560000000000002</v>
      </c>
      <c r="J270" s="435"/>
    </row>
    <row r="271" spans="2:11" x14ac:dyDescent="0.3">
      <c r="B271" s="432"/>
      <c r="C271" s="300" t="s">
        <v>1315</v>
      </c>
      <c r="D271" s="430"/>
      <c r="E271" s="450"/>
      <c r="F271" s="450"/>
      <c r="G271" s="450"/>
      <c r="H271" s="450"/>
      <c r="I271" s="374"/>
      <c r="J271" s="435"/>
    </row>
    <row r="272" spans="2:11" x14ac:dyDescent="0.3">
      <c r="B272" s="432"/>
      <c r="C272" s="300" t="s">
        <v>1316</v>
      </c>
      <c r="D272" s="430"/>
      <c r="E272" s="450">
        <v>13.3</v>
      </c>
      <c r="F272" s="450">
        <v>0.7</v>
      </c>
      <c r="G272" s="450">
        <v>0.1</v>
      </c>
      <c r="H272" s="450">
        <v>12</v>
      </c>
      <c r="I272" s="374">
        <f t="shared" si="19"/>
        <v>11.172000000000001</v>
      </c>
      <c r="J272" s="435"/>
    </row>
    <row r="273" spans="2:11" x14ac:dyDescent="0.3">
      <c r="B273" s="432"/>
      <c r="C273" s="300" t="s">
        <v>1317</v>
      </c>
      <c r="D273" s="430"/>
      <c r="E273" s="450">
        <v>13.3</v>
      </c>
      <c r="F273" s="450">
        <v>0.8</v>
      </c>
      <c r="G273" s="450">
        <v>0.2</v>
      </c>
      <c r="H273" s="450">
        <v>2</v>
      </c>
      <c r="I273" s="374">
        <f t="shared" si="19"/>
        <v>4.2560000000000002</v>
      </c>
      <c r="J273" s="435"/>
    </row>
    <row r="274" spans="2:11" x14ac:dyDescent="0.3">
      <c r="B274" s="432"/>
      <c r="C274" s="300" t="s">
        <v>1318</v>
      </c>
      <c r="D274" s="430"/>
      <c r="E274" s="450"/>
      <c r="F274" s="450"/>
      <c r="G274" s="450"/>
      <c r="H274" s="450"/>
      <c r="I274" s="374"/>
      <c r="J274" s="435"/>
    </row>
    <row r="275" spans="2:11" x14ac:dyDescent="0.3">
      <c r="B275" s="432"/>
      <c r="C275" s="300" t="s">
        <v>1316</v>
      </c>
      <c r="D275" s="430"/>
      <c r="E275" s="450">
        <v>13.3</v>
      </c>
      <c r="F275" s="450">
        <v>0.7</v>
      </c>
      <c r="G275" s="450">
        <v>0.1</v>
      </c>
      <c r="H275" s="450">
        <v>12</v>
      </c>
      <c r="I275" s="374">
        <f t="shared" si="19"/>
        <v>11.172000000000001</v>
      </c>
      <c r="J275" s="435"/>
    </row>
    <row r="276" spans="2:11" x14ac:dyDescent="0.3">
      <c r="B276" s="432"/>
      <c r="C276" s="300" t="s">
        <v>1317</v>
      </c>
      <c r="D276" s="430"/>
      <c r="E276" s="450">
        <v>13.3</v>
      </c>
      <c r="F276" s="450">
        <v>0.8</v>
      </c>
      <c r="G276" s="450">
        <v>0.2</v>
      </c>
      <c r="H276" s="450">
        <v>2</v>
      </c>
      <c r="I276" s="374">
        <f t="shared" si="19"/>
        <v>4.2560000000000002</v>
      </c>
      <c r="J276" s="435"/>
    </row>
    <row r="277" spans="2:11" x14ac:dyDescent="0.3">
      <c r="B277" s="432" t="s">
        <v>433</v>
      </c>
      <c r="C277" s="300" t="s">
        <v>849</v>
      </c>
      <c r="D277" s="430" t="s">
        <v>92</v>
      </c>
      <c r="E277" s="450"/>
      <c r="F277" s="450"/>
      <c r="G277" s="450"/>
      <c r="H277" s="450"/>
      <c r="I277" s="374"/>
      <c r="J277" s="435">
        <f>SUM(I279:I286)</f>
        <v>410.97</v>
      </c>
      <c r="K277">
        <v>410.97</v>
      </c>
    </row>
    <row r="278" spans="2:11" x14ac:dyDescent="0.3">
      <c r="B278" s="432"/>
      <c r="C278" s="300" t="s">
        <v>1312</v>
      </c>
      <c r="D278" s="430"/>
      <c r="E278" s="450"/>
      <c r="F278" s="450"/>
      <c r="G278" s="450"/>
      <c r="H278" s="450"/>
      <c r="I278" s="374"/>
      <c r="J278" s="435"/>
    </row>
    <row r="279" spans="2:11" x14ac:dyDescent="0.3">
      <c r="B279" s="432"/>
      <c r="C279" s="300" t="s">
        <v>1313</v>
      </c>
      <c r="D279" s="430"/>
      <c r="E279" s="450">
        <v>13.3</v>
      </c>
      <c r="F279" s="450">
        <v>0.7</v>
      </c>
      <c r="G279" s="450">
        <v>0.1</v>
      </c>
      <c r="H279" s="450">
        <v>12</v>
      </c>
      <c r="I279" s="374">
        <v>113.05</v>
      </c>
      <c r="J279" s="435"/>
    </row>
    <row r="280" spans="2:11" x14ac:dyDescent="0.3">
      <c r="B280" s="432"/>
      <c r="C280" s="300" t="s">
        <v>1314</v>
      </c>
      <c r="D280" s="430"/>
      <c r="E280" s="450">
        <v>13.3</v>
      </c>
      <c r="F280" s="450">
        <v>0.8</v>
      </c>
      <c r="G280" s="450">
        <v>0.2</v>
      </c>
      <c r="H280" s="450">
        <v>2</v>
      </c>
      <c r="I280" s="374">
        <v>23.94</v>
      </c>
      <c r="J280" s="435"/>
    </row>
    <row r="281" spans="2:11" x14ac:dyDescent="0.3">
      <c r="B281" s="432"/>
      <c r="C281" s="300" t="s">
        <v>1315</v>
      </c>
      <c r="D281" s="430"/>
      <c r="E281" s="450"/>
      <c r="F281" s="450"/>
      <c r="G281" s="450"/>
      <c r="H281" s="450"/>
      <c r="I281" s="374"/>
      <c r="J281" s="435"/>
    </row>
    <row r="282" spans="2:11" x14ac:dyDescent="0.3">
      <c r="B282" s="432"/>
      <c r="C282" s="300" t="s">
        <v>1316</v>
      </c>
      <c r="D282" s="430"/>
      <c r="E282" s="450">
        <v>13.3</v>
      </c>
      <c r="F282" s="450">
        <v>0.7</v>
      </c>
      <c r="G282" s="450">
        <v>0.1</v>
      </c>
      <c r="H282" s="450">
        <v>12</v>
      </c>
      <c r="I282" s="374">
        <v>113.05</v>
      </c>
      <c r="J282" s="435"/>
    </row>
    <row r="283" spans="2:11" x14ac:dyDescent="0.3">
      <c r="B283" s="432"/>
      <c r="C283" s="300" t="s">
        <v>1317</v>
      </c>
      <c r="D283" s="430"/>
      <c r="E283" s="450">
        <v>13.3</v>
      </c>
      <c r="F283" s="450">
        <v>0.8</v>
      </c>
      <c r="G283" s="450">
        <v>0.2</v>
      </c>
      <c r="H283" s="450">
        <v>2</v>
      </c>
      <c r="I283" s="374">
        <v>23.94</v>
      </c>
      <c r="J283" s="435"/>
    </row>
    <row r="284" spans="2:11" x14ac:dyDescent="0.3">
      <c r="B284" s="432"/>
      <c r="C284" s="300" t="s">
        <v>1318</v>
      </c>
      <c r="D284" s="430"/>
      <c r="E284" s="450"/>
      <c r="F284" s="450"/>
      <c r="G284" s="450"/>
      <c r="H284" s="450"/>
      <c r="I284" s="374"/>
      <c r="J284" s="435"/>
    </row>
    <row r="285" spans="2:11" x14ac:dyDescent="0.3">
      <c r="B285" s="432"/>
      <c r="C285" s="300" t="s">
        <v>1316</v>
      </c>
      <c r="D285" s="430"/>
      <c r="E285" s="450">
        <v>13.3</v>
      </c>
      <c r="F285" s="450">
        <v>0.7</v>
      </c>
      <c r="G285" s="450">
        <v>0.1</v>
      </c>
      <c r="H285" s="450">
        <v>12</v>
      </c>
      <c r="I285" s="374">
        <v>113.05</v>
      </c>
      <c r="J285" s="435"/>
    </row>
    <row r="286" spans="2:11" x14ac:dyDescent="0.3">
      <c r="B286" s="432"/>
      <c r="C286" s="300" t="s">
        <v>1317</v>
      </c>
      <c r="D286" s="430"/>
      <c r="E286" s="450">
        <v>13.3</v>
      </c>
      <c r="F286" s="450">
        <v>0.8</v>
      </c>
      <c r="G286" s="450">
        <v>0.2</v>
      </c>
      <c r="H286" s="450">
        <v>2</v>
      </c>
      <c r="I286" s="374">
        <v>23.94</v>
      </c>
      <c r="J286" s="435"/>
    </row>
    <row r="287" spans="2:11" x14ac:dyDescent="0.3">
      <c r="B287" s="432" t="s">
        <v>434</v>
      </c>
      <c r="C287" s="300" t="s">
        <v>844</v>
      </c>
      <c r="D287" s="430" t="s">
        <v>274</v>
      </c>
      <c r="E287" s="450"/>
      <c r="F287" s="450"/>
      <c r="G287" s="450"/>
      <c r="H287" s="450"/>
      <c r="I287" s="374"/>
      <c r="J287" s="435">
        <f>SUM(I289:I292)</f>
        <v>1320.5599999999997</v>
      </c>
    </row>
    <row r="288" spans="2:11" x14ac:dyDescent="0.3">
      <c r="B288" s="432"/>
      <c r="C288" s="300" t="s">
        <v>1327</v>
      </c>
      <c r="D288" s="430"/>
      <c r="E288" s="450" t="s">
        <v>1330</v>
      </c>
      <c r="F288" s="450"/>
      <c r="G288" s="450" t="s">
        <v>1331</v>
      </c>
      <c r="H288" s="450"/>
      <c r="I288" s="374"/>
      <c r="J288" s="435"/>
    </row>
    <row r="289" spans="2:10" x14ac:dyDescent="0.3">
      <c r="B289" s="432"/>
      <c r="C289" s="300" t="s">
        <v>1329</v>
      </c>
      <c r="D289" s="430"/>
      <c r="E289" s="450">
        <v>6</v>
      </c>
      <c r="F289" s="450"/>
      <c r="G289" s="450">
        <v>0.4</v>
      </c>
      <c r="H289" s="450">
        <v>18</v>
      </c>
      <c r="I289" s="374">
        <v>597.24</v>
      </c>
      <c r="J289" s="435"/>
    </row>
    <row r="290" spans="2:10" x14ac:dyDescent="0.3">
      <c r="B290" s="432"/>
      <c r="C290" s="300"/>
      <c r="D290" s="430"/>
      <c r="E290" s="450">
        <v>47</v>
      </c>
      <c r="F290" s="450"/>
      <c r="G290" s="450">
        <v>0.4</v>
      </c>
      <c r="H290" s="450">
        <v>18</v>
      </c>
      <c r="I290" s="374">
        <v>534.66999999999996</v>
      </c>
      <c r="J290" s="435"/>
    </row>
    <row r="291" spans="2:10" x14ac:dyDescent="0.3">
      <c r="B291" s="432"/>
      <c r="C291" s="300" t="s">
        <v>1328</v>
      </c>
      <c r="D291" s="430"/>
      <c r="E291" s="450">
        <v>6</v>
      </c>
      <c r="F291" s="450"/>
      <c r="G291" s="450">
        <v>0.4</v>
      </c>
      <c r="H291" s="450">
        <v>3</v>
      </c>
      <c r="I291" s="374">
        <v>99.54</v>
      </c>
      <c r="J291" s="435"/>
    </row>
    <row r="292" spans="2:10" x14ac:dyDescent="0.3">
      <c r="B292" s="432"/>
      <c r="C292" s="300" t="s">
        <v>1329</v>
      </c>
      <c r="D292" s="430"/>
      <c r="E292" s="450">
        <v>47</v>
      </c>
      <c r="F292" s="450"/>
      <c r="G292" s="450">
        <v>0.4</v>
      </c>
      <c r="H292" s="450">
        <v>3</v>
      </c>
      <c r="I292" s="374">
        <v>89.11</v>
      </c>
      <c r="J292" s="435"/>
    </row>
    <row r="293" spans="2:10" x14ac:dyDescent="0.3">
      <c r="B293" s="428">
        <v>2.04</v>
      </c>
      <c r="C293" s="429" t="s">
        <v>850</v>
      </c>
      <c r="D293" s="439" t="s">
        <v>160</v>
      </c>
      <c r="E293" s="450"/>
      <c r="F293" s="450"/>
      <c r="G293" s="450"/>
      <c r="H293" s="450"/>
      <c r="I293" s="450"/>
      <c r="J293" s="440"/>
    </row>
    <row r="294" spans="2:10" x14ac:dyDescent="0.3">
      <c r="B294" s="432" t="s">
        <v>200</v>
      </c>
      <c r="C294" s="300" t="s">
        <v>850</v>
      </c>
      <c r="D294" s="430" t="s">
        <v>89</v>
      </c>
      <c r="E294" s="450"/>
      <c r="F294" s="450"/>
      <c r="G294" s="450"/>
      <c r="H294" s="450">
        <v>0.4</v>
      </c>
      <c r="I294" s="450">
        <v>0.4</v>
      </c>
      <c r="J294" s="435">
        <v>0.4</v>
      </c>
    </row>
    <row r="295" spans="2:10" x14ac:dyDescent="0.3">
      <c r="B295" s="432"/>
      <c r="C295" s="300" t="s">
        <v>1319</v>
      </c>
      <c r="D295" s="430"/>
      <c r="E295" s="450"/>
      <c r="F295" s="450"/>
      <c r="G295" s="450"/>
      <c r="H295" s="450"/>
      <c r="I295" s="450"/>
      <c r="J295" s="435"/>
    </row>
    <row r="296" spans="2:10" x14ac:dyDescent="0.3">
      <c r="B296" s="432"/>
      <c r="C296" s="300" t="s">
        <v>1320</v>
      </c>
      <c r="D296" s="430"/>
      <c r="E296" s="450"/>
      <c r="F296" s="450"/>
      <c r="G296" s="450"/>
      <c r="H296" s="450"/>
      <c r="I296" s="450"/>
      <c r="J296" s="435"/>
    </row>
    <row r="297" spans="2:10" x14ac:dyDescent="0.3">
      <c r="B297" s="432"/>
      <c r="C297" s="300" t="s">
        <v>1321</v>
      </c>
      <c r="D297" s="430"/>
      <c r="E297" s="450"/>
      <c r="F297" s="450"/>
      <c r="G297" s="450"/>
      <c r="H297" s="450"/>
      <c r="I297" s="450"/>
      <c r="J297" s="435"/>
    </row>
    <row r="298" spans="2:10" x14ac:dyDescent="0.3">
      <c r="B298" s="432"/>
      <c r="C298" s="300" t="s">
        <v>1322</v>
      </c>
      <c r="D298" s="430"/>
      <c r="E298" s="450"/>
      <c r="F298" s="450"/>
      <c r="G298" s="450"/>
      <c r="H298" s="450"/>
      <c r="I298" s="450"/>
      <c r="J298" s="435"/>
    </row>
    <row r="299" spans="2:10" x14ac:dyDescent="0.3">
      <c r="B299" s="432"/>
      <c r="C299" s="300" t="s">
        <v>1323</v>
      </c>
      <c r="D299" s="430"/>
      <c r="E299" s="450"/>
      <c r="F299" s="450"/>
      <c r="G299" s="450"/>
      <c r="H299" s="450"/>
      <c r="I299" s="450"/>
      <c r="J299" s="435"/>
    </row>
    <row r="300" spans="2:10" x14ac:dyDescent="0.3">
      <c r="B300" s="432"/>
      <c r="C300" s="300" t="s">
        <v>1324</v>
      </c>
      <c r="D300" s="430"/>
      <c r="E300" s="450"/>
      <c r="F300" s="450"/>
      <c r="G300" s="450"/>
      <c r="H300" s="450"/>
      <c r="I300" s="450"/>
      <c r="J300" s="435"/>
    </row>
    <row r="301" spans="2:10" x14ac:dyDescent="0.3">
      <c r="B301" s="432"/>
      <c r="C301" s="300" t="s">
        <v>1325</v>
      </c>
      <c r="D301" s="430"/>
      <c r="E301" s="450"/>
      <c r="F301" s="450"/>
      <c r="G301" s="450"/>
      <c r="H301" s="450"/>
      <c r="I301" s="450"/>
      <c r="J301" s="435"/>
    </row>
    <row r="302" spans="2:10" x14ac:dyDescent="0.3">
      <c r="B302" s="432"/>
      <c r="C302" s="300" t="s">
        <v>1326</v>
      </c>
      <c r="D302" s="430"/>
      <c r="E302" s="450"/>
      <c r="F302" s="450"/>
      <c r="G302" s="450"/>
      <c r="H302" s="450"/>
      <c r="I302" s="450"/>
      <c r="J302" s="435"/>
    </row>
    <row r="303" spans="2:10" x14ac:dyDescent="0.3">
      <c r="B303" s="428" t="s">
        <v>288</v>
      </c>
      <c r="C303" s="429" t="s">
        <v>812</v>
      </c>
      <c r="D303" s="439" t="s">
        <v>160</v>
      </c>
      <c r="E303" s="450"/>
      <c r="F303" s="450"/>
      <c r="G303" s="450"/>
      <c r="H303" s="450"/>
      <c r="I303" s="450"/>
      <c r="J303" s="431"/>
    </row>
    <row r="304" spans="2:10" x14ac:dyDescent="0.3">
      <c r="B304" s="432" t="s">
        <v>248</v>
      </c>
      <c r="C304" s="300" t="s">
        <v>1114</v>
      </c>
      <c r="D304" s="430" t="s">
        <v>275</v>
      </c>
      <c r="E304" s="450"/>
      <c r="F304" s="450"/>
      <c r="G304" s="450"/>
      <c r="H304" s="450">
        <v>1</v>
      </c>
      <c r="I304" s="450">
        <v>1</v>
      </c>
      <c r="J304" s="435">
        <v>1</v>
      </c>
    </row>
    <row r="305" spans="2:10" x14ac:dyDescent="0.3">
      <c r="B305" s="441" t="s">
        <v>289</v>
      </c>
      <c r="C305" s="442" t="s">
        <v>281</v>
      </c>
      <c r="D305" s="437" t="s">
        <v>160</v>
      </c>
      <c r="E305" s="450" t="s">
        <v>160</v>
      </c>
      <c r="F305" s="450" t="s">
        <v>160</v>
      </c>
      <c r="G305" s="450" t="s">
        <v>160</v>
      </c>
      <c r="H305" s="450" t="s">
        <v>160</v>
      </c>
      <c r="I305" s="450" t="s">
        <v>160</v>
      </c>
      <c r="J305" s="437" t="s">
        <v>160</v>
      </c>
    </row>
    <row r="306" spans="2:10" x14ac:dyDescent="0.3">
      <c r="B306" s="428" t="s">
        <v>290</v>
      </c>
      <c r="C306" s="434" t="s">
        <v>766</v>
      </c>
      <c r="D306" s="439" t="s">
        <v>160</v>
      </c>
      <c r="E306" s="450"/>
      <c r="F306" s="450"/>
      <c r="G306" s="450"/>
      <c r="H306" s="450"/>
      <c r="I306" s="450"/>
      <c r="J306" s="440"/>
    </row>
    <row r="307" spans="2:10" x14ac:dyDescent="0.3">
      <c r="B307" s="428" t="s">
        <v>291</v>
      </c>
      <c r="C307" s="429" t="s">
        <v>1121</v>
      </c>
      <c r="D307" s="430" t="s">
        <v>160</v>
      </c>
      <c r="E307" s="450"/>
      <c r="F307" s="450"/>
      <c r="G307" s="450"/>
      <c r="H307" s="450"/>
      <c r="I307" s="450"/>
      <c r="J307" s="435"/>
    </row>
    <row r="308" spans="2:10" x14ac:dyDescent="0.3">
      <c r="B308" s="432" t="s">
        <v>254</v>
      </c>
      <c r="C308" s="300" t="s">
        <v>1122</v>
      </c>
      <c r="D308" s="430" t="s">
        <v>89</v>
      </c>
      <c r="E308" s="450"/>
      <c r="F308" s="450"/>
      <c r="G308" s="450"/>
      <c r="H308" s="450">
        <v>2</v>
      </c>
      <c r="I308" s="450">
        <v>2</v>
      </c>
      <c r="J308" s="435">
        <v>2</v>
      </c>
    </row>
    <row r="309" spans="2:10" x14ac:dyDescent="0.3">
      <c r="B309" s="432" t="s">
        <v>255</v>
      </c>
      <c r="C309" s="300" t="s">
        <v>1123</v>
      </c>
      <c r="D309" s="430" t="s">
        <v>89</v>
      </c>
      <c r="E309" s="450"/>
      <c r="F309" s="450"/>
      <c r="G309" s="450"/>
      <c r="H309" s="450">
        <v>3</v>
      </c>
      <c r="I309" s="450">
        <v>3</v>
      </c>
      <c r="J309" s="435">
        <v>3</v>
      </c>
    </row>
    <row r="310" spans="2:10" x14ac:dyDescent="0.3">
      <c r="B310" s="432" t="s">
        <v>256</v>
      </c>
      <c r="C310" s="300" t="s">
        <v>1124</v>
      </c>
      <c r="D310" s="430" t="s">
        <v>89</v>
      </c>
      <c r="E310" s="450"/>
      <c r="F310" s="450"/>
      <c r="G310" s="450"/>
      <c r="H310" s="450">
        <v>1</v>
      </c>
      <c r="I310" s="450">
        <v>1</v>
      </c>
      <c r="J310" s="435">
        <v>1</v>
      </c>
    </row>
    <row r="311" spans="2:10" x14ac:dyDescent="0.3">
      <c r="B311" s="428" t="s">
        <v>292</v>
      </c>
      <c r="C311" s="429" t="s">
        <v>1125</v>
      </c>
      <c r="D311" s="439" t="s">
        <v>160</v>
      </c>
      <c r="E311" s="450"/>
      <c r="F311" s="450"/>
      <c r="G311" s="450"/>
      <c r="H311" s="450"/>
      <c r="I311" s="450"/>
      <c r="J311" s="440"/>
    </row>
    <row r="312" spans="2:10" x14ac:dyDescent="0.3">
      <c r="B312" s="428" t="s">
        <v>257</v>
      </c>
      <c r="C312" s="429" t="s">
        <v>1126</v>
      </c>
      <c r="D312" s="439" t="s">
        <v>160</v>
      </c>
      <c r="E312" s="450"/>
      <c r="F312" s="450"/>
      <c r="G312" s="450"/>
      <c r="H312" s="450"/>
      <c r="I312" s="450"/>
      <c r="J312" s="440"/>
    </row>
    <row r="313" spans="2:10" x14ac:dyDescent="0.3">
      <c r="B313" s="432" t="s">
        <v>691</v>
      </c>
      <c r="C313" s="300" t="s">
        <v>1127</v>
      </c>
      <c r="D313" s="430" t="s">
        <v>275</v>
      </c>
      <c r="E313" s="450"/>
      <c r="F313" s="450"/>
      <c r="G313" s="450"/>
      <c r="H313" s="450">
        <v>27</v>
      </c>
      <c r="I313" s="450">
        <v>27</v>
      </c>
      <c r="J313" s="435">
        <v>27</v>
      </c>
    </row>
    <row r="314" spans="2:10" x14ac:dyDescent="0.3">
      <c r="B314" s="428" t="s">
        <v>258</v>
      </c>
      <c r="C314" s="429" t="s">
        <v>1128</v>
      </c>
      <c r="D314" s="439" t="s">
        <v>160</v>
      </c>
      <c r="E314" s="450"/>
      <c r="F314" s="450"/>
      <c r="G314" s="450"/>
      <c r="H314" s="450"/>
      <c r="I314" s="450"/>
      <c r="J314" s="440"/>
    </row>
    <row r="315" spans="2:10" x14ac:dyDescent="0.3">
      <c r="B315" s="432" t="s">
        <v>692</v>
      </c>
      <c r="C315" s="300" t="s">
        <v>1129</v>
      </c>
      <c r="D315" s="430" t="s">
        <v>275</v>
      </c>
      <c r="E315" s="431"/>
      <c r="F315" s="431"/>
      <c r="G315" s="431"/>
      <c r="H315" s="435">
        <v>5</v>
      </c>
      <c r="I315" s="435">
        <v>5</v>
      </c>
      <c r="J315" s="435">
        <v>5</v>
      </c>
    </row>
    <row r="316" spans="2:10" x14ac:dyDescent="0.3">
      <c r="B316" s="432" t="s">
        <v>693</v>
      </c>
      <c r="C316" s="300" t="s">
        <v>1130</v>
      </c>
      <c r="D316" s="430" t="s">
        <v>275</v>
      </c>
      <c r="E316" s="431"/>
      <c r="F316" s="431"/>
      <c r="G316" s="431"/>
      <c r="H316" s="435">
        <v>2</v>
      </c>
      <c r="I316" s="435">
        <v>2</v>
      </c>
      <c r="J316" s="435">
        <v>2</v>
      </c>
    </row>
    <row r="317" spans="2:10" x14ac:dyDescent="0.3">
      <c r="B317" s="432" t="s">
        <v>694</v>
      </c>
      <c r="C317" s="300" t="s">
        <v>1131</v>
      </c>
      <c r="D317" s="430" t="s">
        <v>275</v>
      </c>
      <c r="E317" s="431"/>
      <c r="F317" s="431"/>
      <c r="G317" s="431"/>
      <c r="H317" s="435">
        <v>3</v>
      </c>
      <c r="I317" s="435">
        <v>3</v>
      </c>
      <c r="J317" s="435">
        <v>3</v>
      </c>
    </row>
    <row r="318" spans="2:10" x14ac:dyDescent="0.3">
      <c r="B318" s="428" t="s">
        <v>259</v>
      </c>
      <c r="C318" s="429" t="s">
        <v>1132</v>
      </c>
      <c r="D318" s="439" t="s">
        <v>160</v>
      </c>
      <c r="E318" s="431"/>
      <c r="F318" s="431"/>
      <c r="G318" s="431"/>
      <c r="H318" s="431"/>
      <c r="I318" s="431"/>
      <c r="J318" s="440"/>
    </row>
    <row r="319" spans="2:10" x14ac:dyDescent="0.3">
      <c r="B319" s="432" t="s">
        <v>695</v>
      </c>
      <c r="C319" s="300" t="s">
        <v>1133</v>
      </c>
      <c r="D319" s="430" t="s">
        <v>275</v>
      </c>
      <c r="E319" s="431"/>
      <c r="F319" s="431"/>
      <c r="G319" s="431"/>
      <c r="H319" s="435">
        <v>4</v>
      </c>
      <c r="I319" s="435">
        <v>4</v>
      </c>
      <c r="J319" s="435">
        <v>4</v>
      </c>
    </row>
    <row r="320" spans="2:10" x14ac:dyDescent="0.3">
      <c r="B320" s="432" t="s">
        <v>696</v>
      </c>
      <c r="C320" s="300" t="s">
        <v>1134</v>
      </c>
      <c r="D320" s="430" t="s">
        <v>275</v>
      </c>
      <c r="E320" s="431"/>
      <c r="F320" s="431"/>
      <c r="G320" s="431"/>
      <c r="H320" s="435">
        <v>4</v>
      </c>
      <c r="I320" s="435">
        <v>4</v>
      </c>
      <c r="J320" s="435">
        <v>4</v>
      </c>
    </row>
    <row r="321" spans="2:10" x14ac:dyDescent="0.3">
      <c r="B321" s="432" t="s">
        <v>260</v>
      </c>
      <c r="C321" s="300" t="s">
        <v>273</v>
      </c>
      <c r="D321" s="439" t="s">
        <v>160</v>
      </c>
      <c r="E321" s="431"/>
      <c r="F321" s="431"/>
      <c r="G321" s="431"/>
      <c r="H321" s="431"/>
      <c r="I321" s="431"/>
      <c r="J321" s="440"/>
    </row>
    <row r="322" spans="2:10" x14ac:dyDescent="0.3">
      <c r="B322" s="428" t="s">
        <v>697</v>
      </c>
      <c r="C322" s="429" t="s">
        <v>1135</v>
      </c>
      <c r="D322" s="430" t="s">
        <v>275</v>
      </c>
      <c r="E322" s="431"/>
      <c r="F322" s="431"/>
      <c r="G322" s="431"/>
      <c r="H322" s="435">
        <v>1</v>
      </c>
      <c r="I322" s="435">
        <v>1</v>
      </c>
      <c r="J322" s="435">
        <v>1</v>
      </c>
    </row>
    <row r="323" spans="2:10" x14ac:dyDescent="0.3">
      <c r="B323" s="432" t="s">
        <v>698</v>
      </c>
      <c r="C323" s="300" t="s">
        <v>1136</v>
      </c>
      <c r="D323" s="430" t="s">
        <v>275</v>
      </c>
      <c r="E323" s="431"/>
      <c r="F323" s="431"/>
      <c r="G323" s="431"/>
      <c r="H323" s="435">
        <v>1</v>
      </c>
      <c r="I323" s="435">
        <v>1</v>
      </c>
      <c r="J323" s="435">
        <v>1</v>
      </c>
    </row>
    <row r="324" spans="2:10" x14ac:dyDescent="0.3">
      <c r="B324" s="432" t="s">
        <v>293</v>
      </c>
      <c r="C324" s="300" t="s">
        <v>1137</v>
      </c>
      <c r="D324" s="430" t="s">
        <v>160</v>
      </c>
      <c r="E324" s="431"/>
      <c r="F324" s="431"/>
      <c r="G324" s="431"/>
      <c r="H324" s="431"/>
      <c r="I324" s="431"/>
      <c r="J324" s="435"/>
    </row>
    <row r="325" spans="2:10" x14ac:dyDescent="0.3">
      <c r="B325" s="428" t="s">
        <v>294</v>
      </c>
      <c r="C325" s="429" t="s">
        <v>1138</v>
      </c>
      <c r="D325" s="430"/>
      <c r="E325" s="431"/>
      <c r="F325" s="431"/>
      <c r="G325" s="431"/>
      <c r="H325" s="431"/>
      <c r="I325" s="431"/>
      <c r="J325" s="435"/>
    </row>
    <row r="326" spans="2:10" x14ac:dyDescent="0.3">
      <c r="B326" s="432" t="s">
        <v>295</v>
      </c>
      <c r="C326" s="300" t="s">
        <v>1139</v>
      </c>
      <c r="D326" s="430" t="s">
        <v>275</v>
      </c>
      <c r="E326" s="431"/>
      <c r="F326" s="431"/>
      <c r="G326" s="431"/>
      <c r="H326" s="435">
        <v>2</v>
      </c>
      <c r="I326" s="435">
        <v>2</v>
      </c>
      <c r="J326" s="435">
        <v>2</v>
      </c>
    </row>
    <row r="327" spans="2:10" x14ac:dyDescent="0.3">
      <c r="B327" s="432" t="s">
        <v>296</v>
      </c>
      <c r="C327" s="300" t="s">
        <v>1140</v>
      </c>
      <c r="D327" s="430" t="s">
        <v>275</v>
      </c>
      <c r="E327" s="431"/>
      <c r="F327" s="431"/>
      <c r="G327" s="431"/>
      <c r="H327" s="435">
        <v>1</v>
      </c>
      <c r="I327" s="435">
        <v>1</v>
      </c>
      <c r="J327" s="435">
        <v>1</v>
      </c>
    </row>
    <row r="328" spans="2:10" x14ac:dyDescent="0.3">
      <c r="B328" s="432" t="s">
        <v>297</v>
      </c>
      <c r="C328" s="300" t="s">
        <v>1141</v>
      </c>
      <c r="D328" s="430" t="s">
        <v>275</v>
      </c>
      <c r="E328" s="431"/>
      <c r="F328" s="431"/>
      <c r="G328" s="431"/>
      <c r="H328" s="435">
        <v>1</v>
      </c>
      <c r="I328" s="435">
        <v>1</v>
      </c>
      <c r="J328" s="435">
        <v>1</v>
      </c>
    </row>
    <row r="329" spans="2:10" x14ac:dyDescent="0.3">
      <c r="B329" s="432" t="s">
        <v>298</v>
      </c>
      <c r="C329" s="300" t="s">
        <v>1142</v>
      </c>
      <c r="D329" s="430" t="s">
        <v>275</v>
      </c>
      <c r="E329" s="431"/>
      <c r="F329" s="431"/>
      <c r="G329" s="431"/>
      <c r="H329" s="435">
        <v>3</v>
      </c>
      <c r="I329" s="435">
        <v>3</v>
      </c>
      <c r="J329" s="435">
        <v>3</v>
      </c>
    </row>
    <row r="330" spans="2:10" x14ac:dyDescent="0.3">
      <c r="B330" s="432" t="s">
        <v>299</v>
      </c>
      <c r="C330" s="300" t="s">
        <v>1143</v>
      </c>
      <c r="D330" s="430" t="s">
        <v>275</v>
      </c>
      <c r="E330" s="431"/>
      <c r="F330" s="431"/>
      <c r="G330" s="431"/>
      <c r="H330" s="435">
        <v>4</v>
      </c>
      <c r="I330" s="435">
        <v>4</v>
      </c>
      <c r="J330" s="435">
        <v>4</v>
      </c>
    </row>
    <row r="331" spans="2:10" x14ac:dyDescent="0.3">
      <c r="B331" s="432" t="s">
        <v>261</v>
      </c>
      <c r="C331" s="300" t="s">
        <v>1144</v>
      </c>
      <c r="D331" s="430" t="s">
        <v>275</v>
      </c>
      <c r="E331" s="431"/>
      <c r="F331" s="431"/>
      <c r="G331" s="431"/>
      <c r="H331" s="435">
        <v>1</v>
      </c>
      <c r="I331" s="435">
        <v>1</v>
      </c>
      <c r="J331" s="435">
        <v>1</v>
      </c>
    </row>
    <row r="332" spans="2:10" x14ac:dyDescent="0.3">
      <c r="B332" s="428" t="s">
        <v>262</v>
      </c>
      <c r="C332" s="429" t="s">
        <v>1145</v>
      </c>
      <c r="D332" s="439" t="s">
        <v>160</v>
      </c>
      <c r="E332" s="431"/>
      <c r="F332" s="431"/>
      <c r="G332" s="431"/>
      <c r="H332" s="431"/>
      <c r="I332" s="431"/>
      <c r="J332" s="440"/>
    </row>
    <row r="333" spans="2:10" x14ac:dyDescent="0.3">
      <c r="B333" s="428" t="s">
        <v>263</v>
      </c>
      <c r="C333" s="429" t="s">
        <v>1146</v>
      </c>
      <c r="D333" s="430"/>
      <c r="E333" s="431"/>
      <c r="F333" s="431"/>
      <c r="G333" s="431"/>
      <c r="H333" s="431"/>
      <c r="I333" s="431"/>
      <c r="J333" s="435"/>
    </row>
    <row r="334" spans="2:10" x14ac:dyDescent="0.3">
      <c r="B334" s="432" t="s">
        <v>264</v>
      </c>
      <c r="C334" s="300" t="s">
        <v>1147</v>
      </c>
      <c r="D334" s="430" t="s">
        <v>94</v>
      </c>
      <c r="E334" s="431"/>
      <c r="F334" s="431"/>
      <c r="G334" s="431"/>
      <c r="H334" s="435">
        <v>55.1</v>
      </c>
      <c r="I334" s="435">
        <v>55.1</v>
      </c>
      <c r="J334" s="435">
        <v>55.1</v>
      </c>
    </row>
    <row r="335" spans="2:10" x14ac:dyDescent="0.3">
      <c r="B335" s="298" t="s">
        <v>264</v>
      </c>
      <c r="C335" s="300" t="s">
        <v>1147</v>
      </c>
      <c r="D335" s="430" t="s">
        <v>94</v>
      </c>
      <c r="E335" s="431"/>
      <c r="F335" s="431"/>
      <c r="G335" s="431"/>
      <c r="H335" s="451">
        <v>38.9</v>
      </c>
      <c r="I335" s="451">
        <v>38.9</v>
      </c>
      <c r="J335" s="451">
        <v>38.9</v>
      </c>
    </row>
  </sheetData>
  <mergeCells count="8">
    <mergeCell ref="C7:J7"/>
    <mergeCell ref="B8:J8"/>
    <mergeCell ref="B1:C1"/>
    <mergeCell ref="B2:J2"/>
    <mergeCell ref="C3:J3"/>
    <mergeCell ref="C4:J4"/>
    <mergeCell ref="C5:J5"/>
    <mergeCell ref="C6:J6"/>
  </mergeCells>
  <phoneticPr fontId="47" type="noConversion"/>
  <pageMargins left="0.70866141732283472" right="0.70866141732283472" top="0.74803149606299213" bottom="0.74803149606299213" header="0.31496062992125984" footer="0.31496062992125984"/>
  <pageSetup scale="48" orientation="portrait" horizontalDpi="1200" verticalDpi="1200" r:id="rId1"/>
  <ignoredErrors>
    <ignoredError sqref="I17:I18 I34 I38:I42 I60 I44" unlockedFormula="1"/>
    <ignoredError sqref="I50" formula="1" unlocked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B1:L100"/>
  <sheetViews>
    <sheetView view="pageBreakPreview" topLeftCell="A13" zoomScaleNormal="98" zoomScaleSheetLayoutView="100" workbookViewId="0">
      <selection activeCell="C76" sqref="C76"/>
    </sheetView>
  </sheetViews>
  <sheetFormatPr baseColWidth="10" defaultColWidth="8" defaultRowHeight="15.6" x14ac:dyDescent="0.3"/>
  <cols>
    <col min="1" max="1" width="2" style="1" customWidth="1"/>
    <col min="2" max="2" width="14" style="1" customWidth="1"/>
    <col min="3" max="3" width="92" style="1" customWidth="1"/>
    <col min="4" max="4" width="9.5546875" style="6" customWidth="1"/>
    <col min="5" max="5" width="17.109375" style="1" hidden="1" customWidth="1"/>
    <col min="6" max="6" width="18.109375" style="1" hidden="1" customWidth="1"/>
    <col min="7" max="7" width="25" style="1" hidden="1" customWidth="1"/>
    <col min="8" max="8" width="17.44140625" style="1" hidden="1" customWidth="1"/>
    <col min="9" max="9" width="24.5546875" style="1" hidden="1" customWidth="1"/>
    <col min="10" max="10" width="9.5546875" style="1" customWidth="1"/>
    <col min="11" max="11" width="9" style="1" bestFit="1" customWidth="1"/>
    <col min="12" max="16384" width="8" style="1"/>
  </cols>
  <sheetData>
    <row r="1" spans="2:12" ht="27" customHeight="1" thickBot="1" x14ac:dyDescent="0.35">
      <c r="B1" s="619"/>
      <c r="C1" s="620"/>
      <c r="D1" s="25"/>
      <c r="E1" s="25"/>
      <c r="F1" s="26"/>
      <c r="G1" s="26"/>
    </row>
    <row r="2" spans="2:12" ht="21" customHeight="1" thickBot="1" x14ac:dyDescent="0.35">
      <c r="B2" s="626" t="s">
        <v>1260</v>
      </c>
      <c r="C2" s="627"/>
      <c r="D2" s="627"/>
      <c r="E2" s="627"/>
      <c r="F2" s="627"/>
      <c r="G2" s="627"/>
      <c r="H2" s="627"/>
      <c r="I2" s="627"/>
      <c r="J2" s="628"/>
    </row>
    <row r="3" spans="2:12" ht="48.75" customHeight="1" x14ac:dyDescent="0.3">
      <c r="B3" s="181" t="s">
        <v>59</v>
      </c>
      <c r="C3" s="635" t="str">
        <f>+FICHA!E4</f>
        <v xml:space="preserve">"CONSTRUCCION DE NICHO, COLUMBARIO Y CREMATORIO; REMODELACION DE VELATORIO; EN EL (LA) CEMENTERIO MUNICIPAL EN EL CENTRO POBLADO SANTIAGO DE SURCO, DISTRITO DE SANTIAGO DE SURCO, PROVINCIA LIMA, DEPARTAMENTO LIMA" CUI N| 2658565 - ETAPA COLUMBARIO. </v>
      </c>
      <c r="D3" s="636"/>
      <c r="E3" s="636"/>
      <c r="F3" s="636"/>
      <c r="G3" s="636"/>
      <c r="H3" s="636"/>
      <c r="I3" s="636"/>
      <c r="J3" s="637"/>
    </row>
    <row r="4" spans="2:12" ht="15" customHeight="1" x14ac:dyDescent="0.3">
      <c r="B4" s="182" t="s">
        <v>59</v>
      </c>
      <c r="C4" s="629" t="str">
        <f>+FICHA!E9</f>
        <v>CONSORCIO LIMA</v>
      </c>
      <c r="D4" s="630"/>
      <c r="E4" s="630"/>
      <c r="F4" s="630"/>
      <c r="G4" s="630"/>
      <c r="H4" s="630"/>
      <c r="I4" s="630"/>
      <c r="J4" s="631"/>
    </row>
    <row r="5" spans="2:12" ht="15" customHeight="1" x14ac:dyDescent="0.3">
      <c r="B5" s="182" t="s">
        <v>104</v>
      </c>
      <c r="C5" s="629" t="s">
        <v>304</v>
      </c>
      <c r="D5" s="630"/>
      <c r="E5" s="630"/>
      <c r="F5" s="630"/>
      <c r="G5" s="630"/>
      <c r="H5" s="630"/>
      <c r="I5" s="630"/>
      <c r="J5" s="631"/>
    </row>
    <row r="6" spans="2:12" x14ac:dyDescent="0.3">
      <c r="B6" s="182" t="s">
        <v>74</v>
      </c>
      <c r="C6" s="629" t="str">
        <f>+FICHA!E11</f>
        <v>ING. GUIDO JAVIER VALVERDE TRUJILLO</v>
      </c>
      <c r="D6" s="630"/>
      <c r="E6" s="630"/>
      <c r="F6" s="630"/>
      <c r="G6" s="630"/>
      <c r="H6" s="630"/>
      <c r="I6" s="630"/>
      <c r="J6" s="631"/>
    </row>
    <row r="7" spans="2:12" ht="16.2" thickBot="1" x14ac:dyDescent="0.35">
      <c r="B7" s="183" t="s">
        <v>76</v>
      </c>
      <c r="C7" s="638" t="str">
        <f>+FICHA!E10</f>
        <v>ING. JOSE ISMAEL MOSCOSO PINGO</v>
      </c>
      <c r="D7" s="639"/>
      <c r="E7" s="639"/>
      <c r="F7" s="639"/>
      <c r="G7" s="639"/>
      <c r="H7" s="639"/>
      <c r="I7" s="639"/>
      <c r="J7" s="640"/>
    </row>
    <row r="8" spans="2:12" ht="20.25" customHeight="1" thickBot="1" x14ac:dyDescent="0.35">
      <c r="B8" s="651" t="s">
        <v>203</v>
      </c>
      <c r="C8" s="651"/>
      <c r="D8" s="651"/>
      <c r="E8" s="651"/>
      <c r="F8" s="651"/>
      <c r="G8" s="651"/>
      <c r="H8" s="180"/>
      <c r="I8" s="180"/>
      <c r="J8" s="289"/>
    </row>
    <row r="9" spans="2:12" ht="18.75" customHeight="1" x14ac:dyDescent="0.3">
      <c r="B9" s="652" t="s">
        <v>5</v>
      </c>
      <c r="C9" s="623" t="s">
        <v>78</v>
      </c>
      <c r="D9" s="641" t="s">
        <v>105</v>
      </c>
      <c r="E9" s="642"/>
      <c r="F9" s="642"/>
      <c r="G9" s="643"/>
      <c r="H9" s="641" t="s">
        <v>106</v>
      </c>
      <c r="I9" s="642"/>
      <c r="J9" s="643"/>
    </row>
    <row r="10" spans="2:12" ht="15.75" hidden="1" customHeight="1" x14ac:dyDescent="0.3">
      <c r="B10" s="653"/>
      <c r="C10" s="624"/>
      <c r="D10" s="644"/>
      <c r="E10" s="645"/>
      <c r="F10" s="645"/>
      <c r="G10" s="646"/>
      <c r="H10" s="644"/>
      <c r="I10" s="645"/>
      <c r="J10" s="646"/>
    </row>
    <row r="11" spans="2:12" s="2" customFormat="1" ht="15.75" hidden="1" customHeight="1" x14ac:dyDescent="0.3">
      <c r="B11" s="653"/>
      <c r="C11" s="624"/>
      <c r="D11" s="644"/>
      <c r="E11" s="645"/>
      <c r="F11" s="645"/>
      <c r="G11" s="646"/>
      <c r="H11" s="644"/>
      <c r="I11" s="645"/>
      <c r="J11" s="646"/>
    </row>
    <row r="12" spans="2:12" s="2" customFormat="1" ht="23.4" hidden="1" customHeight="1" thickBot="1" x14ac:dyDescent="0.35">
      <c r="B12" s="653"/>
      <c r="C12" s="624"/>
      <c r="D12" s="644"/>
      <c r="E12" s="645"/>
      <c r="F12" s="645"/>
      <c r="G12" s="646"/>
      <c r="H12" s="644"/>
      <c r="I12" s="645"/>
      <c r="J12" s="646"/>
    </row>
    <row r="13" spans="2:12" s="2" customFormat="1" ht="6" customHeight="1" thickBot="1" x14ac:dyDescent="0.35">
      <c r="B13" s="654"/>
      <c r="C13" s="625"/>
      <c r="D13" s="647"/>
      <c r="E13" s="648"/>
      <c r="F13" s="648"/>
      <c r="G13" s="649"/>
      <c r="H13" s="647"/>
      <c r="I13" s="648"/>
      <c r="J13" s="649"/>
    </row>
    <row r="14" spans="2:12" s="2" customFormat="1" ht="15.75" customHeight="1" x14ac:dyDescent="0.3">
      <c r="B14" s="375" t="s">
        <v>1250</v>
      </c>
      <c r="C14" s="305" t="s">
        <v>751</v>
      </c>
      <c r="D14" s="331"/>
      <c r="E14" s="288"/>
      <c r="F14" s="288"/>
      <c r="G14" s="288"/>
      <c r="H14" s="288"/>
      <c r="I14" s="288"/>
      <c r="J14" s="335"/>
    </row>
    <row r="15" spans="2:12" s="2" customFormat="1" ht="12.9" customHeight="1" x14ac:dyDescent="0.3">
      <c r="B15" s="304" t="s">
        <v>173</v>
      </c>
      <c r="C15" s="314" t="s">
        <v>752</v>
      </c>
      <c r="D15" s="331"/>
      <c r="E15" s="285"/>
      <c r="F15" s="185">
        <v>1804.51</v>
      </c>
      <c r="G15" s="186">
        <f>ROUND(E15*F15,2)</f>
        <v>0</v>
      </c>
      <c r="H15" s="187"/>
      <c r="I15" s="188">
        <f>+ROUND(H15*F15,2)</f>
        <v>0</v>
      </c>
      <c r="J15" s="341" t="s">
        <v>110</v>
      </c>
      <c r="K15" s="66"/>
    </row>
    <row r="16" spans="2:12" s="2" customFormat="1" x14ac:dyDescent="0.3">
      <c r="B16" s="304" t="s">
        <v>174</v>
      </c>
      <c r="C16" s="314" t="s">
        <v>1237</v>
      </c>
      <c r="D16" s="306"/>
      <c r="E16" s="184">
        <v>3</v>
      </c>
      <c r="F16" s="185">
        <v>1500</v>
      </c>
      <c r="G16" s="186">
        <f>ROUND(E16*F16,2)</f>
        <v>4500</v>
      </c>
      <c r="H16" s="187"/>
      <c r="I16" s="188">
        <f>+ROUND(H16*F16,2)</f>
        <v>0</v>
      </c>
      <c r="J16" s="308" t="s">
        <v>110</v>
      </c>
      <c r="K16" s="66"/>
      <c r="L16" s="67"/>
    </row>
    <row r="17" spans="2:12" s="2" customFormat="1" x14ac:dyDescent="0.3">
      <c r="B17" s="298" t="s">
        <v>312</v>
      </c>
      <c r="C17" s="299" t="s">
        <v>1206</v>
      </c>
      <c r="D17" s="302" t="s">
        <v>89</v>
      </c>
      <c r="E17" s="189"/>
      <c r="F17" s="185"/>
      <c r="G17" s="190">
        <f>SUM(G18:G27)</f>
        <v>4500</v>
      </c>
      <c r="H17" s="187"/>
      <c r="I17" s="188"/>
      <c r="J17" s="277">
        <v>1</v>
      </c>
      <c r="K17" s="68"/>
      <c r="L17" s="67"/>
    </row>
    <row r="18" spans="2:12" s="2" customFormat="1" x14ac:dyDescent="0.3">
      <c r="B18" s="298" t="s">
        <v>313</v>
      </c>
      <c r="C18" s="299" t="s">
        <v>1207</v>
      </c>
      <c r="D18" s="302" t="s">
        <v>94</v>
      </c>
      <c r="E18" s="191">
        <v>1</v>
      </c>
      <c r="F18" s="192">
        <v>4500</v>
      </c>
      <c r="G18" s="193">
        <f>ROUND(E18*F18,2)</f>
        <v>4500</v>
      </c>
      <c r="H18" s="194"/>
      <c r="I18" s="195">
        <f>+ROUND(H18*F18,2)</f>
        <v>0</v>
      </c>
      <c r="J18" s="277">
        <v>48.86</v>
      </c>
      <c r="K18" s="69"/>
      <c r="L18" s="67"/>
    </row>
    <row r="19" spans="2:12" s="2" customFormat="1" x14ac:dyDescent="0.3">
      <c r="B19" s="298" t="s">
        <v>314</v>
      </c>
      <c r="C19" s="299" t="s">
        <v>1208</v>
      </c>
      <c r="D19" s="302" t="s">
        <v>94</v>
      </c>
      <c r="E19" s="285"/>
      <c r="F19" s="185">
        <v>937.52</v>
      </c>
      <c r="G19" s="186">
        <f>ROUND(E19*F19,2)</f>
        <v>0</v>
      </c>
      <c r="H19" s="187"/>
      <c r="I19" s="188">
        <f>+ROUND(H19*F19,2)</f>
        <v>0</v>
      </c>
      <c r="J19" s="277">
        <v>48.86</v>
      </c>
      <c r="K19" s="69"/>
      <c r="L19" s="67"/>
    </row>
    <row r="20" spans="2:12" s="2" customFormat="1" x14ac:dyDescent="0.3">
      <c r="B20" s="298" t="s">
        <v>315</v>
      </c>
      <c r="C20" s="299" t="s">
        <v>1209</v>
      </c>
      <c r="D20" s="302" t="s">
        <v>92</v>
      </c>
      <c r="E20" s="184"/>
      <c r="F20" s="185"/>
      <c r="G20" s="186"/>
      <c r="H20" s="187"/>
      <c r="I20" s="188"/>
      <c r="J20" s="277">
        <v>26</v>
      </c>
      <c r="K20" s="69"/>
      <c r="L20" s="67"/>
    </row>
    <row r="21" spans="2:12" s="2" customFormat="1" x14ac:dyDescent="0.3">
      <c r="B21" s="298" t="s">
        <v>316</v>
      </c>
      <c r="C21" s="299" t="s">
        <v>1210</v>
      </c>
      <c r="D21" s="302" t="s">
        <v>90</v>
      </c>
      <c r="E21" s="184"/>
      <c r="F21" s="185"/>
      <c r="G21" s="186"/>
      <c r="H21" s="187"/>
      <c r="I21" s="188"/>
      <c r="J21" s="277">
        <v>1</v>
      </c>
      <c r="K21" s="69"/>
      <c r="L21" s="67"/>
    </row>
    <row r="22" spans="2:12" s="2" customFormat="1" x14ac:dyDescent="0.3">
      <c r="B22" s="298" t="s">
        <v>317</v>
      </c>
      <c r="C22" s="299" t="s">
        <v>1211</v>
      </c>
      <c r="D22" s="302" t="s">
        <v>90</v>
      </c>
      <c r="E22" s="184"/>
      <c r="F22" s="185"/>
      <c r="G22" s="186"/>
      <c r="H22" s="187"/>
      <c r="I22" s="188"/>
      <c r="J22" s="277">
        <v>1</v>
      </c>
      <c r="K22" s="69"/>
      <c r="L22" s="67"/>
    </row>
    <row r="23" spans="2:12" s="2" customFormat="1" x14ac:dyDescent="0.3">
      <c r="B23" s="304" t="s">
        <v>175</v>
      </c>
      <c r="C23" s="305" t="s">
        <v>1212</v>
      </c>
      <c r="D23" s="306" t="s">
        <v>160</v>
      </c>
      <c r="E23" s="184"/>
      <c r="F23" s="185"/>
      <c r="G23" s="186"/>
      <c r="H23" s="187"/>
      <c r="I23" s="188"/>
      <c r="J23" s="308"/>
      <c r="K23" s="69"/>
      <c r="L23" s="67"/>
    </row>
    <row r="24" spans="2:12" s="2" customFormat="1" x14ac:dyDescent="0.3">
      <c r="B24" s="298" t="s">
        <v>318</v>
      </c>
      <c r="C24" s="300" t="s">
        <v>1213</v>
      </c>
      <c r="D24" s="302" t="s">
        <v>91</v>
      </c>
      <c r="E24" s="184"/>
      <c r="F24" s="185"/>
      <c r="G24" s="186"/>
      <c r="H24" s="187"/>
      <c r="I24" s="188"/>
      <c r="J24" s="277">
        <v>1</v>
      </c>
      <c r="K24" s="69"/>
      <c r="L24" s="67"/>
    </row>
    <row r="25" spans="2:12" s="2" customFormat="1" x14ac:dyDescent="0.3">
      <c r="B25" s="298" t="s">
        <v>319</v>
      </c>
      <c r="C25" s="300" t="s">
        <v>1214</v>
      </c>
      <c r="D25" s="302" t="s">
        <v>90</v>
      </c>
      <c r="E25" s="184"/>
      <c r="F25" s="185"/>
      <c r="G25" s="186"/>
      <c r="H25" s="187"/>
      <c r="I25" s="188"/>
      <c r="J25" s="277">
        <v>1</v>
      </c>
      <c r="K25" s="69"/>
      <c r="L25" s="67"/>
    </row>
    <row r="26" spans="2:12" s="2" customFormat="1" x14ac:dyDescent="0.3">
      <c r="B26" s="298" t="s">
        <v>320</v>
      </c>
      <c r="C26" s="300" t="s">
        <v>1215</v>
      </c>
      <c r="D26" s="302" t="s">
        <v>90</v>
      </c>
      <c r="E26" s="184"/>
      <c r="F26" s="185"/>
      <c r="G26" s="186"/>
      <c r="H26" s="187"/>
      <c r="I26" s="188"/>
      <c r="J26" s="277">
        <v>1</v>
      </c>
      <c r="K26" s="69"/>
      <c r="L26" s="67"/>
    </row>
    <row r="27" spans="2:12" s="2" customFormat="1" x14ac:dyDescent="0.3">
      <c r="B27" s="298" t="s">
        <v>321</v>
      </c>
      <c r="C27" s="300" t="s">
        <v>1216</v>
      </c>
      <c r="D27" s="302" t="s">
        <v>91</v>
      </c>
      <c r="E27" s="184"/>
      <c r="F27" s="185"/>
      <c r="G27" s="186"/>
      <c r="H27" s="187"/>
      <c r="I27" s="188"/>
      <c r="J27" s="277">
        <v>1</v>
      </c>
      <c r="K27" s="69"/>
      <c r="L27" s="67"/>
    </row>
    <row r="28" spans="2:12" s="2" customFormat="1" x14ac:dyDescent="0.3">
      <c r="B28" s="298" t="s">
        <v>322</v>
      </c>
      <c r="C28" s="300" t="s">
        <v>1217</v>
      </c>
      <c r="D28" s="302" t="s">
        <v>91</v>
      </c>
      <c r="E28" s="184"/>
      <c r="F28" s="185"/>
      <c r="G28" s="186"/>
      <c r="H28" s="187"/>
      <c r="I28" s="188"/>
      <c r="J28" s="277">
        <v>1</v>
      </c>
      <c r="K28" s="66"/>
      <c r="L28" s="67"/>
    </row>
    <row r="29" spans="2:12" s="2" customFormat="1" x14ac:dyDescent="0.3">
      <c r="B29" s="304" t="s">
        <v>176</v>
      </c>
      <c r="C29" s="305" t="s">
        <v>216</v>
      </c>
      <c r="D29" s="306" t="s">
        <v>160</v>
      </c>
      <c r="E29" s="184"/>
      <c r="F29" s="185"/>
      <c r="G29" s="186"/>
      <c r="H29" s="187"/>
      <c r="I29" s="188"/>
      <c r="J29" s="308"/>
      <c r="K29" s="66"/>
      <c r="L29" s="67"/>
    </row>
    <row r="30" spans="2:12" s="2" customFormat="1" x14ac:dyDescent="0.3">
      <c r="B30" s="313" t="s">
        <v>177</v>
      </c>
      <c r="C30" s="312" t="s">
        <v>1218</v>
      </c>
      <c r="D30" s="306" t="s">
        <v>160</v>
      </c>
      <c r="E30" s="184"/>
      <c r="F30" s="185"/>
      <c r="G30" s="186"/>
      <c r="H30" s="187"/>
      <c r="I30" s="188"/>
      <c r="J30" s="308"/>
      <c r="K30" s="66"/>
      <c r="L30" s="67"/>
    </row>
    <row r="31" spans="2:12" s="2" customFormat="1" x14ac:dyDescent="0.3">
      <c r="B31" s="298" t="s">
        <v>323</v>
      </c>
      <c r="C31" s="300" t="s">
        <v>1219</v>
      </c>
      <c r="D31" s="302" t="s">
        <v>92</v>
      </c>
      <c r="E31" s="184"/>
      <c r="F31" s="185"/>
      <c r="G31" s="186"/>
      <c r="H31" s="187"/>
      <c r="I31" s="188"/>
      <c r="J31" s="277">
        <v>163</v>
      </c>
      <c r="K31" s="66"/>
      <c r="L31" s="67"/>
    </row>
    <row r="32" spans="2:12" s="2" customFormat="1" x14ac:dyDescent="0.3">
      <c r="B32" s="298" t="s">
        <v>324</v>
      </c>
      <c r="C32" s="300" t="s">
        <v>1220</v>
      </c>
      <c r="D32" s="302" t="s">
        <v>93</v>
      </c>
      <c r="E32" s="184"/>
      <c r="F32" s="185"/>
      <c r="G32" s="186"/>
      <c r="H32" s="187"/>
      <c r="I32" s="188"/>
      <c r="J32" s="277">
        <v>28.2</v>
      </c>
      <c r="K32" s="66"/>
      <c r="L32" s="67"/>
    </row>
    <row r="33" spans="2:12" s="2" customFormat="1" x14ac:dyDescent="0.3">
      <c r="B33" s="311" t="s">
        <v>179</v>
      </c>
      <c r="C33" s="312" t="s">
        <v>1229</v>
      </c>
      <c r="D33" s="306" t="s">
        <v>160</v>
      </c>
      <c r="E33" s="184"/>
      <c r="F33" s="185"/>
      <c r="G33" s="186"/>
      <c r="H33" s="187"/>
      <c r="I33" s="188"/>
      <c r="J33" s="308"/>
      <c r="K33" s="66"/>
      <c r="L33" s="67"/>
    </row>
    <row r="34" spans="2:12" s="2" customFormat="1" x14ac:dyDescent="0.3">
      <c r="B34" s="298" t="s">
        <v>332</v>
      </c>
      <c r="C34" s="300" t="s">
        <v>1219</v>
      </c>
      <c r="D34" s="302" t="s">
        <v>92</v>
      </c>
      <c r="E34" s="184"/>
      <c r="F34" s="185"/>
      <c r="G34" s="186"/>
      <c r="H34" s="187"/>
      <c r="I34" s="188"/>
      <c r="J34" s="277">
        <v>188.21</v>
      </c>
      <c r="K34" s="66"/>
      <c r="L34" s="67"/>
    </row>
    <row r="35" spans="2:12" s="2" customFormat="1" x14ac:dyDescent="0.3">
      <c r="B35" s="315">
        <v>1.03</v>
      </c>
      <c r="C35" s="305" t="s">
        <v>1230</v>
      </c>
      <c r="D35" s="306" t="s">
        <v>160</v>
      </c>
      <c r="E35" s="184"/>
      <c r="F35" s="185"/>
      <c r="G35" s="186"/>
      <c r="H35" s="187"/>
      <c r="I35" s="188"/>
      <c r="J35" s="308"/>
      <c r="K35" s="66"/>
      <c r="L35" s="67"/>
    </row>
    <row r="36" spans="2:12" s="2" customFormat="1" x14ac:dyDescent="0.3">
      <c r="B36" s="298" t="s">
        <v>180</v>
      </c>
      <c r="C36" s="301" t="s">
        <v>1231</v>
      </c>
      <c r="D36" s="302" t="s">
        <v>90</v>
      </c>
      <c r="E36" s="184"/>
      <c r="F36" s="185"/>
      <c r="G36" s="186"/>
      <c r="H36" s="187"/>
      <c r="I36" s="188"/>
      <c r="J36" s="277">
        <v>1</v>
      </c>
      <c r="K36" s="66"/>
      <c r="L36" s="67"/>
    </row>
    <row r="37" spans="2:12" s="2" customFormat="1" x14ac:dyDescent="0.3">
      <c r="B37" s="298" t="s">
        <v>181</v>
      </c>
      <c r="C37" s="300" t="s">
        <v>276</v>
      </c>
      <c r="D37" s="302" t="s">
        <v>90</v>
      </c>
      <c r="E37" s="184"/>
      <c r="F37" s="185"/>
      <c r="G37" s="186"/>
      <c r="H37" s="187"/>
      <c r="I37" s="188"/>
      <c r="J37" s="277">
        <v>0.25</v>
      </c>
      <c r="K37" s="66"/>
      <c r="L37" s="67"/>
    </row>
    <row r="38" spans="2:12" s="2" customFormat="1" x14ac:dyDescent="0.3">
      <c r="B38" s="298" t="s">
        <v>182</v>
      </c>
      <c r="C38" s="300" t="s">
        <v>277</v>
      </c>
      <c r="D38" s="302" t="s">
        <v>90</v>
      </c>
      <c r="E38" s="184"/>
      <c r="F38" s="185"/>
      <c r="G38" s="186"/>
      <c r="H38" s="187"/>
      <c r="I38" s="188"/>
      <c r="J38" s="277">
        <v>0.25</v>
      </c>
      <c r="K38" s="66"/>
      <c r="L38" s="67"/>
    </row>
    <row r="39" spans="2:12" s="2" customFormat="1" x14ac:dyDescent="0.3">
      <c r="B39" s="298" t="s">
        <v>183</v>
      </c>
      <c r="C39" s="300" t="s">
        <v>1232</v>
      </c>
      <c r="D39" s="302" t="s">
        <v>90</v>
      </c>
      <c r="E39" s="184"/>
      <c r="F39" s="185"/>
      <c r="G39" s="186"/>
      <c r="H39" s="187"/>
      <c r="I39" s="188"/>
      <c r="J39" s="277">
        <v>0.25</v>
      </c>
      <c r="K39" s="66"/>
      <c r="L39" s="67"/>
    </row>
    <row r="40" spans="2:12" s="2" customFormat="1" x14ac:dyDescent="0.3">
      <c r="B40" s="298" t="s">
        <v>184</v>
      </c>
      <c r="C40" s="300" t="s">
        <v>278</v>
      </c>
      <c r="D40" s="302" t="s">
        <v>90</v>
      </c>
      <c r="E40" s="184"/>
      <c r="F40" s="185"/>
      <c r="G40" s="186"/>
      <c r="H40" s="187"/>
      <c r="I40" s="188"/>
      <c r="J40" s="277">
        <v>0.25</v>
      </c>
      <c r="K40" s="66"/>
      <c r="L40" s="67"/>
    </row>
    <row r="41" spans="2:12" s="2" customFormat="1" x14ac:dyDescent="0.3">
      <c r="B41" s="298" t="s">
        <v>185</v>
      </c>
      <c r="C41" s="300" t="s">
        <v>1233</v>
      </c>
      <c r="D41" s="302" t="s">
        <v>90</v>
      </c>
      <c r="E41" s="184"/>
      <c r="F41" s="185"/>
      <c r="G41" s="186"/>
      <c r="H41" s="187"/>
      <c r="I41" s="188"/>
      <c r="J41" s="277">
        <v>0.25</v>
      </c>
      <c r="K41" s="66"/>
      <c r="L41" s="67"/>
    </row>
    <row r="42" spans="2:12" s="2" customFormat="1" x14ac:dyDescent="0.3">
      <c r="B42" s="304" t="s">
        <v>186</v>
      </c>
      <c r="C42" s="305" t="s">
        <v>1234</v>
      </c>
      <c r="D42" s="306" t="s">
        <v>160</v>
      </c>
      <c r="E42" s="184"/>
      <c r="F42" s="185"/>
      <c r="G42" s="186"/>
      <c r="H42" s="187"/>
      <c r="I42" s="188"/>
      <c r="J42" s="308"/>
      <c r="K42" s="66"/>
      <c r="L42" s="67"/>
    </row>
    <row r="43" spans="2:12" s="2" customFormat="1" x14ac:dyDescent="0.3">
      <c r="B43" s="298" t="s">
        <v>187</v>
      </c>
      <c r="C43" s="300" t="s">
        <v>1235</v>
      </c>
      <c r="D43" s="302" t="s">
        <v>90</v>
      </c>
      <c r="E43" s="184"/>
      <c r="F43" s="185"/>
      <c r="G43" s="186"/>
      <c r="H43" s="187"/>
      <c r="I43" s="188"/>
      <c r="J43" s="277">
        <v>1</v>
      </c>
      <c r="K43" s="66"/>
      <c r="L43" s="67"/>
    </row>
    <row r="44" spans="2:12" s="2" customFormat="1" x14ac:dyDescent="0.3">
      <c r="B44" s="304" t="s">
        <v>188</v>
      </c>
      <c r="C44" s="305" t="s">
        <v>764</v>
      </c>
      <c r="D44" s="306" t="s">
        <v>160</v>
      </c>
      <c r="E44" s="184"/>
      <c r="F44" s="185"/>
      <c r="G44" s="186"/>
      <c r="H44" s="187"/>
      <c r="I44" s="188"/>
      <c r="J44" s="308"/>
      <c r="K44" s="66"/>
      <c r="L44" s="67"/>
    </row>
    <row r="45" spans="2:12" s="2" customFormat="1" ht="16.5" customHeight="1" x14ac:dyDescent="0.3">
      <c r="B45" s="298" t="s">
        <v>189</v>
      </c>
      <c r="C45" s="300" t="s">
        <v>1238</v>
      </c>
      <c r="D45" s="302" t="s">
        <v>92</v>
      </c>
      <c r="E45" s="184"/>
      <c r="F45" s="185"/>
      <c r="G45" s="186"/>
      <c r="H45" s="187"/>
      <c r="I45" s="188"/>
      <c r="J45" s="277">
        <v>405.11</v>
      </c>
      <c r="K45" s="66"/>
      <c r="L45" s="67"/>
    </row>
    <row r="46" spans="2:12" s="2" customFormat="1" x14ac:dyDescent="0.3">
      <c r="B46" s="298" t="s">
        <v>190</v>
      </c>
      <c r="C46" s="300" t="s">
        <v>765</v>
      </c>
      <c r="D46" s="302" t="s">
        <v>92</v>
      </c>
      <c r="E46" s="184"/>
      <c r="F46" s="185"/>
      <c r="G46" s="186"/>
      <c r="H46" s="187"/>
      <c r="I46" s="188"/>
      <c r="J46" s="277">
        <v>101.28</v>
      </c>
      <c r="K46" s="66"/>
      <c r="L46" s="67"/>
    </row>
    <row r="47" spans="2:12" s="2" customFormat="1" x14ac:dyDescent="0.3">
      <c r="B47" s="304">
        <v>2</v>
      </c>
      <c r="C47" s="305" t="s">
        <v>215</v>
      </c>
      <c r="D47" s="318" t="s">
        <v>160</v>
      </c>
      <c r="E47" s="184"/>
      <c r="F47" s="185"/>
      <c r="G47" s="186"/>
      <c r="H47" s="187"/>
      <c r="I47" s="188"/>
      <c r="J47" s="308" t="s">
        <v>110</v>
      </c>
      <c r="K47" s="66"/>
      <c r="L47" s="67"/>
    </row>
    <row r="48" spans="2:12" s="2" customFormat="1" x14ac:dyDescent="0.3">
      <c r="B48" s="304" t="s">
        <v>191</v>
      </c>
      <c r="C48" s="312" t="s">
        <v>766</v>
      </c>
      <c r="D48" s="320" t="s">
        <v>160</v>
      </c>
      <c r="E48" s="184"/>
      <c r="F48" s="185"/>
      <c r="G48" s="186"/>
      <c r="H48" s="187"/>
      <c r="I48" s="188"/>
      <c r="J48" s="308" t="s">
        <v>110</v>
      </c>
      <c r="K48" s="66"/>
      <c r="L48" s="67"/>
    </row>
    <row r="49" spans="2:12" s="2" customFormat="1" x14ac:dyDescent="0.3">
      <c r="B49" s="322" t="s">
        <v>192</v>
      </c>
      <c r="C49" s="305" t="s">
        <v>767</v>
      </c>
      <c r="D49" s="306" t="s">
        <v>160</v>
      </c>
      <c r="E49" s="184"/>
      <c r="F49" s="185"/>
      <c r="G49" s="186"/>
      <c r="H49" s="187"/>
      <c r="I49" s="188"/>
      <c r="J49" s="308" t="s">
        <v>110</v>
      </c>
      <c r="K49" s="66"/>
      <c r="L49" s="67"/>
    </row>
    <row r="50" spans="2:12" s="2" customFormat="1" x14ac:dyDescent="0.3">
      <c r="B50" s="298" t="s">
        <v>340</v>
      </c>
      <c r="C50" s="300" t="s">
        <v>768</v>
      </c>
      <c r="D50" s="302" t="s">
        <v>93</v>
      </c>
      <c r="E50" s="184"/>
      <c r="F50" s="185"/>
      <c r="G50" s="186"/>
      <c r="H50" s="187"/>
      <c r="I50" s="188"/>
      <c r="J50" s="277">
        <v>11.53</v>
      </c>
      <c r="K50" s="66"/>
      <c r="L50" s="67"/>
    </row>
    <row r="51" spans="2:12" s="2" customFormat="1" x14ac:dyDescent="0.3">
      <c r="B51" s="298" t="s">
        <v>341</v>
      </c>
      <c r="C51" s="300" t="s">
        <v>769</v>
      </c>
      <c r="D51" s="302" t="s">
        <v>92</v>
      </c>
      <c r="E51" s="184"/>
      <c r="F51" s="185"/>
      <c r="G51" s="186"/>
      <c r="H51" s="187"/>
      <c r="I51" s="188"/>
      <c r="J51" s="277">
        <v>28.82</v>
      </c>
      <c r="K51" s="66"/>
      <c r="L51" s="67"/>
    </row>
    <row r="52" spans="2:12" s="2" customFormat="1" x14ac:dyDescent="0.3">
      <c r="B52" s="298" t="s">
        <v>342</v>
      </c>
      <c r="C52" s="301" t="s">
        <v>770</v>
      </c>
      <c r="D52" s="302" t="s">
        <v>93</v>
      </c>
      <c r="E52" s="184"/>
      <c r="F52" s="185"/>
      <c r="G52" s="186"/>
      <c r="H52" s="187"/>
      <c r="I52" s="188"/>
      <c r="J52" s="277">
        <v>122.48</v>
      </c>
      <c r="K52" s="66"/>
      <c r="L52" s="67"/>
    </row>
    <row r="53" spans="2:12" s="2" customFormat="1" x14ac:dyDescent="0.3">
      <c r="B53" s="298" t="s">
        <v>343</v>
      </c>
      <c r="C53" s="300" t="s">
        <v>771</v>
      </c>
      <c r="D53" s="302" t="s">
        <v>93</v>
      </c>
      <c r="E53" s="184"/>
      <c r="F53" s="185"/>
      <c r="G53" s="186"/>
      <c r="H53" s="187"/>
      <c r="I53" s="188"/>
      <c r="J53" s="277">
        <v>146.97</v>
      </c>
      <c r="K53" s="66"/>
      <c r="L53" s="67"/>
    </row>
    <row r="54" spans="2:12" s="2" customFormat="1" x14ac:dyDescent="0.3">
      <c r="B54" s="298" t="s">
        <v>344</v>
      </c>
      <c r="C54" s="300" t="s">
        <v>772</v>
      </c>
      <c r="D54" s="302" t="s">
        <v>93</v>
      </c>
      <c r="E54" s="184"/>
      <c r="F54" s="185"/>
      <c r="G54" s="186"/>
      <c r="H54" s="187"/>
      <c r="I54" s="188"/>
      <c r="J54" s="277">
        <v>55.800000000000004</v>
      </c>
      <c r="K54" s="66"/>
      <c r="L54" s="67"/>
    </row>
    <row r="55" spans="2:12" s="2" customFormat="1" x14ac:dyDescent="0.3">
      <c r="B55" s="298" t="s">
        <v>345</v>
      </c>
      <c r="C55" s="300" t="s">
        <v>769</v>
      </c>
      <c r="D55" s="302" t="s">
        <v>92</v>
      </c>
      <c r="E55" s="184"/>
      <c r="F55" s="185"/>
      <c r="G55" s="186"/>
      <c r="H55" s="187"/>
      <c r="I55" s="188"/>
      <c r="J55" s="277">
        <v>139.5</v>
      </c>
      <c r="K55" s="66"/>
      <c r="L55" s="67"/>
    </row>
    <row r="56" spans="2:12" s="2" customFormat="1" x14ac:dyDescent="0.3">
      <c r="B56" s="298" t="s">
        <v>346</v>
      </c>
      <c r="C56" s="300" t="s">
        <v>773</v>
      </c>
      <c r="D56" s="302" t="s">
        <v>93</v>
      </c>
      <c r="E56" s="184"/>
      <c r="F56" s="185"/>
      <c r="G56" s="186"/>
      <c r="H56" s="187"/>
      <c r="I56" s="188"/>
      <c r="J56" s="277">
        <v>55.15</v>
      </c>
      <c r="K56" s="66"/>
      <c r="L56" s="67"/>
    </row>
    <row r="57" spans="2:12" s="2" customFormat="1" x14ac:dyDescent="0.3">
      <c r="B57" s="298" t="s">
        <v>347</v>
      </c>
      <c r="C57" s="300" t="s">
        <v>774</v>
      </c>
      <c r="D57" s="302" t="s">
        <v>93</v>
      </c>
      <c r="E57" s="184"/>
      <c r="F57" s="185"/>
      <c r="G57" s="186"/>
      <c r="H57" s="187"/>
      <c r="I57" s="188"/>
      <c r="J57" s="277"/>
      <c r="K57" s="66"/>
      <c r="L57" s="67"/>
    </row>
    <row r="58" spans="2:12" s="2" customFormat="1" x14ac:dyDescent="0.3">
      <c r="B58" s="304" t="s">
        <v>218</v>
      </c>
      <c r="C58" s="305" t="s">
        <v>775</v>
      </c>
      <c r="D58" s="306" t="s">
        <v>160</v>
      </c>
      <c r="E58" s="184"/>
      <c r="F58" s="185"/>
      <c r="G58" s="186"/>
      <c r="H58" s="187"/>
      <c r="I58" s="188"/>
      <c r="J58" s="308"/>
      <c r="K58" s="66"/>
      <c r="L58" s="67"/>
    </row>
    <row r="59" spans="2:12" s="2" customFormat="1" x14ac:dyDescent="0.3">
      <c r="B59" s="298" t="s">
        <v>348</v>
      </c>
      <c r="C59" s="300" t="s">
        <v>776</v>
      </c>
      <c r="D59" s="302" t="s">
        <v>92</v>
      </c>
      <c r="E59" s="184"/>
      <c r="F59" s="185"/>
      <c r="G59" s="186"/>
      <c r="H59" s="187"/>
      <c r="I59" s="188"/>
      <c r="J59" s="277">
        <v>29.400000000000002</v>
      </c>
      <c r="K59" s="66"/>
      <c r="L59" s="67"/>
    </row>
    <row r="60" spans="2:12" s="2" customFormat="1" x14ac:dyDescent="0.3">
      <c r="B60" s="304" t="s">
        <v>353</v>
      </c>
      <c r="C60" s="305" t="s">
        <v>781</v>
      </c>
      <c r="D60" s="320" t="s">
        <v>160</v>
      </c>
      <c r="E60" s="184"/>
      <c r="F60" s="185"/>
      <c r="G60" s="186"/>
      <c r="H60" s="187"/>
      <c r="I60" s="188"/>
      <c r="J60" s="308"/>
      <c r="K60" s="66"/>
      <c r="L60" s="67"/>
    </row>
    <row r="61" spans="2:12" s="2" customFormat="1" x14ac:dyDescent="0.3">
      <c r="B61" s="304" t="s">
        <v>354</v>
      </c>
      <c r="C61" s="305" t="s">
        <v>782</v>
      </c>
      <c r="D61" s="320" t="s">
        <v>160</v>
      </c>
      <c r="E61" s="184"/>
      <c r="F61" s="185"/>
      <c r="G61" s="186"/>
      <c r="H61" s="187"/>
      <c r="I61" s="188"/>
      <c r="J61" s="308"/>
      <c r="K61" s="66"/>
      <c r="L61" s="67"/>
    </row>
    <row r="62" spans="2:12" s="2" customFormat="1" x14ac:dyDescent="0.3">
      <c r="B62" s="298" t="s">
        <v>355</v>
      </c>
      <c r="C62" s="300" t="s">
        <v>783</v>
      </c>
      <c r="D62" s="302" t="s">
        <v>93</v>
      </c>
      <c r="E62" s="184"/>
      <c r="F62" s="185"/>
      <c r="G62" s="186"/>
      <c r="H62" s="187"/>
      <c r="I62" s="188"/>
      <c r="J62" s="277">
        <v>17.329999999999998</v>
      </c>
      <c r="K62" s="66"/>
      <c r="L62" s="67"/>
    </row>
    <row r="63" spans="2:12" s="2" customFormat="1" x14ac:dyDescent="0.3">
      <c r="B63" s="298" t="s">
        <v>356</v>
      </c>
      <c r="C63" s="300" t="s">
        <v>784</v>
      </c>
      <c r="D63" s="302" t="s">
        <v>274</v>
      </c>
      <c r="E63" s="184"/>
      <c r="F63" s="185"/>
      <c r="G63" s="186"/>
      <c r="H63" s="187"/>
      <c r="I63" s="188"/>
      <c r="J63" s="277">
        <v>1529.4</v>
      </c>
      <c r="K63" s="66"/>
      <c r="L63" s="67"/>
    </row>
    <row r="64" spans="2:12" s="2" customFormat="1" x14ac:dyDescent="0.3">
      <c r="B64" s="298" t="s">
        <v>357</v>
      </c>
      <c r="C64" s="300" t="s">
        <v>785</v>
      </c>
      <c r="D64" s="302" t="s">
        <v>92</v>
      </c>
      <c r="E64" s="184"/>
      <c r="F64" s="185"/>
      <c r="G64" s="186"/>
      <c r="H64" s="187"/>
      <c r="I64" s="188"/>
      <c r="J64" s="277">
        <v>48.89</v>
      </c>
      <c r="K64" s="66"/>
      <c r="L64" s="67"/>
    </row>
    <row r="65" spans="2:12" s="2" customFormat="1" x14ac:dyDescent="0.3">
      <c r="B65" s="304" t="s">
        <v>358</v>
      </c>
      <c r="C65" s="305" t="s">
        <v>786</v>
      </c>
      <c r="D65" s="320" t="s">
        <v>160</v>
      </c>
      <c r="E65" s="184"/>
      <c r="F65" s="185"/>
      <c r="G65" s="186"/>
      <c r="H65" s="187"/>
      <c r="I65" s="188"/>
      <c r="J65" s="308"/>
      <c r="K65" s="66"/>
      <c r="L65" s="67"/>
    </row>
    <row r="66" spans="2:12" s="2" customFormat="1" x14ac:dyDescent="0.3">
      <c r="B66" s="298" t="s">
        <v>361</v>
      </c>
      <c r="C66" s="300" t="s">
        <v>784</v>
      </c>
      <c r="D66" s="302" t="s">
        <v>274</v>
      </c>
      <c r="E66" s="184"/>
      <c r="F66" s="185"/>
      <c r="G66" s="186"/>
      <c r="H66" s="187"/>
      <c r="I66" s="188"/>
      <c r="J66" s="277">
        <v>1886.58</v>
      </c>
      <c r="K66" s="66"/>
      <c r="L66" s="67"/>
    </row>
    <row r="67" spans="2:12" s="2" customFormat="1" x14ac:dyDescent="0.3">
      <c r="B67" s="304" t="s">
        <v>283</v>
      </c>
      <c r="C67" s="312" t="s">
        <v>832</v>
      </c>
      <c r="D67" s="320" t="s">
        <v>160</v>
      </c>
      <c r="E67" s="184"/>
      <c r="F67" s="185"/>
      <c r="G67" s="186"/>
      <c r="H67" s="187"/>
      <c r="I67" s="188"/>
      <c r="J67" s="308"/>
      <c r="K67" s="66"/>
      <c r="L67" s="67"/>
    </row>
    <row r="68" spans="2:12" s="2" customFormat="1" x14ac:dyDescent="0.3">
      <c r="B68" s="304" t="s">
        <v>197</v>
      </c>
      <c r="C68" s="305" t="s">
        <v>767</v>
      </c>
      <c r="D68" s="306" t="s">
        <v>160</v>
      </c>
      <c r="E68" s="184"/>
      <c r="F68" s="185"/>
      <c r="G68" s="186"/>
      <c r="H68" s="187"/>
      <c r="I68" s="188"/>
      <c r="J68" s="308"/>
      <c r="K68" s="66"/>
      <c r="L68" s="67"/>
    </row>
    <row r="69" spans="2:12" s="2" customFormat="1" x14ac:dyDescent="0.3">
      <c r="B69" s="304" t="s">
        <v>219</v>
      </c>
      <c r="C69" s="305" t="s">
        <v>833</v>
      </c>
      <c r="D69" s="306" t="s">
        <v>160</v>
      </c>
      <c r="E69" s="184"/>
      <c r="F69" s="185"/>
      <c r="G69" s="186"/>
      <c r="H69" s="187"/>
      <c r="I69" s="188"/>
      <c r="J69" s="308"/>
      <c r="K69" s="66"/>
      <c r="L69" s="67"/>
    </row>
    <row r="70" spans="2:12" s="2" customFormat="1" x14ac:dyDescent="0.3">
      <c r="B70" s="298" t="s">
        <v>419</v>
      </c>
      <c r="C70" s="300" t="s">
        <v>834</v>
      </c>
      <c r="D70" s="302" t="s">
        <v>93</v>
      </c>
      <c r="E70" s="184"/>
      <c r="F70" s="185"/>
      <c r="G70" s="186"/>
      <c r="H70" s="187"/>
      <c r="I70" s="188"/>
      <c r="J70" s="277">
        <v>93.62</v>
      </c>
      <c r="K70" s="66"/>
      <c r="L70" s="67"/>
    </row>
    <row r="71" spans="2:12" s="2" customFormat="1" x14ac:dyDescent="0.3">
      <c r="B71" s="304" t="s">
        <v>420</v>
      </c>
      <c r="C71" s="305" t="s">
        <v>835</v>
      </c>
      <c r="D71" s="320" t="s">
        <v>160</v>
      </c>
      <c r="E71" s="184"/>
      <c r="F71" s="185"/>
      <c r="G71" s="186"/>
      <c r="H71" s="187"/>
      <c r="I71" s="188"/>
      <c r="J71" s="308"/>
      <c r="K71" s="66"/>
      <c r="L71" s="67"/>
    </row>
    <row r="72" spans="2:12" s="2" customFormat="1" x14ac:dyDescent="0.3">
      <c r="B72" s="298" t="s">
        <v>421</v>
      </c>
      <c r="C72" s="300" t="s">
        <v>836</v>
      </c>
      <c r="D72" s="302" t="s">
        <v>93</v>
      </c>
      <c r="E72" s="184"/>
      <c r="F72" s="185"/>
      <c r="G72" s="186"/>
      <c r="H72" s="187"/>
      <c r="I72" s="188"/>
      <c r="J72" s="277"/>
      <c r="K72" s="66"/>
      <c r="L72" s="67"/>
    </row>
    <row r="73" spans="2:12" s="2" customFormat="1" x14ac:dyDescent="0.3">
      <c r="B73" s="304" t="s">
        <v>422</v>
      </c>
      <c r="C73" s="305" t="s">
        <v>837</v>
      </c>
      <c r="D73" s="320" t="s">
        <v>160</v>
      </c>
      <c r="E73" s="184"/>
      <c r="F73" s="185"/>
      <c r="G73" s="186"/>
      <c r="H73" s="187"/>
      <c r="I73" s="188"/>
      <c r="J73" s="308"/>
      <c r="K73" s="66"/>
      <c r="L73" s="67"/>
    </row>
    <row r="74" spans="2:12" s="2" customFormat="1" x14ac:dyDescent="0.3">
      <c r="B74" s="298" t="s">
        <v>423</v>
      </c>
      <c r="C74" s="300" t="s">
        <v>838</v>
      </c>
      <c r="D74" s="302" t="s">
        <v>93</v>
      </c>
      <c r="E74" s="184"/>
      <c r="F74" s="185"/>
      <c r="G74" s="186"/>
      <c r="H74" s="187"/>
      <c r="I74" s="188"/>
      <c r="J74" s="277">
        <v>102.98</v>
      </c>
      <c r="K74" s="66"/>
      <c r="L74" s="67"/>
    </row>
    <row r="75" spans="2:12" s="2" customFormat="1" x14ac:dyDescent="0.3">
      <c r="B75" s="304" t="s">
        <v>1251</v>
      </c>
      <c r="C75" s="305" t="s">
        <v>850</v>
      </c>
      <c r="D75" s="320"/>
      <c r="E75" s="184"/>
      <c r="F75" s="185"/>
      <c r="G75" s="186"/>
      <c r="H75" s="187"/>
      <c r="I75" s="188"/>
      <c r="J75" s="308"/>
      <c r="K75" s="66"/>
      <c r="L75" s="67"/>
    </row>
    <row r="76" spans="2:12" x14ac:dyDescent="0.3">
      <c r="B76" s="298" t="s">
        <v>200</v>
      </c>
      <c r="C76" s="300" t="s">
        <v>850</v>
      </c>
      <c r="D76" s="302" t="s">
        <v>90</v>
      </c>
      <c r="E76" s="184"/>
      <c r="F76" s="185"/>
      <c r="G76" s="186"/>
      <c r="H76" s="187"/>
      <c r="I76" s="188"/>
      <c r="J76" s="277">
        <v>0.5</v>
      </c>
    </row>
    <row r="77" spans="2:12" x14ac:dyDescent="0.3">
      <c r="B77" s="5"/>
      <c r="C77" s="3"/>
      <c r="D77" s="4"/>
      <c r="E77" s="5"/>
      <c r="F77" s="5"/>
    </row>
    <row r="78" spans="2:12" x14ac:dyDescent="0.3">
      <c r="B78" s="5"/>
      <c r="C78" s="650"/>
      <c r="D78" s="650"/>
      <c r="E78" s="650"/>
      <c r="F78" s="650"/>
    </row>
    <row r="79" spans="2:12" x14ac:dyDescent="0.3">
      <c r="B79" s="5"/>
      <c r="C79" s="632"/>
      <c r="D79" s="632"/>
      <c r="E79" s="632"/>
      <c r="F79" s="632"/>
    </row>
    <row r="80" spans="2:12" x14ac:dyDescent="0.3">
      <c r="B80" s="5"/>
      <c r="C80" s="632"/>
      <c r="D80" s="632"/>
      <c r="E80" s="632"/>
      <c r="F80" s="632"/>
    </row>
    <row r="81" spans="2:7" x14ac:dyDescent="0.3">
      <c r="B81" s="31"/>
      <c r="C81" s="632"/>
      <c r="D81" s="632"/>
      <c r="E81" s="632"/>
      <c r="F81" s="632"/>
      <c r="G81" s="30"/>
    </row>
    <row r="82" spans="2:7" ht="26.25" customHeight="1" x14ac:dyDescent="0.3">
      <c r="B82" s="633"/>
      <c r="C82" s="634"/>
      <c r="D82" s="634"/>
      <c r="E82" s="634"/>
      <c r="F82" s="634"/>
      <c r="G82" s="634"/>
    </row>
    <row r="83" spans="2:7" ht="26.25" customHeight="1" x14ac:dyDescent="0.3">
      <c r="B83" s="634"/>
      <c r="C83" s="634"/>
      <c r="D83" s="634"/>
      <c r="E83" s="634"/>
      <c r="F83" s="634"/>
      <c r="G83" s="634"/>
    </row>
    <row r="84" spans="2:7" ht="44.25" customHeight="1" x14ac:dyDescent="0.3">
      <c r="B84" s="634"/>
      <c r="C84" s="634"/>
      <c r="D84" s="634"/>
      <c r="E84" s="634"/>
      <c r="F84" s="634"/>
      <c r="G84" s="634"/>
    </row>
    <row r="85" spans="2:7" ht="26.25" customHeight="1" x14ac:dyDescent="0.3">
      <c r="B85" s="634"/>
      <c r="C85" s="634"/>
      <c r="D85" s="634"/>
      <c r="E85" s="634"/>
      <c r="F85" s="634"/>
      <c r="G85" s="634"/>
    </row>
    <row r="99" spans="2:7" x14ac:dyDescent="0.3">
      <c r="B99" s="31"/>
      <c r="C99" s="24"/>
      <c r="D99" s="3"/>
      <c r="E99" s="28"/>
      <c r="F99" s="29"/>
      <c r="G99" s="30"/>
    </row>
    <row r="100" spans="2:7" x14ac:dyDescent="0.3">
      <c r="B100" s="27"/>
      <c r="C100" s="24"/>
      <c r="D100" s="3"/>
      <c r="E100" s="28"/>
      <c r="F100" s="29"/>
      <c r="G100" s="30"/>
    </row>
  </sheetData>
  <autoFilter ref="B13:G75" xr:uid="{00000000-0009-0000-0000-000005000000}"/>
  <mergeCells count="17">
    <mergeCell ref="B82:G85"/>
    <mergeCell ref="C3:J3"/>
    <mergeCell ref="C4:J4"/>
    <mergeCell ref="C6:J6"/>
    <mergeCell ref="C7:J7"/>
    <mergeCell ref="D9:G13"/>
    <mergeCell ref="H9:J13"/>
    <mergeCell ref="C78:F78"/>
    <mergeCell ref="C79:F79"/>
    <mergeCell ref="C80:F80"/>
    <mergeCell ref="B8:G8"/>
    <mergeCell ref="B9:B13"/>
    <mergeCell ref="C9:C13"/>
    <mergeCell ref="B1:C1"/>
    <mergeCell ref="B2:J2"/>
    <mergeCell ref="C5:J5"/>
    <mergeCell ref="C81:F81"/>
  </mergeCells>
  <printOptions horizontalCentered="1" verticalCentered="1"/>
  <pageMargins left="0.7" right="0.7" top="0.75" bottom="0.75" header="0.3" footer="0.3"/>
  <pageSetup paperSize="9" scale="72" fitToHeight="0" orientation="portrait" r:id="rId1"/>
  <headerFooter scaleWithDoc="0">
    <oddFooter xml:space="preserve">&amp;C
&amp;P
</oddFooter>
  </headerFooter>
  <ignoredErrors>
    <ignoredError sqref="B75 B14:B16" numberStoredAsText="1"/>
  </ignoredError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B1:N69"/>
  <sheetViews>
    <sheetView tabSelected="1" view="pageBreakPreview" topLeftCell="A29" zoomScaleNormal="100" zoomScaleSheetLayoutView="100" workbookViewId="0">
      <selection activeCell="J27" sqref="J27"/>
    </sheetView>
  </sheetViews>
  <sheetFormatPr baseColWidth="10" defaultColWidth="11.44140625" defaultRowHeight="14.4" x14ac:dyDescent="0.3"/>
  <cols>
    <col min="3" max="3" width="12.44140625" customWidth="1"/>
    <col min="6" max="6" width="12.44140625" customWidth="1"/>
    <col min="7" max="7" width="13" bestFit="1" customWidth="1"/>
    <col min="13" max="13" width="3.109375" customWidth="1"/>
  </cols>
  <sheetData>
    <row r="1" spans="2:12" ht="15" thickBot="1" x14ac:dyDescent="0.35"/>
    <row r="2" spans="2:12" ht="28.5" customHeight="1" thickBot="1" x14ac:dyDescent="0.5">
      <c r="B2" s="655" t="s">
        <v>1336</v>
      </c>
      <c r="C2" s="656"/>
      <c r="D2" s="656"/>
      <c r="E2" s="656"/>
      <c r="F2" s="656"/>
      <c r="G2" s="656"/>
      <c r="H2" s="656"/>
      <c r="I2" s="656"/>
      <c r="J2" s="656"/>
      <c r="K2" s="656"/>
      <c r="L2" s="279"/>
    </row>
    <row r="3" spans="2:12" ht="19.5" customHeight="1" thickBot="1" x14ac:dyDescent="0.35"/>
    <row r="4" spans="2:12" ht="15" customHeight="1" x14ac:dyDescent="0.3">
      <c r="B4" s="661" t="s">
        <v>279</v>
      </c>
      <c r="C4" s="662"/>
      <c r="D4" s="662"/>
      <c r="E4" s="662"/>
      <c r="F4" s="662"/>
      <c r="G4" s="662"/>
      <c r="H4" s="662"/>
      <c r="I4" s="662"/>
      <c r="J4" s="662"/>
      <c r="K4" s="662"/>
      <c r="L4" s="663"/>
    </row>
    <row r="5" spans="2:12" ht="15.75" customHeight="1" thickBot="1" x14ac:dyDescent="0.35">
      <c r="B5" s="664"/>
      <c r="C5" s="665"/>
      <c r="D5" s="665"/>
      <c r="E5" s="665"/>
      <c r="F5" s="665"/>
      <c r="G5" s="665"/>
      <c r="H5" s="665"/>
      <c r="I5" s="665"/>
      <c r="J5" s="665"/>
      <c r="K5" s="665"/>
      <c r="L5" s="666"/>
    </row>
    <row r="25" spans="5:14" ht="15" thickBot="1" x14ac:dyDescent="0.35"/>
    <row r="26" spans="5:14" x14ac:dyDescent="0.3">
      <c r="F26" s="669" t="s">
        <v>65</v>
      </c>
      <c r="G26" s="670"/>
      <c r="H26" s="667" t="s">
        <v>97</v>
      </c>
      <c r="I26" s="668"/>
    </row>
    <row r="27" spans="5:14" ht="43.8" thickBot="1" x14ac:dyDescent="0.35">
      <c r="F27" s="72" t="s">
        <v>98</v>
      </c>
      <c r="G27" s="73" t="s">
        <v>99</v>
      </c>
      <c r="H27" s="388" t="s">
        <v>100</v>
      </c>
      <c r="I27" s="76" t="s">
        <v>101</v>
      </c>
      <c r="N27" s="72" t="s">
        <v>98</v>
      </c>
    </row>
    <row r="28" spans="5:14" ht="15" thickBot="1" x14ac:dyDescent="0.35">
      <c r="E28" s="74" t="s">
        <v>102</v>
      </c>
      <c r="F28" s="77">
        <v>0</v>
      </c>
      <c r="G28" s="32">
        <v>0</v>
      </c>
      <c r="H28" s="77">
        <v>0</v>
      </c>
      <c r="I28" s="32">
        <v>0</v>
      </c>
      <c r="N28" s="77">
        <v>0</v>
      </c>
    </row>
    <row r="29" spans="5:14" ht="15" thickBot="1" x14ac:dyDescent="0.35">
      <c r="E29" s="75">
        <v>45939</v>
      </c>
      <c r="F29" s="78">
        <v>0.17555411909840948</v>
      </c>
      <c r="G29" s="34">
        <f t="shared" ref="G29:G33" si="0">+G28+F29</f>
        <v>0.17555411909840948</v>
      </c>
      <c r="H29" s="175">
        <v>0.22539989796319654</v>
      </c>
      <c r="I29" s="33">
        <f>+I28+H29</f>
        <v>0.22539989796319654</v>
      </c>
      <c r="L29" t="s">
        <v>110</v>
      </c>
      <c r="N29" s="78">
        <v>0.17555411909840948</v>
      </c>
    </row>
    <row r="30" spans="5:14" ht="15" thickBot="1" x14ac:dyDescent="0.35">
      <c r="E30" s="75">
        <v>45962</v>
      </c>
      <c r="F30" s="78">
        <v>0.17781549871395125</v>
      </c>
      <c r="G30" s="34">
        <f t="shared" si="0"/>
        <v>0.35336961781236076</v>
      </c>
      <c r="H30" s="263">
        <f>+H62</f>
        <v>0.35859954439656372</v>
      </c>
      <c r="I30" s="363">
        <f>+I29+H30</f>
        <v>0.58399944235976031</v>
      </c>
      <c r="N30" s="78">
        <v>0.17781549871395125</v>
      </c>
    </row>
    <row r="31" spans="5:14" ht="15" thickBot="1" x14ac:dyDescent="0.35">
      <c r="E31" s="75">
        <v>45992</v>
      </c>
      <c r="F31" s="78">
        <v>0.28006744893033036</v>
      </c>
      <c r="G31" s="34">
        <f t="shared" si="0"/>
        <v>0.63343706674269118</v>
      </c>
      <c r="H31" s="263">
        <f>+H63</f>
        <v>0.14147618693212194</v>
      </c>
      <c r="I31" s="363">
        <f>+I30+H31</f>
        <v>0.72547562929188225</v>
      </c>
      <c r="N31" s="78">
        <v>0.28006744893033036</v>
      </c>
    </row>
    <row r="32" spans="5:14" ht="15" thickBot="1" x14ac:dyDescent="0.35">
      <c r="E32" s="75">
        <v>46023</v>
      </c>
      <c r="F32" s="262">
        <v>0.21632749074336358</v>
      </c>
      <c r="G32" s="34">
        <f t="shared" si="0"/>
        <v>0.84976455748605473</v>
      </c>
      <c r="H32" s="263"/>
      <c r="I32" s="363" t="s">
        <v>110</v>
      </c>
      <c r="K32" t="s">
        <v>110</v>
      </c>
      <c r="N32" s="262">
        <v>0.21632749074336358</v>
      </c>
    </row>
    <row r="33" spans="2:14" ht="15" thickBot="1" x14ac:dyDescent="0.35">
      <c r="E33" s="75">
        <v>46054</v>
      </c>
      <c r="F33" s="262">
        <v>0.15023544251394616</v>
      </c>
      <c r="G33" s="34">
        <f t="shared" si="0"/>
        <v>1.0000000000000009</v>
      </c>
      <c r="H33" s="263"/>
      <c r="I33" s="363" t="s">
        <v>110</v>
      </c>
      <c r="N33" s="262">
        <v>0.15023544251394616</v>
      </c>
    </row>
    <row r="34" spans="2:14" ht="15" thickBot="1" x14ac:dyDescent="0.35">
      <c r="E34" s="291"/>
      <c r="F34" s="276" t="s">
        <v>110</v>
      </c>
      <c r="G34" s="265">
        <f>+G33</f>
        <v>1.0000000000000009</v>
      </c>
      <c r="H34" s="387" t="s">
        <v>110</v>
      </c>
      <c r="I34" s="389">
        <f>+I31</f>
        <v>0.72547562929188225</v>
      </c>
    </row>
    <row r="35" spans="2:14" ht="15" thickBot="1" x14ac:dyDescent="0.35">
      <c r="B35" s="290"/>
      <c r="C35" s="58"/>
      <c r="D35" s="59"/>
    </row>
    <row r="36" spans="2:14" ht="15" customHeight="1" x14ac:dyDescent="0.3">
      <c r="B36" s="661" t="s">
        <v>103</v>
      </c>
      <c r="C36" s="662"/>
      <c r="D36" s="662"/>
      <c r="E36" s="662"/>
      <c r="F36" s="662"/>
      <c r="G36" s="662"/>
      <c r="H36" s="662"/>
      <c r="I36" s="662"/>
      <c r="J36" s="662"/>
      <c r="K36" s="662"/>
      <c r="L36" s="663"/>
    </row>
    <row r="37" spans="2:14" ht="15.75" customHeight="1" thickBot="1" x14ac:dyDescent="0.35">
      <c r="B37" s="664"/>
      <c r="C37" s="665"/>
      <c r="D37" s="665"/>
      <c r="E37" s="665"/>
      <c r="F37" s="665"/>
      <c r="G37" s="665"/>
      <c r="H37" s="665"/>
      <c r="I37" s="665"/>
      <c r="J37" s="665"/>
      <c r="K37" s="665"/>
      <c r="L37" s="666"/>
    </row>
    <row r="57" spans="5:11" ht="15" thickBot="1" x14ac:dyDescent="0.35"/>
    <row r="58" spans="5:11" x14ac:dyDescent="0.3">
      <c r="F58" s="657" t="s">
        <v>65</v>
      </c>
      <c r="G58" s="658"/>
      <c r="H58" s="659" t="s">
        <v>66</v>
      </c>
      <c r="I58" s="660"/>
    </row>
    <row r="59" spans="5:11" ht="43.8" thickBot="1" x14ac:dyDescent="0.35">
      <c r="F59" s="72" t="s">
        <v>98</v>
      </c>
      <c r="G59" s="73" t="s">
        <v>99</v>
      </c>
      <c r="H59" s="415" t="s">
        <v>100</v>
      </c>
      <c r="I59" s="71" t="s">
        <v>101</v>
      </c>
    </row>
    <row r="60" spans="5:11" ht="15" thickBot="1" x14ac:dyDescent="0.35">
      <c r="E60" s="174" t="s">
        <v>102</v>
      </c>
      <c r="F60" s="77">
        <v>0</v>
      </c>
      <c r="G60" s="32">
        <v>0</v>
      </c>
      <c r="H60" s="77">
        <v>0</v>
      </c>
      <c r="I60" s="32">
        <v>0</v>
      </c>
    </row>
    <row r="61" spans="5:11" ht="15" thickBot="1" x14ac:dyDescent="0.35">
      <c r="E61" s="75">
        <v>45939</v>
      </c>
      <c r="F61" s="78">
        <v>0.17555411909840948</v>
      </c>
      <c r="G61" s="34">
        <f t="shared" ref="G61:G65" si="1">+G60+F61</f>
        <v>0.17555411909840948</v>
      </c>
      <c r="H61" s="175">
        <f>+'C.G. AVANCE DE OBRA'!J14</f>
        <v>0.22539989796319654</v>
      </c>
      <c r="I61" s="33">
        <f>+I60+H61</f>
        <v>0.22539989796319654</v>
      </c>
    </row>
    <row r="62" spans="5:11" ht="15" thickBot="1" x14ac:dyDescent="0.35">
      <c r="E62" s="75">
        <v>45962</v>
      </c>
      <c r="F62" s="78">
        <v>0.17781549871395125</v>
      </c>
      <c r="G62" s="34">
        <f t="shared" si="1"/>
        <v>0.35336961781236076</v>
      </c>
      <c r="H62" s="263">
        <f>+'C.G. AVANCE DE OBRA'!J15</f>
        <v>0.35859954439656372</v>
      </c>
      <c r="I62" s="363">
        <f>+I61+H62</f>
        <v>0.58399944235976031</v>
      </c>
      <c r="K62" s="287"/>
    </row>
    <row r="63" spans="5:11" ht="15" thickBot="1" x14ac:dyDescent="0.35">
      <c r="E63" s="75">
        <v>45992</v>
      </c>
      <c r="F63" s="78">
        <v>0.28006744893033036</v>
      </c>
      <c r="G63" s="34">
        <f t="shared" si="1"/>
        <v>0.63343706674269118</v>
      </c>
      <c r="H63" s="263">
        <f>+'C.G. AVANCE DE OBRA'!J16</f>
        <v>0.14147618693212194</v>
      </c>
      <c r="I63" s="363">
        <f>+I62+H63</f>
        <v>0.72547562929188225</v>
      </c>
      <c r="K63" s="286"/>
    </row>
    <row r="64" spans="5:11" ht="15" thickBot="1" x14ac:dyDescent="0.35">
      <c r="E64" s="75">
        <v>46023</v>
      </c>
      <c r="F64" s="262">
        <v>0.21632749074336358</v>
      </c>
      <c r="G64" s="34">
        <f t="shared" si="1"/>
        <v>0.84976455748605473</v>
      </c>
      <c r="H64" s="263"/>
      <c r="I64" s="363" t="s">
        <v>110</v>
      </c>
    </row>
    <row r="65" spans="5:9" x14ac:dyDescent="0.3">
      <c r="E65" s="75">
        <v>46054</v>
      </c>
      <c r="F65" s="262">
        <v>0.15023544251394616</v>
      </c>
      <c r="G65" s="34">
        <f t="shared" si="1"/>
        <v>1.0000000000000009</v>
      </c>
      <c r="H65" s="263"/>
      <c r="I65" s="363" t="s">
        <v>110</v>
      </c>
    </row>
    <row r="66" spans="5:9" ht="15" thickBot="1" x14ac:dyDescent="0.35">
      <c r="E66" s="264" t="s">
        <v>110</v>
      </c>
      <c r="F66" s="276" t="s">
        <v>110</v>
      </c>
      <c r="G66" s="265">
        <f>+G65</f>
        <v>1.0000000000000009</v>
      </c>
      <c r="H66" s="387" t="s">
        <v>110</v>
      </c>
      <c r="I66" s="389">
        <f>+I63</f>
        <v>0.72547562929188225</v>
      </c>
    </row>
    <row r="69" spans="5:9" x14ac:dyDescent="0.3">
      <c r="F69" t="s">
        <v>110</v>
      </c>
    </row>
  </sheetData>
  <mergeCells count="7">
    <mergeCell ref="B2:K2"/>
    <mergeCell ref="F58:G58"/>
    <mergeCell ref="H58:I58"/>
    <mergeCell ref="B4:L5"/>
    <mergeCell ref="H26:I26"/>
    <mergeCell ref="F26:G26"/>
    <mergeCell ref="B36:L37"/>
  </mergeCells>
  <printOptions horizontalCentered="1" verticalCentered="1"/>
  <pageMargins left="0.70866141732283461" right="0.70866141732283461" top="0.74803149606299213" bottom="0.74803149606299213" header="0.31496062992125984" footer="0.31496062992125984"/>
  <pageSetup paperSize="9" scale="91" orientation="landscape" r:id="rId1"/>
  <rowBreaks count="1" manualBreakCount="1">
    <brk id="35" min="1" max="11" man="1"/>
  </rowBreaks>
  <ignoredErrors>
    <ignoredError sqref="H61:H63 H30:H31" 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O37"/>
  <sheetViews>
    <sheetView view="pageBreakPreview" zoomScaleNormal="120" zoomScaleSheetLayoutView="100" workbookViewId="0">
      <selection activeCell="I24" sqref="I24"/>
    </sheetView>
  </sheetViews>
  <sheetFormatPr baseColWidth="10" defaultColWidth="11.44140625" defaultRowHeight="13.8" x14ac:dyDescent="0.3"/>
  <cols>
    <col min="1" max="1" width="15" style="87" customWidth="1"/>
    <col min="2" max="2" width="22.5546875" style="87" customWidth="1"/>
    <col min="3" max="3" width="45.5546875" style="87" customWidth="1"/>
    <col min="4" max="4" width="16" style="87" customWidth="1"/>
    <col min="5" max="5" width="15.109375" style="87" customWidth="1"/>
    <col min="6" max="6" width="14" style="87" customWidth="1"/>
    <col min="7" max="7" width="13" style="87" bestFit="1" customWidth="1"/>
    <col min="8" max="8" width="14.44140625" style="87" bestFit="1" customWidth="1"/>
    <col min="9" max="9" width="17.44140625" style="87" customWidth="1"/>
    <col min="10" max="10" width="14.5546875" style="87" customWidth="1"/>
    <col min="11" max="11" width="14" style="87" customWidth="1"/>
    <col min="12" max="12" width="15.5546875" style="87" customWidth="1"/>
    <col min="13" max="13" width="14.109375" style="87" customWidth="1"/>
    <col min="14" max="14" width="14.44140625" style="87" customWidth="1"/>
    <col min="15" max="15" width="11.44140625" style="87" customWidth="1"/>
    <col min="16" max="16384" width="11.44140625" style="87"/>
  </cols>
  <sheetData>
    <row r="1" spans="1:15" x14ac:dyDescent="0.3">
      <c r="F1" s="88"/>
      <c r="G1" s="89"/>
      <c r="H1" s="90"/>
      <c r="I1" s="88"/>
      <c r="J1" s="89"/>
      <c r="K1" s="91"/>
      <c r="L1" s="88"/>
      <c r="M1" s="89"/>
    </row>
    <row r="2" spans="1:15" ht="14.4" thickBot="1" x14ac:dyDescent="0.35"/>
    <row r="3" spans="1:15" ht="27" customHeight="1" thickBot="1" x14ac:dyDescent="0.35">
      <c r="A3" s="676" t="s">
        <v>119</v>
      </c>
      <c r="B3" s="677"/>
      <c r="C3" s="677"/>
      <c r="D3" s="677"/>
      <c r="E3" s="677"/>
      <c r="F3" s="677"/>
      <c r="G3" s="677"/>
      <c r="H3" s="677"/>
      <c r="I3" s="678"/>
      <c r="J3" s="92"/>
      <c r="K3" s="92"/>
      <c r="L3" s="92"/>
      <c r="M3" s="92"/>
    </row>
    <row r="4" spans="1:15" ht="14.4" thickBot="1" x14ac:dyDescent="0.35">
      <c r="A4" s="93"/>
      <c r="B4" s="93"/>
      <c r="C4" s="93"/>
      <c r="D4" s="93"/>
      <c r="E4" s="93"/>
      <c r="F4" s="93"/>
      <c r="G4" s="94"/>
      <c r="I4" s="95"/>
    </row>
    <row r="5" spans="1:15" ht="36.75" customHeight="1" x14ac:dyDescent="0.3">
      <c r="A5" s="689" t="s">
        <v>0</v>
      </c>
      <c r="B5" s="690"/>
      <c r="C5" s="679" t="str">
        <f>+FICHA!E4</f>
        <v xml:space="preserve">"CONSTRUCCION DE NICHO, COLUMBARIO Y CREMATORIO; REMODELACION DE VELATORIO; EN EL (LA) CEMENTERIO MUNICIPAL EN EL CENTRO POBLADO SANTIAGO DE SURCO, DISTRITO DE SANTIAGO DE SURCO, PROVINCIA LIMA, DEPARTAMENTO LIMA" CUI N| 2658565 - ETAPA COLUMBARIO. </v>
      </c>
      <c r="D5" s="679"/>
      <c r="E5" s="679"/>
      <c r="F5" s="679"/>
      <c r="G5" s="679"/>
      <c r="H5" s="679"/>
      <c r="I5" s="680"/>
      <c r="J5" s="96"/>
      <c r="K5" s="96"/>
      <c r="L5" s="96"/>
      <c r="M5" s="96"/>
      <c r="N5" s="96"/>
      <c r="O5" s="96"/>
    </row>
    <row r="6" spans="1:15" x14ac:dyDescent="0.3">
      <c r="A6" s="687" t="s">
        <v>161</v>
      </c>
      <c r="B6" s="688"/>
      <c r="C6" s="691" t="str">
        <f>+FICHA!E15</f>
        <v>004-2025-CS-MSS-PRIMERA CONVOCATORIA</v>
      </c>
      <c r="D6" s="691"/>
      <c r="E6" s="691"/>
      <c r="F6" s="691"/>
      <c r="G6" s="691"/>
      <c r="H6" s="691"/>
      <c r="I6" s="692"/>
    </row>
    <row r="7" spans="1:15" x14ac:dyDescent="0.3">
      <c r="A7" s="687" t="s">
        <v>162</v>
      </c>
      <c r="B7" s="688"/>
      <c r="C7" s="691" t="str">
        <f>+FICHA!E8</f>
        <v>MUNICIPALIDAD DISTRITAL DE SANTIAGO DE SURCO</v>
      </c>
      <c r="D7" s="691"/>
      <c r="E7" s="691"/>
      <c r="F7" s="691"/>
      <c r="G7" s="691"/>
      <c r="H7" s="691"/>
      <c r="I7" s="692"/>
    </row>
    <row r="8" spans="1:15" x14ac:dyDescent="0.3">
      <c r="A8" s="687" t="s">
        <v>120</v>
      </c>
      <c r="B8" s="688"/>
      <c r="C8" s="693">
        <f>+FICHA!E20</f>
        <v>1730120.84</v>
      </c>
      <c r="D8" s="694"/>
      <c r="E8" s="698" t="s">
        <v>121</v>
      </c>
      <c r="F8" s="698"/>
      <c r="G8" s="698"/>
      <c r="H8" s="698"/>
      <c r="I8" s="699"/>
    </row>
    <row r="9" spans="1:15" ht="14.4" x14ac:dyDescent="0.3">
      <c r="A9" s="84" t="s">
        <v>122</v>
      </c>
      <c r="B9" s="83"/>
      <c r="C9" s="693">
        <f>+FICHA!E18</f>
        <v>1821179.83</v>
      </c>
      <c r="D9" s="694"/>
      <c r="E9" s="698" t="s">
        <v>121</v>
      </c>
      <c r="F9" s="698"/>
      <c r="G9" s="698"/>
      <c r="H9" s="698"/>
      <c r="I9" s="699"/>
    </row>
    <row r="10" spans="1:15" ht="15" thickBot="1" x14ac:dyDescent="0.35">
      <c r="A10" s="85" t="s">
        <v>123</v>
      </c>
      <c r="B10" s="86"/>
      <c r="C10" s="695">
        <v>45536</v>
      </c>
      <c r="D10" s="696"/>
      <c r="E10" s="696"/>
      <c r="F10" s="696"/>
      <c r="G10" s="696"/>
      <c r="H10" s="696"/>
      <c r="I10" s="697"/>
    </row>
    <row r="11" spans="1:15" x14ac:dyDescent="0.3">
      <c r="A11" s="97"/>
      <c r="B11" s="98"/>
      <c r="D11" s="99"/>
      <c r="E11" s="98"/>
      <c r="F11" s="98"/>
      <c r="G11" s="98"/>
      <c r="H11" s="98"/>
      <c r="I11" s="98"/>
    </row>
    <row r="12" spans="1:15" x14ac:dyDescent="0.3">
      <c r="A12" s="100" t="s">
        <v>124</v>
      </c>
      <c r="B12" s="101"/>
      <c r="C12" s="101"/>
      <c r="D12" s="101"/>
      <c r="E12" s="102"/>
      <c r="F12" s="101"/>
      <c r="G12" s="101"/>
      <c r="H12" s="101"/>
      <c r="I12" s="101"/>
    </row>
    <row r="13" spans="1:15" x14ac:dyDescent="0.3">
      <c r="A13" s="681" t="s">
        <v>213</v>
      </c>
      <c r="B13" s="682"/>
      <c r="C13" s="682"/>
      <c r="D13" s="682"/>
      <c r="E13" s="682"/>
      <c r="F13" s="682"/>
      <c r="G13" s="682"/>
      <c r="H13" s="682"/>
      <c r="I13" s="683"/>
    </row>
    <row r="14" spans="1:15" x14ac:dyDescent="0.3">
      <c r="A14" s="684"/>
      <c r="B14" s="685"/>
      <c r="C14" s="685"/>
      <c r="D14" s="685"/>
      <c r="E14" s="685"/>
      <c r="F14" s="685"/>
      <c r="G14" s="685"/>
      <c r="H14" s="685"/>
      <c r="I14" s="686"/>
    </row>
    <row r="15" spans="1:15" x14ac:dyDescent="0.3">
      <c r="A15" s="103"/>
      <c r="B15" s="104"/>
      <c r="C15" s="104"/>
      <c r="D15" s="104"/>
      <c r="E15" s="104"/>
      <c r="F15" s="104"/>
      <c r="G15" s="104"/>
      <c r="H15" s="104"/>
      <c r="I15" s="105"/>
    </row>
    <row r="16" spans="1:15" ht="27.6" x14ac:dyDescent="0.3">
      <c r="A16" s="106" t="s">
        <v>125</v>
      </c>
      <c r="B16" s="106" t="s">
        <v>118</v>
      </c>
      <c r="C16" s="106" t="s">
        <v>116</v>
      </c>
      <c r="D16" s="106" t="s">
        <v>113</v>
      </c>
      <c r="E16" s="106" t="s">
        <v>126</v>
      </c>
      <c r="F16" s="106" t="s">
        <v>127</v>
      </c>
      <c r="G16" s="106" t="s">
        <v>204</v>
      </c>
      <c r="H16" s="107" t="s">
        <v>205</v>
      </c>
      <c r="I16" s="107" t="s">
        <v>206</v>
      </c>
    </row>
    <row r="17" spans="1:9" x14ac:dyDescent="0.3">
      <c r="A17" s="101"/>
      <c r="B17" s="101"/>
      <c r="C17" s="101"/>
      <c r="D17" s="101"/>
      <c r="E17" s="101"/>
      <c r="F17" s="101"/>
      <c r="G17" s="101"/>
      <c r="H17" s="101"/>
      <c r="I17" s="101"/>
    </row>
    <row r="18" spans="1:9" x14ac:dyDescent="0.3">
      <c r="A18" s="112">
        <v>1</v>
      </c>
      <c r="B18" s="179">
        <v>47</v>
      </c>
      <c r="C18" s="81" t="s">
        <v>169</v>
      </c>
      <c r="D18" s="114" t="s">
        <v>210</v>
      </c>
      <c r="E18" s="113">
        <v>0.17299999999999999</v>
      </c>
      <c r="F18" s="116">
        <v>1</v>
      </c>
      <c r="G18" s="111">
        <v>738.61</v>
      </c>
      <c r="H18" s="111">
        <v>742.39</v>
      </c>
      <c r="I18" s="113">
        <f>+ROUND($E18*(H18/$G18)*F18,3)</f>
        <v>0.17399999999999999</v>
      </c>
    </row>
    <row r="19" spans="1:9" x14ac:dyDescent="0.3">
      <c r="A19" s="112">
        <v>2</v>
      </c>
      <c r="B19" s="179">
        <v>11</v>
      </c>
      <c r="C19" s="81" t="s">
        <v>207</v>
      </c>
      <c r="D19" s="114" t="s">
        <v>170</v>
      </c>
      <c r="E19" s="113">
        <v>0.20100000000000001</v>
      </c>
      <c r="F19" s="116">
        <v>1</v>
      </c>
      <c r="G19" s="111">
        <v>273.17</v>
      </c>
      <c r="H19" s="111">
        <v>264.67</v>
      </c>
      <c r="I19" s="113">
        <f>+ROUND($E19*(H19/$G19)*F19,3)</f>
        <v>0.19500000000000001</v>
      </c>
    </row>
    <row r="20" spans="1:9" x14ac:dyDescent="0.3">
      <c r="A20" s="114">
        <v>3</v>
      </c>
      <c r="B20" s="179">
        <v>19</v>
      </c>
      <c r="C20" s="81" t="s">
        <v>208</v>
      </c>
      <c r="D20" s="114" t="s">
        <v>115</v>
      </c>
      <c r="E20" s="113">
        <v>0.13200000000000001</v>
      </c>
      <c r="F20" s="116">
        <v>1</v>
      </c>
      <c r="G20" s="111">
        <v>1049.03</v>
      </c>
      <c r="H20" s="111">
        <v>1041.44</v>
      </c>
      <c r="I20" s="113">
        <f>+ROUND($E20*(H20/$G20)*F20,3)</f>
        <v>0.13100000000000001</v>
      </c>
    </row>
    <row r="21" spans="1:9" x14ac:dyDescent="0.3">
      <c r="A21" s="114">
        <v>4</v>
      </c>
      <c r="B21" s="179">
        <v>30</v>
      </c>
      <c r="C21" s="203" t="s">
        <v>209</v>
      </c>
      <c r="D21" s="114" t="s">
        <v>211</v>
      </c>
      <c r="E21" s="673">
        <v>0.36899999999999999</v>
      </c>
      <c r="F21" s="116">
        <v>0.87263000000000002</v>
      </c>
      <c r="G21" s="111">
        <v>689.99</v>
      </c>
      <c r="H21" s="111">
        <v>671.28</v>
      </c>
      <c r="I21" s="671">
        <v>0.35899999999999999</v>
      </c>
    </row>
    <row r="22" spans="1:9" x14ac:dyDescent="0.3">
      <c r="A22" s="114" t="s">
        <v>110</v>
      </c>
      <c r="B22" s="179">
        <v>49</v>
      </c>
      <c r="C22" s="203" t="s">
        <v>168</v>
      </c>
      <c r="D22" s="114" t="s">
        <v>171</v>
      </c>
      <c r="E22" s="674"/>
      <c r="F22" s="116">
        <v>0.12737000000000001</v>
      </c>
      <c r="G22" s="111">
        <v>440.33</v>
      </c>
      <c r="H22" s="111">
        <v>432.41</v>
      </c>
      <c r="I22" s="672"/>
    </row>
    <row r="23" spans="1:9" x14ac:dyDescent="0.3">
      <c r="A23" s="114">
        <v>5</v>
      </c>
      <c r="B23" s="179">
        <v>39</v>
      </c>
      <c r="C23" s="81" t="s">
        <v>114</v>
      </c>
      <c r="D23" s="114" t="s">
        <v>212</v>
      </c>
      <c r="E23" s="113">
        <v>0.125</v>
      </c>
      <c r="F23" s="116">
        <v>1</v>
      </c>
      <c r="G23" s="111">
        <v>558.37</v>
      </c>
      <c r="H23" s="111">
        <v>568.63</v>
      </c>
      <c r="I23" s="113">
        <f>+ROUND($E23*(H23/$G23)*F23,3)</f>
        <v>0.127</v>
      </c>
    </row>
    <row r="24" spans="1:9" x14ac:dyDescent="0.3">
      <c r="A24" s="109"/>
      <c r="B24" s="109"/>
      <c r="C24" s="109"/>
      <c r="D24" s="108" t="s">
        <v>128</v>
      </c>
      <c r="E24" s="110">
        <f>+SUM(E18:E23)</f>
        <v>1</v>
      </c>
      <c r="F24" s="117"/>
      <c r="G24" s="109"/>
      <c r="H24" s="109"/>
      <c r="I24" s="110">
        <f>SUM(I18:I23)</f>
        <v>0.98599999999999999</v>
      </c>
    </row>
    <row r="25" spans="1:9" x14ac:dyDescent="0.3">
      <c r="A25" s="82"/>
      <c r="G25" s="87" t="s">
        <v>110</v>
      </c>
    </row>
    <row r="26" spans="1:9" ht="14.1" customHeight="1" x14ac:dyDescent="0.3">
      <c r="A26" s="103"/>
      <c r="B26" s="675" t="s">
        <v>163</v>
      </c>
      <c r="C26" s="675"/>
      <c r="D26" s="675"/>
      <c r="E26" s="675"/>
      <c r="F26" s="104"/>
      <c r="G26" s="104"/>
      <c r="H26" s="104"/>
      <c r="I26" s="105"/>
    </row>
    <row r="29" spans="1:9" x14ac:dyDescent="0.3">
      <c r="H29" s="87">
        <f>H21/G21*F21*0.369</f>
        <v>0.31326899737909242</v>
      </c>
    </row>
    <row r="30" spans="1:9" x14ac:dyDescent="0.3">
      <c r="H30" s="87">
        <f>H22/G22*0.369*F22</f>
        <v>4.6154172478141402E-2</v>
      </c>
    </row>
    <row r="31" spans="1:9" x14ac:dyDescent="0.3">
      <c r="E31" s="87">
        <f>H18/G18*E18*F18</f>
        <v>0.17388536575459307</v>
      </c>
      <c r="H31" s="87">
        <f>H29+H30</f>
        <v>0.35942316985723383</v>
      </c>
    </row>
    <row r="33" spans="11:11" x14ac:dyDescent="0.3">
      <c r="K33" s="115">
        <v>5</v>
      </c>
    </row>
    <row r="34" spans="11:11" x14ac:dyDescent="0.3">
      <c r="K34" s="115">
        <v>13</v>
      </c>
    </row>
    <row r="35" spans="11:11" x14ac:dyDescent="0.3">
      <c r="K35" s="115">
        <v>48</v>
      </c>
    </row>
    <row r="36" spans="11:11" x14ac:dyDescent="0.3">
      <c r="K36" s="115">
        <v>30</v>
      </c>
    </row>
    <row r="37" spans="11:11" x14ac:dyDescent="0.3">
      <c r="K37" s="115">
        <v>39</v>
      </c>
    </row>
  </sheetData>
  <mergeCells count="17">
    <mergeCell ref="E9:I9"/>
    <mergeCell ref="I21:I22"/>
    <mergeCell ref="E21:E22"/>
    <mergeCell ref="B26:E26"/>
    <mergeCell ref="A3:I3"/>
    <mergeCell ref="C5:I5"/>
    <mergeCell ref="A13:I14"/>
    <mergeCell ref="A8:B8"/>
    <mergeCell ref="A7:B7"/>
    <mergeCell ref="A6:B6"/>
    <mergeCell ref="A5:B5"/>
    <mergeCell ref="C7:I7"/>
    <mergeCell ref="C6:I6"/>
    <mergeCell ref="C9:D9"/>
    <mergeCell ref="C8:D8"/>
    <mergeCell ref="C10:I10"/>
    <mergeCell ref="E8:I8"/>
  </mergeCells>
  <pageMargins left="0.64" right="0.70866141732283472" top="1.9" bottom="0.74803149606299213" header="0.31496062992125984" footer="0.31496062992125984"/>
  <pageSetup paperSize="9" scale="76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N56"/>
  <sheetViews>
    <sheetView view="pageBreakPreview" topLeftCell="A16" zoomScaleNormal="124" zoomScaleSheetLayoutView="100" workbookViewId="0">
      <selection activeCell="H32" sqref="H32"/>
    </sheetView>
  </sheetViews>
  <sheetFormatPr baseColWidth="10" defaultColWidth="11.44140625" defaultRowHeight="13.8" x14ac:dyDescent="0.3"/>
  <cols>
    <col min="1" max="1" width="11.44140625" style="87"/>
    <col min="2" max="2" width="10.5546875" style="87" customWidth="1"/>
    <col min="3" max="3" width="17" style="87" customWidth="1"/>
    <col min="4" max="5" width="15.5546875" style="87" customWidth="1"/>
    <col min="6" max="6" width="19" style="87" customWidth="1"/>
    <col min="7" max="7" width="17.5546875" style="87" customWidth="1"/>
    <col min="8" max="9" width="17.44140625" style="87" customWidth="1"/>
    <col min="10" max="10" width="18.44140625" style="87" customWidth="1"/>
    <col min="11" max="11" width="13.5546875" style="87" customWidth="1"/>
    <col min="12" max="12" width="20.44140625" style="87" customWidth="1"/>
    <col min="13" max="13" width="14.5546875" style="87" customWidth="1"/>
    <col min="14" max="14" width="14.44140625" style="87" customWidth="1"/>
    <col min="15" max="16384" width="11.44140625" style="87"/>
  </cols>
  <sheetData>
    <row r="1" spans="1:14" x14ac:dyDescent="0.3">
      <c r="G1" s="88"/>
      <c r="H1" s="89"/>
      <c r="I1" s="90"/>
      <c r="J1" s="88"/>
      <c r="K1" s="89"/>
      <c r="L1" s="91"/>
      <c r="M1" s="88"/>
      <c r="N1" s="89"/>
    </row>
    <row r="2" spans="1:14" x14ac:dyDescent="0.3">
      <c r="G2" s="88"/>
      <c r="H2" s="89"/>
      <c r="I2" s="90"/>
      <c r="J2" s="88"/>
      <c r="K2" s="89"/>
      <c r="L2" s="91"/>
      <c r="M2" s="88"/>
      <c r="N2" s="89"/>
    </row>
    <row r="3" spans="1:14" ht="14.4" thickBot="1" x14ac:dyDescent="0.35"/>
    <row r="4" spans="1:14" ht="30" customHeight="1" thickBot="1" x14ac:dyDescent="0.35">
      <c r="A4" s="702" t="s">
        <v>119</v>
      </c>
      <c r="B4" s="703"/>
      <c r="C4" s="703"/>
      <c r="D4" s="703"/>
      <c r="E4" s="703"/>
      <c r="F4" s="703"/>
      <c r="G4" s="703"/>
      <c r="H4" s="703"/>
      <c r="I4" s="703"/>
      <c r="J4" s="703"/>
    </row>
    <row r="5" spans="1:14" ht="14.4" thickBot="1" x14ac:dyDescent="0.35">
      <c r="B5" s="93"/>
      <c r="C5" s="93"/>
      <c r="D5" s="93"/>
      <c r="E5" s="93"/>
      <c r="F5" s="93"/>
      <c r="G5" s="93"/>
      <c r="H5" s="94"/>
      <c r="J5" s="95"/>
    </row>
    <row r="6" spans="1:14" ht="29.25" customHeight="1" x14ac:dyDescent="0.3">
      <c r="A6" s="718" t="s">
        <v>0</v>
      </c>
      <c r="B6" s="719"/>
      <c r="C6" s="719"/>
      <c r="D6" s="704" t="str">
        <f>+K!C5</f>
        <v xml:space="preserve">"CONSTRUCCION DE NICHO, COLUMBARIO Y CREMATORIO; REMODELACION DE VELATORIO; EN EL (LA) CEMENTERIO MUNICIPAL EN EL CENTRO POBLADO SANTIAGO DE SURCO, DISTRITO DE SANTIAGO DE SURCO, PROVINCIA LIMA, DEPARTAMENTO LIMA" CUI N| 2658565 - ETAPA COLUMBARIO. </v>
      </c>
      <c r="E6" s="704"/>
      <c r="F6" s="704"/>
      <c r="G6" s="704"/>
      <c r="H6" s="704"/>
      <c r="I6" s="704"/>
      <c r="J6" s="705"/>
    </row>
    <row r="7" spans="1:14" x14ac:dyDescent="0.3">
      <c r="A7" s="716" t="s">
        <v>161</v>
      </c>
      <c r="B7" s="717"/>
      <c r="C7" s="717"/>
      <c r="D7" s="727" t="str">
        <f>+K!C6</f>
        <v>004-2025-CS-MSS-PRIMERA CONVOCATORIA</v>
      </c>
      <c r="E7" s="728"/>
      <c r="F7" s="728"/>
      <c r="G7" s="728"/>
      <c r="H7" s="728"/>
      <c r="I7" s="728"/>
      <c r="J7" s="729"/>
    </row>
    <row r="8" spans="1:14" x14ac:dyDescent="0.3">
      <c r="A8" s="716" t="s">
        <v>162</v>
      </c>
      <c r="B8" s="717"/>
      <c r="C8" s="717"/>
      <c r="D8" s="727" t="str">
        <f>+FICHA!E8</f>
        <v>MUNICIPALIDAD DISTRITAL DE SANTIAGO DE SURCO</v>
      </c>
      <c r="E8" s="728"/>
      <c r="F8" s="728"/>
      <c r="G8" s="728"/>
      <c r="H8" s="728"/>
      <c r="I8" s="728"/>
      <c r="J8" s="729"/>
    </row>
    <row r="9" spans="1:14" ht="15" customHeight="1" x14ac:dyDescent="0.3">
      <c r="A9" s="716" t="s">
        <v>120</v>
      </c>
      <c r="B9" s="717"/>
      <c r="C9" s="717"/>
      <c r="D9" s="730">
        <f>+FICHA!E18</f>
        <v>1821179.83</v>
      </c>
      <c r="E9" s="730"/>
      <c r="F9" s="731" t="s">
        <v>121</v>
      </c>
      <c r="G9" s="731"/>
      <c r="H9" s="731"/>
      <c r="I9" s="731"/>
      <c r="J9" s="732"/>
    </row>
    <row r="10" spans="1:14" ht="15" customHeight="1" x14ac:dyDescent="0.3">
      <c r="A10" s="716" t="s">
        <v>122</v>
      </c>
      <c r="B10" s="717"/>
      <c r="C10" s="717"/>
      <c r="D10" s="730">
        <f>+FICHA!E20</f>
        <v>1730120.84</v>
      </c>
      <c r="E10" s="730"/>
      <c r="F10" s="731" t="s">
        <v>121</v>
      </c>
      <c r="G10" s="731"/>
      <c r="H10" s="731"/>
      <c r="I10" s="731"/>
      <c r="J10" s="732"/>
    </row>
    <row r="11" spans="1:14" ht="15" customHeight="1" x14ac:dyDescent="0.3">
      <c r="A11" s="716" t="s">
        <v>157</v>
      </c>
      <c r="B11" s="717"/>
      <c r="C11" s="717"/>
      <c r="D11" s="730">
        <f>+D10/1.18</f>
        <v>1466204.1016949154</v>
      </c>
      <c r="E11" s="730"/>
      <c r="F11" s="731" t="s">
        <v>129</v>
      </c>
      <c r="G11" s="731"/>
      <c r="H11" s="731"/>
      <c r="I11" s="731"/>
      <c r="J11" s="732"/>
    </row>
    <row r="12" spans="1:14" ht="15" customHeight="1" thickBot="1" x14ac:dyDescent="0.35">
      <c r="A12" s="723" t="s">
        <v>123</v>
      </c>
      <c r="B12" s="724"/>
      <c r="C12" s="724"/>
      <c r="D12" s="725">
        <v>45203</v>
      </c>
      <c r="E12" s="725"/>
      <c r="F12" s="725"/>
      <c r="G12" s="725"/>
      <c r="H12" s="725"/>
      <c r="I12" s="725"/>
      <c r="J12" s="726"/>
    </row>
    <row r="13" spans="1:14" x14ac:dyDescent="0.3">
      <c r="A13" s="100" t="s">
        <v>124</v>
      </c>
      <c r="C13" s="101"/>
      <c r="D13" s="101"/>
      <c r="E13" s="101"/>
      <c r="F13" s="102"/>
      <c r="G13" s="101"/>
      <c r="H13" s="101"/>
      <c r="I13" s="101"/>
      <c r="J13" s="101"/>
    </row>
    <row r="14" spans="1:14" ht="12.75" customHeight="1" thickBot="1" x14ac:dyDescent="0.35">
      <c r="C14" s="120"/>
      <c r="D14" s="120"/>
      <c r="E14" s="120"/>
      <c r="F14" s="120"/>
      <c r="G14" s="120"/>
      <c r="H14" s="120"/>
      <c r="I14" s="120"/>
      <c r="J14" s="120"/>
    </row>
    <row r="15" spans="1:14" ht="14.4" thickBot="1" x14ac:dyDescent="0.35">
      <c r="B15" s="720" t="s">
        <v>213</v>
      </c>
      <c r="C15" s="721"/>
      <c r="D15" s="721"/>
      <c r="E15" s="721"/>
      <c r="F15" s="721"/>
      <c r="G15" s="721"/>
      <c r="H15" s="721"/>
      <c r="I15" s="722"/>
      <c r="J15" s="120"/>
    </row>
    <row r="16" spans="1:14" x14ac:dyDescent="0.3">
      <c r="B16" s="101"/>
      <c r="C16" s="101"/>
      <c r="D16" s="101"/>
      <c r="E16" s="101"/>
      <c r="F16" s="101"/>
      <c r="G16" s="101"/>
      <c r="H16" s="121"/>
      <c r="I16" s="101"/>
      <c r="J16" s="101"/>
    </row>
    <row r="17" spans="1:10" ht="14.4" thickBot="1" x14ac:dyDescent="0.35"/>
    <row r="18" spans="1:10" ht="14.4" thickBot="1" x14ac:dyDescent="0.35">
      <c r="F18" s="706" t="s">
        <v>130</v>
      </c>
      <c r="G18" s="707"/>
    </row>
    <row r="19" spans="1:10" ht="14.4" thickBot="1" x14ac:dyDescent="0.35">
      <c r="F19" s="122"/>
      <c r="G19" s="122"/>
    </row>
    <row r="20" spans="1:10" x14ac:dyDescent="0.3">
      <c r="A20" s="708" t="s">
        <v>131</v>
      </c>
      <c r="B20" s="711" t="s">
        <v>132</v>
      </c>
      <c r="C20" s="714" t="s">
        <v>133</v>
      </c>
      <c r="D20" s="714" t="s">
        <v>134</v>
      </c>
      <c r="E20" s="714" t="s">
        <v>135</v>
      </c>
      <c r="F20" s="155" t="s">
        <v>136</v>
      </c>
      <c r="G20" s="156" t="s">
        <v>136</v>
      </c>
      <c r="H20" s="156" t="s">
        <v>136</v>
      </c>
      <c r="I20" s="714" t="s">
        <v>137</v>
      </c>
      <c r="J20" s="162" t="s">
        <v>136</v>
      </c>
    </row>
    <row r="21" spans="1:10" x14ac:dyDescent="0.3">
      <c r="A21" s="709"/>
      <c r="B21" s="712"/>
      <c r="C21" s="715"/>
      <c r="D21" s="715"/>
      <c r="E21" s="715"/>
      <c r="F21" s="157" t="s">
        <v>138</v>
      </c>
      <c r="G21" s="158" t="s">
        <v>65</v>
      </c>
      <c r="H21" s="158" t="s">
        <v>139</v>
      </c>
      <c r="I21" s="715"/>
      <c r="J21" s="161" t="s">
        <v>140</v>
      </c>
    </row>
    <row r="22" spans="1:10" ht="14.4" thickBot="1" x14ac:dyDescent="0.35">
      <c r="A22" s="710"/>
      <c r="B22" s="713"/>
      <c r="C22" s="159" t="s">
        <v>141</v>
      </c>
      <c r="D22" s="160" t="s">
        <v>142</v>
      </c>
      <c r="E22" s="159" t="s">
        <v>143</v>
      </c>
      <c r="F22" s="160" t="s">
        <v>144</v>
      </c>
      <c r="G22" s="159" t="s">
        <v>145</v>
      </c>
      <c r="H22" s="159" t="s">
        <v>146</v>
      </c>
      <c r="I22" s="160" t="s">
        <v>147</v>
      </c>
      <c r="J22" s="163" t="s">
        <v>148</v>
      </c>
    </row>
    <row r="23" spans="1:10" ht="17.399999999999999" customHeight="1" x14ac:dyDescent="0.3">
      <c r="A23" s="123"/>
      <c r="B23" s="124"/>
      <c r="C23" s="125"/>
      <c r="D23" s="125"/>
      <c r="E23" s="125"/>
      <c r="G23" s="125"/>
      <c r="H23" s="125"/>
      <c r="I23" s="125"/>
      <c r="J23" s="126"/>
    </row>
    <row r="24" spans="1:10" ht="17.100000000000001" customHeight="1" thickBot="1" x14ac:dyDescent="0.35">
      <c r="A24" s="166">
        <v>45291</v>
      </c>
      <c r="B24" s="167">
        <v>1</v>
      </c>
      <c r="C24" s="168">
        <f>+VALO!K565</f>
        <v>207432.9693749999</v>
      </c>
      <c r="D24" s="169">
        <v>569004.97</v>
      </c>
      <c r="E24" s="127">
        <f>+K!I24-1</f>
        <v>-1.4000000000000012E-2</v>
      </c>
      <c r="F24" s="168">
        <f>+E24*C24</f>
        <v>-2904.0615712500012</v>
      </c>
      <c r="G24" s="168">
        <f>+ROUND(E24*D24,2)</f>
        <v>-7966.07</v>
      </c>
      <c r="H24" s="168">
        <f>+F24</f>
        <v>-2904.0615712500012</v>
      </c>
      <c r="I24" s="168">
        <f>ROUND(+C24+H24,2)</f>
        <v>204528.91</v>
      </c>
      <c r="J24" s="170">
        <f>+H24</f>
        <v>-2904.0615712500012</v>
      </c>
    </row>
    <row r="25" spans="1:10" ht="20.100000000000001" customHeight="1" thickBot="1" x14ac:dyDescent="0.35">
      <c r="A25" s="700" t="s">
        <v>117</v>
      </c>
      <c r="B25" s="701"/>
      <c r="C25" s="128">
        <f>SUM(C24:C24)</f>
        <v>207432.9693749999</v>
      </c>
      <c r="D25" s="128"/>
      <c r="E25" s="129"/>
      <c r="F25" s="164">
        <f>SUM(F24:F24)</f>
        <v>-2904.0615712500012</v>
      </c>
      <c r="G25" s="164">
        <f>SUM(G24:G24)</f>
        <v>-7966.07</v>
      </c>
      <c r="H25" s="164">
        <f>SUM(H24:H24)</f>
        <v>-2904.0615712500012</v>
      </c>
      <c r="I25" s="130"/>
      <c r="J25" s="131">
        <v>0</v>
      </c>
    </row>
    <row r="26" spans="1:10" x14ac:dyDescent="0.3">
      <c r="D26" s="132"/>
      <c r="E26" s="132"/>
    </row>
    <row r="27" spans="1:10" x14ac:dyDescent="0.3">
      <c r="C27" s="118" t="s">
        <v>149</v>
      </c>
      <c r="D27" s="118"/>
      <c r="E27" s="118"/>
      <c r="F27" s="119" t="s">
        <v>150</v>
      </c>
      <c r="J27" s="87" t="s">
        <v>214</v>
      </c>
    </row>
    <row r="28" spans="1:10" x14ac:dyDescent="0.3">
      <c r="C28" s="133" t="s">
        <v>151</v>
      </c>
      <c r="D28" s="134"/>
      <c r="E28" s="135" t="s">
        <v>152</v>
      </c>
      <c r="F28" s="136">
        <f>+F29+J25</f>
        <v>0</v>
      </c>
      <c r="H28" s="137"/>
    </row>
    <row r="29" spans="1:10" x14ac:dyDescent="0.3">
      <c r="C29" s="133" t="s">
        <v>153</v>
      </c>
      <c r="D29" s="134"/>
      <c r="E29" s="135" t="s">
        <v>152</v>
      </c>
      <c r="F29" s="136">
        <v>0</v>
      </c>
      <c r="G29" s="138"/>
    </row>
    <row r="30" spans="1:10" x14ac:dyDescent="0.3">
      <c r="C30" s="139" t="s">
        <v>154</v>
      </c>
      <c r="D30" s="134"/>
      <c r="E30" s="140" t="s">
        <v>152</v>
      </c>
      <c r="F30" s="141">
        <f>+J25</f>
        <v>0</v>
      </c>
    </row>
    <row r="35" spans="3:12" x14ac:dyDescent="0.3">
      <c r="J35" s="138"/>
      <c r="K35" s="138"/>
      <c r="L35" s="138"/>
    </row>
    <row r="36" spans="3:12" x14ac:dyDescent="0.3">
      <c r="J36" s="138"/>
      <c r="K36" s="138"/>
      <c r="L36" s="138"/>
    </row>
    <row r="37" spans="3:12" x14ac:dyDescent="0.3">
      <c r="C37" s="138"/>
      <c r="D37" s="138"/>
      <c r="E37" s="138"/>
      <c r="F37" s="138"/>
      <c r="G37" s="138"/>
      <c r="H37" s="142"/>
    </row>
    <row r="39" spans="3:12" x14ac:dyDescent="0.3">
      <c r="J39" s="138"/>
      <c r="K39" s="138"/>
      <c r="L39" s="138"/>
    </row>
    <row r="41" spans="3:12" x14ac:dyDescent="0.3">
      <c r="D41" s="143"/>
      <c r="E41" s="144"/>
      <c r="F41" s="145"/>
      <c r="G41" s="146"/>
    </row>
    <row r="42" spans="3:12" x14ac:dyDescent="0.3">
      <c r="D42" s="147"/>
      <c r="E42" s="146" t="s">
        <v>155</v>
      </c>
      <c r="F42" s="148" t="s">
        <v>156</v>
      </c>
      <c r="G42" s="146"/>
    </row>
    <row r="43" spans="3:12" x14ac:dyDescent="0.3">
      <c r="D43" s="149">
        <v>44136</v>
      </c>
      <c r="E43" s="150" t="e">
        <f>+#REF!</f>
        <v>#REF!</v>
      </c>
      <c r="F43" s="151" t="e">
        <f>+E43</f>
        <v>#REF!</v>
      </c>
      <c r="G43" s="146"/>
    </row>
    <row r="44" spans="3:12" x14ac:dyDescent="0.3">
      <c r="D44" s="149">
        <v>44166</v>
      </c>
      <c r="E44" s="150" t="e">
        <f>+#REF!</f>
        <v>#REF!</v>
      </c>
      <c r="F44" s="151" t="e">
        <f>+E44*22/31</f>
        <v>#REF!</v>
      </c>
      <c r="G44" s="146"/>
    </row>
    <row r="45" spans="3:12" x14ac:dyDescent="0.3">
      <c r="D45" s="149">
        <v>44166</v>
      </c>
      <c r="E45" s="150"/>
      <c r="F45" s="151" t="e">
        <f>+E44*0.290322580645161</f>
        <v>#REF!</v>
      </c>
      <c r="G45" s="146"/>
    </row>
    <row r="46" spans="3:12" x14ac:dyDescent="0.3">
      <c r="D46" s="149">
        <v>44197</v>
      </c>
      <c r="E46" s="150" t="e">
        <f>+#REF!</f>
        <v>#REF!</v>
      </c>
      <c r="F46" s="151" t="e">
        <f>+E46</f>
        <v>#REF!</v>
      </c>
      <c r="G46" s="146"/>
    </row>
    <row r="47" spans="3:12" x14ac:dyDescent="0.3">
      <c r="D47" s="149">
        <v>44228</v>
      </c>
      <c r="E47" s="150" t="e">
        <f>+#REF!</f>
        <v>#REF!</v>
      </c>
      <c r="F47" s="151" t="e">
        <f>+E47</f>
        <v>#REF!</v>
      </c>
      <c r="G47" s="146"/>
    </row>
    <row r="48" spans="3:12" x14ac:dyDescent="0.3">
      <c r="D48" s="149">
        <v>44256</v>
      </c>
      <c r="E48" s="150" t="e">
        <f>+#REF!</f>
        <v>#REF!</v>
      </c>
      <c r="F48" s="151" t="e">
        <f>+E48</f>
        <v>#REF!</v>
      </c>
      <c r="G48" s="146"/>
    </row>
    <row r="49" spans="1:7" x14ac:dyDescent="0.3">
      <c r="D49" s="149">
        <v>44287</v>
      </c>
      <c r="E49" s="150" t="e">
        <f>+#REF!</f>
        <v>#REF!</v>
      </c>
      <c r="F49" s="151" t="e">
        <f>+E49</f>
        <v>#REF!</v>
      </c>
      <c r="G49" s="146"/>
    </row>
    <row r="50" spans="1:7" x14ac:dyDescent="0.3">
      <c r="D50" s="147"/>
      <c r="E50" s="150" t="e">
        <f>SUM(E43:E49)</f>
        <v>#REF!</v>
      </c>
      <c r="F50" s="151" t="e">
        <f>SUM(F43:F49)</f>
        <v>#REF!</v>
      </c>
      <c r="G50" s="146"/>
    </row>
    <row r="51" spans="1:7" x14ac:dyDescent="0.3">
      <c r="D51" s="152"/>
      <c r="E51" s="153"/>
      <c r="F51" s="154"/>
      <c r="G51" s="146"/>
    </row>
    <row r="52" spans="1:7" x14ac:dyDescent="0.3">
      <c r="D52" s="146"/>
      <c r="E52" s="146"/>
      <c r="F52" s="146"/>
      <c r="G52" s="146"/>
    </row>
    <row r="54" spans="1:7" x14ac:dyDescent="0.3">
      <c r="A54" s="138">
        <v>12715.177658300927</v>
      </c>
      <c r="B54" s="138"/>
      <c r="C54" s="138"/>
      <c r="D54" s="138"/>
      <c r="E54" s="138"/>
      <c r="F54" s="138"/>
    </row>
    <row r="55" spans="1:7" x14ac:dyDescent="0.3">
      <c r="A55" s="138"/>
      <c r="B55" s="138"/>
      <c r="C55" s="138"/>
      <c r="D55" s="138"/>
      <c r="E55" s="138"/>
      <c r="F55" s="138"/>
    </row>
    <row r="56" spans="1:7" x14ac:dyDescent="0.3">
      <c r="A56" s="138"/>
      <c r="B56" s="138"/>
      <c r="C56" s="138"/>
      <c r="D56" s="138"/>
      <c r="E56" s="138"/>
      <c r="F56" s="138"/>
    </row>
  </sheetData>
  <mergeCells count="27">
    <mergeCell ref="A12:C12"/>
    <mergeCell ref="D12:J12"/>
    <mergeCell ref="D7:J7"/>
    <mergeCell ref="D8:J8"/>
    <mergeCell ref="A11:C11"/>
    <mergeCell ref="D11:E11"/>
    <mergeCell ref="D10:E10"/>
    <mergeCell ref="D9:E9"/>
    <mergeCell ref="F11:J11"/>
    <mergeCell ref="F10:J10"/>
    <mergeCell ref="F9:J9"/>
    <mergeCell ref="A25:B25"/>
    <mergeCell ref="A4:J4"/>
    <mergeCell ref="D6:J6"/>
    <mergeCell ref="F18:G18"/>
    <mergeCell ref="A20:A22"/>
    <mergeCell ref="B20:B22"/>
    <mergeCell ref="C20:C21"/>
    <mergeCell ref="D20:D21"/>
    <mergeCell ref="E20:E21"/>
    <mergeCell ref="I20:I21"/>
    <mergeCell ref="A10:C10"/>
    <mergeCell ref="A9:C9"/>
    <mergeCell ref="A8:C8"/>
    <mergeCell ref="A7:C7"/>
    <mergeCell ref="A6:C6"/>
    <mergeCell ref="B15:I15"/>
  </mergeCells>
  <pageMargins left="0.82" right="0.70866141732283472" top="1.34" bottom="0.74803149606299213" header="0.31496062992125984" footer="0.31496062992125984"/>
  <pageSetup paperSize="9" scale="8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RES. VALO</vt:lpstr>
      <vt:lpstr>FICHA</vt:lpstr>
      <vt:lpstr>C.G. AVANCE DE OBRA</vt:lpstr>
      <vt:lpstr>VALO</vt:lpstr>
      <vt:lpstr>SUSTENTO METRADOS</vt:lpstr>
      <vt:lpstr>RES. MET. EJEC.</vt:lpstr>
      <vt:lpstr>CURVA S</vt:lpstr>
      <vt:lpstr>K</vt:lpstr>
      <vt:lpstr>Reajuste</vt:lpstr>
      <vt:lpstr>'C.G. AVANCE DE OBRA'!Área_de_impresión</vt:lpstr>
      <vt:lpstr>'CURVA S'!Área_de_impresión</vt:lpstr>
      <vt:lpstr>FICHA!Área_de_impresión</vt:lpstr>
      <vt:lpstr>K!Área_de_impresión</vt:lpstr>
      <vt:lpstr>Reajuste!Área_de_impresión</vt:lpstr>
      <vt:lpstr>'RES. MET. EJEC.'!Área_de_impresión</vt:lpstr>
      <vt:lpstr>'RES. VALO'!Área_de_impresión</vt:lpstr>
      <vt:lpstr>'SUSTENTO METRADOS'!Área_de_impresión</vt:lpstr>
      <vt:lpstr>VALO!Área_de_impresión</vt:lpstr>
      <vt:lpstr>'RES. MET. EJEC.'!Títulos_a_imprimir</vt:lpstr>
      <vt:lpstr>'SUSTENTO METRADOS'!Títulos_a_imprimir</vt:lpstr>
      <vt:lpstr>VALO!Títulos_a_imprimir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DISEÑADOR</dc:creator>
  <cp:keywords/>
  <dc:description/>
  <cp:lastModifiedBy>Ing. David Israel Arias Plasencia</cp:lastModifiedBy>
  <cp:revision/>
  <cp:lastPrinted>2025-12-31T14:10:58Z</cp:lastPrinted>
  <dcterms:created xsi:type="dcterms:W3CDTF">2011-08-03T17:30:15Z</dcterms:created>
  <dcterms:modified xsi:type="dcterms:W3CDTF">2026-01-02T14:48:46Z</dcterms:modified>
  <cp:category/>
  <cp:contentStatus/>
</cp:coreProperties>
</file>